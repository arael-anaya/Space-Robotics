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S. &amp; Objectives" sheetId="1" r:id="rId5"/>
    <sheet state="visible" name="Requirements" sheetId="2" r:id="rId6"/>
    <sheet state="visible" name="Payload" sheetId="3" r:id="rId7"/>
    <sheet state="hidden" name="ImplementationStatus" sheetId="4" r:id="rId8"/>
    <sheet state="visible" name="Outline Key Phases of the Missi" sheetId="5" r:id="rId9"/>
    <sheet state="visible" name="minute-by-minute breakdown" sheetId="6" r:id="rId10"/>
    <sheet state="visible" name="Concept of Operations Timeline" sheetId="7" r:id="rId11"/>
  </sheets>
  <definedNames/>
  <calcPr/>
</workbook>
</file>

<file path=xl/sharedStrings.xml><?xml version="1.0" encoding="utf-8"?>
<sst xmlns="http://schemas.openxmlformats.org/spreadsheetml/2006/main" count="769" uniqueCount="389">
  <si>
    <t xml:space="preserve"> </t>
  </si>
  <si>
    <t>Level</t>
  </si>
  <si>
    <t>OBJECTIVES &amp; REQUIREMENTS</t>
  </si>
  <si>
    <t>Objective or Requirement Statement</t>
  </si>
  <si>
    <t>Date Last Updated</t>
  </si>
  <si>
    <t>Source(s)</t>
  </si>
  <si>
    <t>System/ Subsystem(s) Affected?</t>
  </si>
  <si>
    <t>Status?</t>
  </si>
  <si>
    <t>CHANGE LOG</t>
  </si>
  <si>
    <t>Revisions to the Objective/ Requirement</t>
  </si>
  <si>
    <t>Reasons/ Justification</t>
  </si>
  <si>
    <t>ASSOCIATED RISKS</t>
  </si>
  <si>
    <t>Associated Risks with Requirement</t>
  </si>
  <si>
    <t>VERIFICATION &amp; VALIDATION (V&amp;V)</t>
  </si>
  <si>
    <t>Testing Method</t>
  </si>
  <si>
    <t>Verification Plan</t>
  </si>
  <si>
    <t>Validation Plan</t>
  </si>
  <si>
    <t>Any Pre-Actions Needed?</t>
  </si>
  <si>
    <r>
      <rPr>
        <rFont val="Arial"/>
        <b/>
        <i/>
        <color theme="1"/>
        <sz val="8.0"/>
      </rPr>
      <t xml:space="preserve">OBJ = Objective,                     REQ = Requirement,          CSR = Constraint.  </t>
    </r>
    <r>
      <rPr>
        <rFont val="Arial"/>
        <i/>
        <color theme="1"/>
        <sz val="8.0"/>
      </rPr>
      <t xml:space="preserve">                   Number Hierarchy = 01.02.03 (01 = Objective Parent Category, 02 = First Child Requirement, 03 = Second Child Requirement... etc)</t>
    </r>
  </si>
  <si>
    <t>System, Subsystem, or Component Level?</t>
  </si>
  <si>
    <r>
      <rPr>
        <rFont val="Arial"/>
        <i/>
        <color theme="1"/>
        <sz val="8.0"/>
      </rPr>
      <t xml:space="preserve">Full statement sentence. Objectives are the requirements in simple, easy to understand, general terms. </t>
    </r>
    <r>
      <rPr>
        <rFont val="Arial"/>
        <b/>
        <i/>
        <color theme="1"/>
        <sz val="8.0"/>
      </rPr>
      <t xml:space="preserve">Requirements are technical as "shall" statements with a specific, measureable, and testable guideline to be met. </t>
    </r>
  </si>
  <si>
    <t>Date of when the requirement statement was last revised.</t>
  </si>
  <si>
    <t>Where did this requirement come from? Is this based on literature, stakeholder, testing standards, etc? Include links if possible.</t>
  </si>
  <si>
    <t>Does this matter on a system level? If not, which subsystems does this directly affect? Consider the interfaces as well. Which subsystems are responsible?</t>
  </si>
  <si>
    <t>Accomplished or unaccomplished?</t>
  </si>
  <si>
    <t>List by chronological order, with most recent revisions FIRST. Include... (year.month.date) Revision 1 comment, (year.month.date) Revision 2 comment</t>
  </si>
  <si>
    <t>Why was the revision made?</t>
  </si>
  <si>
    <t>List the associated risk numbers.</t>
  </si>
  <si>
    <t>Verification - Does it meet the specification need? Are we building our product right?</t>
  </si>
  <si>
    <t>Validation - Does it meet the customer need? Did we build the right product?</t>
  </si>
  <si>
    <t>MISSION STATEMENT</t>
  </si>
  <si>
    <t>The multi-agent Europa surface system shall autonomously characterize the ice shell and identify a cryobot insertion site, operating without real-time Earth support.</t>
  </si>
  <si>
    <t>-</t>
  </si>
  <si>
    <t>OBJ.01</t>
  </si>
  <si>
    <t>System Level</t>
  </si>
  <si>
    <t>The system shall demonstrate autonomous multi-agent coordination and consensus-based decision making without Earth communication links</t>
  </si>
  <si>
    <t>This objective addresses the multi-agent coordination shortfall ranked 139th in NASA's Civil Space Technology Shortfall Rankings, which identifies cooperative task planning as a near-term priority (STMD]</t>
  </si>
  <si>
    <t>OBJ.02</t>
  </si>
  <si>
    <t>Subsystem Mobility</t>
  </si>
  <si>
    <t>The rover shall traverse Europa's surface terrain and maintain localization using onboard sensors and inter-agent ranging</t>
  </si>
  <si>
    <t>This objective addresses NASA's identified gap in autonomous navigation without Earth-based support, as stated in the FY 2026-2027 SBIR solicitation Topic COMNAV.1.S26B [SBIR]</t>
  </si>
  <si>
    <t>OBJ.03</t>
  </si>
  <si>
    <t>Subsystem Science/Payload</t>
  </si>
  <si>
    <t>The system shall characterize ice shell thickness using a ground penetrating radar sounder and identify candidate insertion sites</t>
  </si>
  <si>
    <t>This objective supports the science goals outlined in the Decadal Survey, which identifies Europa's subsurface ocean as a primary target for astrobiology and calls for characterization of the ice shell to assess habitability. [OWL]</t>
  </si>
  <si>
    <t>OBJ.04</t>
  </si>
  <si>
    <t>Subsystem COMMs</t>
  </si>
  <si>
    <t>The inter-agent mesh network shall maintain coordination under degraded connectivity and radiation induced faults</t>
  </si>
  <si>
    <t>This objective addresses NASA's identified gap in autonomous distributed spacecraft operations without Earth-based navigational support, per SBIR Topic COMNAV.1.S26B. [SBIR]</t>
  </si>
  <si>
    <t>Reasoning</t>
  </si>
  <si>
    <t xml:space="preserve">Notes For Final Presentation. </t>
  </si>
  <si>
    <r>
      <rPr>
        <rFont val="Arial"/>
        <b/>
        <i/>
        <color theme="1"/>
        <sz val="8.0"/>
      </rPr>
      <t xml:space="preserve">OBJ = Objective,                     REQ = Requirement,          CSR = Constraint.  </t>
    </r>
    <r>
      <rPr>
        <rFont val="Arial"/>
        <i/>
        <color theme="1"/>
        <sz val="8.0"/>
      </rPr>
      <t xml:space="preserve">                   Number Hierarchy = 01.02.03 (01 = Objective Parent Category, 02 = First Child Requirement, 03 = Second Child Requirement... etc)</t>
    </r>
  </si>
  <si>
    <r>
      <rPr>
        <rFont val="Arial"/>
        <i/>
        <color theme="1"/>
        <sz val="8.0"/>
      </rPr>
      <t xml:space="preserve">Full statement sentence. Objectives are the requirements in simple, easy to understand, general terms. </t>
    </r>
    <r>
      <rPr>
        <rFont val="Arial"/>
        <b/>
        <i/>
        <color theme="1"/>
        <sz val="8.0"/>
      </rPr>
      <t xml:space="preserve">Requirements are technical as "shall" statements with a specific, measureable, and testable guideline to be met. </t>
    </r>
  </si>
  <si>
    <t>What work did you do for this requirement this semester</t>
  </si>
  <si>
    <t>REQ.01.01</t>
  </si>
  <si>
    <t>System [Mission level]</t>
  </si>
  <si>
    <t>The multi-agent Europa system shall operate fully autonomously for the entire surface mission duration without requiring real-time command uplinks from Earth.</t>
  </si>
  <si>
    <t>The 44-minute one-way light delay between Earth and Jupiter makes real-time demanding physically impossible, all decisions must be onboard. Traceable to OBJ.01</t>
  </si>
  <si>
    <t>NASA FY 2026-2027 SBIR Solicitation, Topic COMNAV.1.S26B, 2025</t>
  </si>
  <si>
    <t>System</t>
  </si>
  <si>
    <t>Unaccomplished</t>
  </si>
  <si>
    <t>Risk-01: Single-point autonomy failure with no fallback human override</t>
  </si>
  <si>
    <t>Hardware-in-the-loop simulation. Run a 72-hour autonomous mission sequence with a simulated 44-min communication blackout, and verify zero unresolved command dependencies on Earth.</t>
  </si>
  <si>
    <t>Verify the software autonomously executes all planned traverses, consensus rounds, and science data collected without any Earth uplink during the blackout window.</t>
  </si>
  <si>
    <t>Demonstrate that the mission objectives are achieved across three independent HILL runs without Earth support</t>
  </si>
  <si>
    <t>REQ.01.02</t>
  </si>
  <si>
    <t>The system shall survive and maintain operational status after exposure to total ionizing dose of no less than 100 krad over the nominal mission lifetime.</t>
  </si>
  <si>
    <t>Jupiter's magnetosphere delivers radiation doses far exceeding near-Earth missions. Europas Clipper';s radiation vault architecture targets ~100 krad as the design threshold. Radiation environment directly drives the shielded vault requirement. Traceable to OBJ.01</t>
  </si>
  <si>
    <r>
      <t xml:space="preserve">National Academies, Origins Worlds and Life Decadal Survey 2023–2032, </t>
    </r>
    <r>
      <rPr>
        <color rgb="FF1155CC"/>
        <u/>
      </rPr>
      <t>https://www.nationalacademies.org/read/26522</t>
    </r>
    <r>
      <rPr/>
      <t>; Galileo spacecraft radiation vault design heritage</t>
    </r>
  </si>
  <si>
    <t>System; Electronics; Power</t>
  </si>
  <si>
    <t>RISK-02: Accumulated single event upsets degrade consensus algorithm convergence before mission completion.</t>
  </si>
  <si>
    <t>Co-60 gamma irradiation of all radiation-sensitive components to 110 krad (10% margin). Monitor functional performance throughout exposure.</t>
  </si>
  <si>
    <t>Verify all components pass functional tests at end of life dose with no loss of required functionality</t>
  </si>
  <si>
    <t>Validate the integrated rover and relay nodes complete simulated mission operations after TID exposure.</t>
  </si>
  <si>
    <t>REQ.01.03</t>
  </si>
  <si>
    <t>The system shall maintain a minimum inter-agent network connectivity of two active relay nodes at all times during surface operations to ensure consensus is achievable.</t>
  </si>
  <si>
    <t>Consensus algorithms require a minimum connected graph to guarantee convergence. Two active relays plus a surface rover guarantee a 3-node connected topology as the minimum viable configuration. Traceable to OBJ.01 and OBJ.04.</t>
  </si>
  <si>
    <r>
      <t xml:space="preserve">NASA STMD Civil Space Technology Shortfall Rankings, Jul. 2024, </t>
    </r>
    <r>
      <rPr>
        <color rgb="FF1155CC"/>
        <u/>
      </rPr>
      <t>https://www.nasa.gov/wp-content/uploads/2024/07/civil-space-shortfall-ranking-july-2024.pdf</t>
    </r>
  </si>
  <si>
    <t>System; COMMs</t>
  </si>
  <si>
    <t>RISK-03: Simultaneous radiation-induced failure of multiple relay nodes isolating the surface rover.</t>
  </si>
  <si>
    <t>Network fault simulation: simulate progressive relay node failures and verify consensus detects degenerated topology and triggers reconfiguration before dropping below 2 active nodes.</t>
  </si>
  <si>
    <t>Verify that fault detection and reconfiguration logic activates within one consensus cycle period upon detection of a node loss event.</t>
  </si>
  <si>
    <t>Validate that the surface rover completes a traverse plan using map data from a degraded 2-relay configuration.</t>
  </si>
  <si>
    <t>REQ.02.01</t>
  </si>
  <si>
    <t>Subsystems [Operations Level] Mobility</t>
  </si>
  <si>
    <t>The surface robot shall maintain a localization accuracy of no worse than +-0.5 m relative to its last known position during any traverse segments up to 50 m in the absence of GPS.</t>
  </si>
  <si>
    <t>Cryobot insertion site selection requires meter-level positioning to match the radar identified thin ice candidate. +-0.5 over 59 m segments in consistent with visual odometry performance on Mars rovers. Traceable to OBJ.02</t>
  </si>
  <si>
    <t>NASA FY 2026-2027 SBIR Solicitation, Topic COMNAV.1.S26B; Mars Curiosity rover visual odometry heritage</t>
  </si>
  <si>
    <t>Mobility; GNC</t>
  </si>
  <si>
    <t>RISK-04: Ice surface texture homogeneity reducing visual odometry feature tracking quality.</t>
  </si>
  <si>
    <t>Field test on  analog terrain: command 50m traverse segments and compare onboard state estimate to ground truth GPSD position across 20 runs under varying terrain conditions.</t>
  </si>
  <si>
    <t>verify that position error remains within +-0.5 m across a minimum of 20 traverse segments.</t>
  </si>
  <si>
    <t>Validate that the rover navigates to and stops within +-0.5 m of a designated waypoint representing a candidate insertion site.</t>
  </si>
  <si>
    <t>REQ.03.01</t>
  </si>
  <si>
    <t>Subsystems [Operations Level] Science / Payload</t>
  </si>
  <si>
    <t>The ground-penetrating radar sounder shall resolve ice shell thickness to within +-10% accuracy for ice layers between 1 km and 30 km depth, producing a subsurface map at the minimum spatial resolution of 100 m along the traverse track.</t>
  </si>
  <si>
    <t>Identifying optimal cryobot insertion site requires knowing where the ice shell is the thinnest. +- 10% thickness accuracy is enough to distinguish viable drilling candidates. The 100 m along track resolution is consistent with the Europa Clipper REASON instrument design parameters. Traceable to OBJ.03</t>
  </si>
  <si>
    <t>National Academies, Origins Worlds and Life Decadal Survey 2023–2032, https://www.nationalacademies.org/read/26522; Europa Clipper REASON instrument documentation</t>
  </si>
  <si>
    <t>Science/Payload, Power</t>
  </si>
  <si>
    <t>RISK-05: Ice shell heterogeneity or brine inclusions creating radar clutter that degrades thickness estimates.</t>
  </si>
  <si>
    <t>Laboratory radar range measurements against ice targets of known thickness using dielectric matches analogs, verify +- 10% accuracy across the 1-30 km depth range.</t>
  </si>
  <si>
    <t>Verify that the radar sounder produces subsurface profiles with +-10% depth accuracy against calibration targets before rover integration.</t>
  </si>
  <si>
    <t>Validate that the subsurface map produces during a field traverse correctly identifies presurveyed thin ice candidate sites within the required spatial resolution.</t>
  </si>
  <si>
    <t>REQ.04.01</t>
  </si>
  <si>
    <t>Subsystems [Operations Level] COMMS</t>
  </si>
  <si>
    <t>The inter-agent mesh network shall achieve consensus on a shared consensus on a shared terrain map update within no more than 10 minutes under a degraded network condition defined as packet loss rates of up to 30% on any single inter-agent link</t>
  </si>
  <si>
    <t>Rover traverse planning depends on a current consensus validated terrain map. A 10 minute convergence bound limits traverse planning delay to an acceptable operations cadence. 30% packet loss represents a plausible radiation induced degradation scenario for the environment. Traceable to OBJ.04.</t>
  </si>
  <si>
    <t>NASA STMD Civil Space Technology Shortfall Rankings, Jul. 2024; NASA FY 2026-2027 SBIR Solicitation, Topic COMNAV.1.S26B</t>
  </si>
  <si>
    <t>COMMs, CDH</t>
  </si>
  <si>
    <t xml:space="preserve">RISK-06: Radiation induced burst errors exceeding 30% packet loss on multiple links simultaneously, stalling consensus. </t>
  </si>
  <si>
    <t>Software-in-the-loop consensus simulation: Introduce 30% packet loss on each inter-agent link and measure convergence time across 100 test runs.</t>
  </si>
  <si>
    <t>Verify the consensus convergence time remains &lt;10 minutes across all 100 test runs with 30% packet loss.</t>
  </si>
  <si>
    <t>Validate that the rover initiates a traverse using a map update produced by the consensus protocol under the degraded link test condition.</t>
  </si>
  <si>
    <t>REQ.03.02</t>
  </si>
  <si>
    <t>Subsystems [Operation Level} Science / payload</t>
  </si>
  <si>
    <t>The radar sounder antenna shall be mounted such that the antenna boresight remains within +-5 of nadir during all active sounding operations; the rover shall halt traversal if the measured surface slope exceeds 20 to maintain pointing compliance.</t>
  </si>
  <si>
    <t>A nadir pointing antenna is required to minimize geometric error in the two-way travel time measurement. . Off nadir tilt reduces basal reflection return strength and introduces range error that degrades</t>
  </si>
  <si>
    <t xml:space="preserve"> National Academies, Origins Worlds and Life Decadal Survey 2023–2032; Europa Clipper REASON instrument documentation</t>
  </si>
  <si>
    <t>Science/Payload; Structures; Mobility</t>
  </si>
  <si>
    <t>RISK-05: Ice shell heterogeneity creating radar clutter that degrades thickness estimates; RISK-04: Ice surface texture reducing visual odometry quality (slope-stop logic dependency)</t>
  </si>
  <si>
    <t>Bench test antenna mounting fixture: tilt rover chassis to 5° increments and measure antenna boresight deviation using an inclinometer. Verify pointing error stays within ±5° across the full range of surface slopes up to 20°.</t>
  </si>
  <si>
    <t>Verify that antenna boresight deviation does not exceed ±5° of nadir across all chassis tilt angles up to 20° slope</t>
  </si>
  <si>
    <t>Validate that the rover correctly halts traversal and resumes sounding when slope threshold is exceeded during an analog terrain field test.</t>
  </si>
  <si>
    <t>REQ.03.03</t>
  </si>
  <si>
    <t>The rover power subsystem shall reserve a dedicated peak power allocation for radar sounder transmission pulses and shall command drive motor shutdown during each active sounding window to prevent power contention with the RTG continuous output.</t>
  </si>
  <si>
    <t>Radar sounders draw high peak pulse power during transmission. The RTG provides fixed continuous output; simultaneous drive and sounding would exceed available power margin and risk under-powering the radar pulse, degrading return signal amplitude below the noise floor. Stop-and-sound is consistent with high-power instrument operation heritage on Mars rovers. Traceable to OBJ.03.</t>
  </si>
  <si>
    <t>Europa Clipper REASON instrument documentation; NASA RTG power system heritage</t>
  </si>
  <si>
    <t>Science/Payload; Power; Mobility</t>
  </si>
  <si>
    <t>RISK-02: Accumulated single event upsets degrade system performance; RISK-05: Degraded radar return amplitude from insufficient transmission power</t>
  </si>
  <si>
    <t>Hardware-in-the-loop power budget simulation: command simultaneous drive and sounding operations and monitor RTG output margin across 50 test cycles. Verify drive shutdown command fires before each sounding pulse.</t>
  </si>
  <si>
    <t>Verify that drive motors are commanded off prior to every sounding transmission and that RTG output margin remains positive across all test cycles.</t>
  </si>
  <si>
    <t xml:space="preserve"> Validate that the rover completes a full simulated traverse sol with correct stop-and-sound behavior and no power fault events.</t>
  </si>
  <si>
    <t>REQ.03.04</t>
  </si>
  <si>
    <t xml:space="preserve"> Subsystems [Operations Level] Science / Payload</t>
  </si>
  <si>
    <t>The command and data handling subsystem shall provide onboard storage sufficient to retain a minimum of 7 sols of uncompressed radar trace data, and shall apply lossless compression to all Radar_Traces records prior to inter-agent relay transmission, achieving a minimum compression ratio of 2:1.</t>
  </si>
  <si>
    <t>At approximately 40 traces per sol across four data sheets, raw science data accumulates faster than the non-deterministic Earth relay can downlink. Seven sols of buffer covers the consensus convergence window and plausible communication gaps. Lossless compression preserves the measurement fidelity required by REQ.03.01 while reducing relay load. Traceable to OBJ.03 and OBJ.04.</t>
  </si>
  <si>
    <t>NASA STMD Civil Space Technology Shortfall Rankings, Jul. 2024; Europa Clipper REASON instrument documentation</t>
  </si>
  <si>
    <t>Science/Payload; COMMs; CDH</t>
  </si>
  <si>
    <t>RISK-06: Radiation induced burst errors exceeding 30% packet loss stalling consensus; RISK-05: Ice shell heterogeneity generating excess CLUTTER traces inflating data volume</t>
  </si>
  <si>
    <t>Software-in-the-loop storage simulation: generate 7 sols of synthetic radar trace data at full volume and verify onboard storage does not overflow. Apply compression algorithm and measure output ratio across 100 data sets.</t>
  </si>
  <si>
    <t>Verify that onboard storage accommodates 7 sols of uncompressed data and that compression ratio meets or exceeds 2:1 across all 100 test data sets.</t>
  </si>
  <si>
    <t>Validate that compressed science data downlinked through the inter-agent mesh under 30% packet loss conditions can be fully reconstructed without data loss on the receiving node.</t>
  </si>
  <si>
    <t>Timestamp_UTC</t>
  </si>
  <si>
    <t>Sol</t>
  </si>
  <si>
    <t>Pressure_mbar</t>
  </si>
  <si>
    <t>AirTemp_C</t>
  </si>
  <si>
    <t>GroundTemp_C</t>
  </si>
  <si>
    <t>Humidity_pct</t>
  </si>
  <si>
    <t>WindSpeed_mps</t>
  </si>
  <si>
    <t>WindDir_deg</t>
  </si>
  <si>
    <t>Dust_OpticalDepth</t>
  </si>
  <si>
    <t>Radiation_Wm2</t>
  </si>
  <si>
    <t>Data_Quality_Flag</t>
  </si>
  <si>
    <t>Requirement No.</t>
  </si>
  <si>
    <t>Source</t>
  </si>
  <si>
    <t>Requirement</t>
  </si>
  <si>
    <t>Implementation</t>
  </si>
  <si>
    <t>Validation Before TVC</t>
  </si>
  <si>
    <t>Status (MET/ WIP/ UNMET)</t>
  </si>
  <si>
    <t>Instructions (do not copy this column)</t>
  </si>
  <si>
    <t>Do not edit Columns A - C. To update them, use the "Requirements" sheet.</t>
  </si>
  <si>
    <t>In Column A, look for your subsystem's requirements.</t>
  </si>
  <si>
    <t>In Column D, state how you are implementing design / assembly / integration / testing plans to meet the requirement.</t>
  </si>
  <si>
    <t>In Column E, state the status - if the Requirement is Met, Unmet, or a Work in Progress (WIP) based on the Implementation description.</t>
  </si>
  <si>
    <t>Be sure to state in Column F if the Implementation/Status has been updated.</t>
  </si>
  <si>
    <t>Time (UTC or Mission Elapsed Time)</t>
  </si>
  <si>
    <t>Robot Function / Mode</t>
  </si>
  <si>
    <t>Primary Objective / Milestone</t>
  </si>
  <si>
    <t>Operation Mode (Teleop / Autonomous / Semi-Autonomous / Scripted)</t>
  </si>
  <si>
    <t>Inputs (e.g., command, signal, state)</t>
  </si>
  <si>
    <t>Expected Outputs (e.g., telemetry, sensor data)</t>
  </si>
  <si>
    <t>Data Products Generated</t>
  </si>
  <si>
    <t>Verification Method</t>
  </si>
  <si>
    <t>Associated Risk or Sensitivity (High/Med/Low)</t>
  </si>
  <si>
    <t>Dependencies / Predecessor Actions</t>
  </si>
  <si>
    <t>Estimated Duration</t>
  </si>
  <si>
    <t>Notes</t>
  </si>
  <si>
    <t>Launch day, 0-1 (Mission Elapsed Time)</t>
  </si>
  <si>
    <t>Launch And Commissioning</t>
  </si>
  <si>
    <t>Spacecraft Separation and initial health checks</t>
  </si>
  <si>
    <t>Scripted/Autonomous</t>
  </si>
  <si>
    <t>Launch vehicle separation signal, onboard startup sequences</t>
  </si>
  <si>
    <t>Spacecraft status telemetry, power system telemetry, communication link confirmation</t>
  </si>
  <si>
    <t>Initial spacecraft health report, subsystem status logs</t>
  </si>
  <si>
    <t>Verify successful separation communication establishment, and nominal subsystem health/</t>
  </si>
  <si>
    <t>High</t>
  </si>
  <si>
    <t>Successful vehicle loading and spacecraft deployment</t>
  </si>
  <si>
    <t>1 day</t>
  </si>
  <si>
    <t>Cruise Phase, Years 0-6</t>
  </si>
  <si>
    <t>Cruise And Approach</t>
  </si>
  <si>
    <t>Maintain spacecraft health and perform trajectory correction maneuvers</t>
  </si>
  <si>
    <t>Semi-Autonomous</t>
  </si>
  <si>
    <t>Ground-planned trajectory updates, star tracker measurements, navigation state estimates</t>
  </si>
  <si>
    <t>Navigation telemetry, spacecraft health telemetry, maneuver confirmation</t>
  </si>
  <si>
    <t>Trajectory correction logs, navigation solution history</t>
  </si>
  <si>
    <t>Verify trajectory remains within mission tolerance and all spacecraft systems remain operational</t>
  </si>
  <si>
    <t>Medium</t>
  </si>
  <si>
    <t>Completion of launch and commision phase</t>
  </si>
  <si>
    <t>~6 years</t>
  </si>
  <si>
    <t>Europa Orbital Insertion and Reconnaissance</t>
  </si>
  <si>
    <t>Europa Orbit Insertion And Orbital Reconnaissance</t>
  </si>
  <si>
    <t>Deploy orbital agents and identify suitable landing region</t>
  </si>
  <si>
    <t>Autonomous</t>
  </si>
  <si>
    <t>Orbital state estimates, terrain imaging data, radar survey measurements</t>
  </si>
  <si>
    <t>Surface maps, hazard maps, candidate landing sites</t>
  </si>
  <si>
    <t>Global terrain map, landing site assessment report</t>
  </si>
  <si>
    <t>Verify successful orbital insertion, orbiter deployment, and identification of viable landing zones.</t>
  </si>
  <si>
    <t>Successful arrival at Europa and orbital insertion burn</t>
  </si>
  <si>
    <t>30 Days</t>
  </si>
  <si>
    <t>Surface Operations Day 0-5</t>
  </si>
  <si>
    <t>Landing, Surface Checkout, And Site Characterization</t>
  </si>
  <si>
    <t>Deploy rover, verify system health, and calibrate science instruments.</t>
  </si>
  <si>
    <t>Landing state, rover deployment commands, sensor calibration routines</t>
  </si>
  <si>
    <t>Health telemetry, localization estimates, calibration measurements</t>
  </si>
  <si>
    <t>System checkout report, calibration datasets, local terrain map</t>
  </si>
  <si>
    <t>Verify successful rover deployment, communications, localization accuracy, and payload calibration</t>
  </si>
  <si>
    <t>Reconnaissance complete and landing site selected</t>
  </si>
  <si>
    <t>5 Days</t>
  </si>
  <si>
    <t>Surface Operations Day 5-35</t>
  </si>
  <si>
    <t>Surface Survey And Ice Characterization</t>
  </si>
  <si>
    <t>Map subsurface ice structure and identify candidate cryobot insertion sites</t>
  </si>
  <si>
    <t>Ground-penetrating radar returns, orbital terrain map, localization state estimations</t>
  </si>
  <si>
    <t>Ice thickness estimates, terrain classifications, rover position estimates</t>
  </si>
  <si>
    <t>Subsurface radar maps, ice thickness profiles, candidate cryobot site database, consensus terrain maps</t>
  </si>
  <si>
    <t>Verify radar measurements meet required accuracy and candidate sites satisfy mission selection criteria</t>
  </si>
  <si>
    <t>Successful rover deployment and payload calibration</t>
  </si>
  <si>
    <t>Surface Operations Day 35-50</t>
  </si>
  <si>
    <t>Data Transmission And End Of Mission</t>
  </si>
  <si>
    <t>Downlink mission data, select final cryobot site, and safely passivate system</t>
  </si>
  <si>
    <t>Stored science data, final site selection results, mission completion commands</t>
  </si>
  <si>
    <t>Mission archive transmission, final health telemetry, passivation confirmation</t>
  </si>
  <si>
    <t>Final mission report, validated cryobot insertion site package, complete science archive</t>
  </si>
  <si>
    <t>Verify all science data successfully transmitted and spacecraft enters safe passivated state</t>
  </si>
  <si>
    <t>Low</t>
  </si>
  <si>
    <t>Completion of science objectives and final site selection</t>
  </si>
  <si>
    <t>15 days</t>
  </si>
  <si>
    <t xml:space="preserve"> Mission Elapsed Time (min)</t>
  </si>
  <si>
    <t>Mode:  Sub-Activity</t>
  </si>
  <si>
    <t>Minute by Minute Ranges</t>
  </si>
  <si>
    <t xml:space="preserve">Atmospheric Entry and Descent </t>
  </si>
  <si>
    <t xml:space="preserve">Mode </t>
  </si>
  <si>
    <t>Duration (min)</t>
  </si>
  <si>
    <t>Atmospheric Entry and Descent</t>
  </si>
  <si>
    <t>Initialization</t>
  </si>
  <si>
    <t>Surface Landing (15:01 MST)</t>
  </si>
  <si>
    <t>Verify Successful Landing</t>
  </si>
  <si>
    <t>Begin Hardware Checkouts: Commissioning + MEDA activation</t>
  </si>
  <si>
    <t>Site Characterization: MEDA environment mapping</t>
  </si>
  <si>
    <t>Night low-rate and thermal management</t>
  </si>
  <si>
    <t>Activation State</t>
  </si>
  <si>
    <t>ISRU Ramp-Up : Thermal warm-up and inlet purge</t>
  </si>
  <si>
    <t>ISRU Ramp-Up : Valve sequencing and leak checks</t>
  </si>
  <si>
    <t>ISRU Ramp-Up : Spin-up and pressure-control tuning</t>
  </si>
  <si>
    <t>ISRU Steady Production: Pre-run Checks</t>
  </si>
  <si>
    <t>ISRU Steady Production: Compression Block A</t>
  </si>
  <si>
    <t>Calibration and Maintenance: Short Calibration pulse</t>
  </si>
  <si>
    <t>15 - 186</t>
  </si>
  <si>
    <t>ISRU Steady Production: Compression Block B</t>
  </si>
  <si>
    <t>Data Downlink: Relay pass</t>
  </si>
  <si>
    <t>ISRU Steady Production: Compression Block C</t>
  </si>
  <si>
    <t>ISRU Steady Production: Night Low-rate and thermal management</t>
  </si>
  <si>
    <t>Steady State</t>
  </si>
  <si>
    <t>ISRU Ramp-Up : Thermal warm-up and inlet purge and MEDA Environment Check</t>
  </si>
  <si>
    <t>194 - 230</t>
  </si>
  <si>
    <t>Filter purge and dust mitigation</t>
  </si>
  <si>
    <t>End Of Mission</t>
  </si>
  <si>
    <t>Final Data Dump</t>
  </si>
  <si>
    <t>240-906</t>
  </si>
  <si>
    <t xml:space="preserve">Compressor Safing </t>
  </si>
  <si>
    <t>Valve &amp; Line Safing</t>
  </si>
  <si>
    <t>Powerdown Non-essentials</t>
  </si>
  <si>
    <t>Passivation/Final Health Beacon</t>
  </si>
  <si>
    <t>940-966</t>
  </si>
  <si>
    <t>980-1066</t>
  </si>
  <si>
    <t>1100-1236</t>
  </si>
  <si>
    <t>1260-1401</t>
  </si>
  <si>
    <t>1410-1491</t>
  </si>
  <si>
    <t>1500-1611</t>
  </si>
  <si>
    <t>1620-2346</t>
  </si>
  <si>
    <t>2355-2376</t>
  </si>
  <si>
    <t>2410-2546</t>
  </si>
  <si>
    <t>2570-2711</t>
  </si>
  <si>
    <t>2720-2801</t>
  </si>
  <si>
    <t>2810-2951</t>
  </si>
  <si>
    <t>2960-2996</t>
  </si>
  <si>
    <t>3000-3826</t>
  </si>
  <si>
    <t>Steady State Operations follow sol 2 operations up to 30 sols</t>
  </si>
  <si>
    <t>End of Mission</t>
  </si>
  <si>
    <t>44195-44280</t>
  </si>
  <si>
    <t>Compressor Safing</t>
  </si>
  <si>
    <t>44286-44310</t>
  </si>
  <si>
    <t>Valve and Line safing</t>
  </si>
  <si>
    <t>44315-44325</t>
  </si>
  <si>
    <t>44330-44340</t>
  </si>
  <si>
    <t>44345-44400</t>
  </si>
  <si>
    <t>Estimated Duration (min)</t>
  </si>
  <si>
    <t>T-0</t>
  </si>
  <si>
    <t>Launch and Commission</t>
  </si>
  <si>
    <t>Launch from Earth, Spacecraft separation and initial health checks</t>
  </si>
  <si>
    <t>Scripted</t>
  </si>
  <si>
    <t>Launch vehicle systems, trajectory injection command</t>
  </si>
  <si>
    <t>Telemetry confirming stage separations, trajectory state vector</t>
  </si>
  <si>
    <t>Launch event log, injection parameters</t>
  </si>
  <si>
    <r>
      <rPr>
        <rFont val="Calibri"/>
        <color theme="1"/>
        <sz val="11.0"/>
      </rPr>
      <t xml:space="preserve">Achieve injection corridor within </t>
    </r>
    <r>
      <rPr>
        <rFont val="Aptos Narrow"/>
        <color theme="1"/>
        <sz val="11.0"/>
      </rPr>
      <t>∆</t>
    </r>
    <r>
      <rPr>
        <rFont val="Calibri"/>
        <color theme="1"/>
        <sz val="11.0"/>
      </rPr>
      <t>v tolerance</t>
    </r>
  </si>
  <si>
    <t>Pre-launch checks complete, mission readiness, vehicle integration</t>
  </si>
  <si>
    <t>1 hour</t>
  </si>
  <si>
    <t>Launch window was optimized for Mars transfer</t>
  </si>
  <si>
    <t>0-8 months</t>
  </si>
  <si>
    <t>Cruise and Approach</t>
  </si>
  <si>
    <t>Maintain Systems and perform trajectory correction maneuvers</t>
  </si>
  <si>
    <t>Navigation updates, trajectory correction maneuvers</t>
  </si>
  <si>
    <t>Cruise telemetry, health status, trajectory vectors</t>
  </si>
  <si>
    <t>Navigation solutions, TCM logs</t>
  </si>
  <si>
    <t>Entry interface conditions within corridor</t>
  </si>
  <si>
    <t>successful launch/injection,post-launch trajectory tracking</t>
  </si>
  <si>
    <t>~ 8 months</t>
  </si>
  <si>
    <t>Minor correction to optimize entry angle</t>
  </si>
  <si>
    <t>0-6 minutes</t>
  </si>
  <si>
    <t>Guided entry and deceleration to terminal phase</t>
  </si>
  <si>
    <t xml:space="preserve">Autonomous  </t>
  </si>
  <si>
    <t>EDL trigger, IMU/radar altimeter, guidance profile</t>
  </si>
  <si>
    <t>EDL state timeline, deceleration telemetry</t>
  </si>
  <si>
    <t>EDL event log, descent profile</t>
  </si>
  <si>
    <t>Vehicle remains within corridor, nominal deceleration profile</t>
  </si>
  <si>
    <t>Cruise and Approach complete</t>
  </si>
  <si>
    <t>Time-critical, no teleoperations due to latency</t>
  </si>
  <si>
    <t>Surface Landing</t>
  </si>
  <si>
    <t>Touchdown on the surface within landing ellipse</t>
  </si>
  <si>
    <t>Terminal descent guidance, hazard avoidance, thrust control</t>
  </si>
  <si>
    <t>Touchdown events, initial surface states</t>
  </si>
  <si>
    <t>Touchdown record, contact and velocity logs</t>
  </si>
  <si>
    <t xml:space="preserve">Touchdown stable, tip-over not detected, comms via relay available </t>
  </si>
  <si>
    <t>Atmospheric Entry and Descent complete</t>
  </si>
  <si>
    <t>Short terminal phase</t>
  </si>
  <si>
    <t>Confirm vehicle safety and survivability in Arcadia Planitia</t>
  </si>
  <si>
    <t>Post-landing sensor/state checks</t>
  </si>
  <si>
    <t>Basic telemetry heartbeat, thermal/power checks</t>
  </si>
  <si>
    <t>Landing verification log</t>
  </si>
  <si>
    <t>All survival checks passed, safe state entered</t>
  </si>
  <si>
    <t>minute resolution</t>
  </si>
  <si>
    <t>Begin Hardware Checkouts</t>
  </si>
  <si>
    <t>Vehicle safe and ready for payload operations</t>
  </si>
  <si>
    <t>Safe Mode clear, power-on self-test, mast deploy cmd</t>
  </si>
  <si>
    <t>Subsystem health, zero/span checks, MEDA atmospheric baseline</t>
  </si>
  <si>
    <t>Commissioning health log, MEDA baseline dataset</t>
  </si>
  <si>
    <t>All sensors within calibration, MEDA producing nominal values</t>
  </si>
  <si>
    <t>Includes MEDA calibration and compressor BIST</t>
  </si>
  <si>
    <t>Site Characterization</t>
  </si>
  <si>
    <t>Characterize local atmosphere with MEDA and confirm site 'Go' for ISRU operations</t>
  </si>
  <si>
    <t>Semi-autonomous</t>
  </si>
  <si>
    <t>MEDA continuous logging, power budget OK, intake siting cmds</t>
  </si>
  <si>
    <t>Environment maps, dust/pressure/thermal statistics</t>
  </si>
  <si>
    <t>MEDA time-series, siting report, risk flags</t>
  </si>
  <si>
    <r>
      <rPr>
        <rFont val="Calibri"/>
        <color theme="1"/>
        <sz val="11.0"/>
      </rPr>
      <t xml:space="preserve">Criteria met: pressure and dust within ops envelope </t>
    </r>
    <r>
      <rPr>
        <rFont val="Aptos Narrow"/>
        <color theme="1"/>
        <sz val="11.0"/>
      </rPr>
      <t>≥</t>
    </r>
    <r>
      <rPr>
        <rFont val="Calibri"/>
        <color theme="1"/>
        <sz val="11.0"/>
      </rPr>
      <t>80% of period</t>
    </r>
  </si>
  <si>
    <t>Begin Hardware Checkouts complete</t>
  </si>
  <si>
    <t>Covers diurnal variability</t>
  </si>
  <si>
    <t>ISRU Ramp-Up</t>
  </si>
  <si>
    <r>
      <rPr>
        <rFont val="Calibri"/>
        <color theme="1"/>
        <sz val="11.0"/>
      </rPr>
      <t xml:space="preserve">Acquire, filter, and compress Martian CO2 to 3-5 bar at </t>
    </r>
    <r>
      <rPr>
        <rFont val="Aptos Narrow"/>
        <color theme="1"/>
        <sz val="11.0"/>
      </rPr>
      <t>≥</t>
    </r>
    <r>
      <rPr>
        <rFont val="Calibri"/>
        <color theme="1"/>
        <sz val="11.0"/>
      </rPr>
      <t xml:space="preserve"> 2 kg/hr,  guided by MEDA environmental data</t>
    </r>
  </si>
  <si>
    <r>
      <rPr>
        <rFont val="Calibri"/>
        <color theme="1"/>
        <sz val="11.0"/>
      </rPr>
      <t xml:space="preserve">Start ISRU sequence, valve states, filter </t>
    </r>
    <r>
      <rPr>
        <rFont val="Aptos Narrow"/>
        <color theme="1"/>
        <sz val="11.0"/>
      </rPr>
      <t>∆</t>
    </r>
    <r>
      <rPr>
        <rFont val="Calibri"/>
        <color theme="1"/>
        <sz val="11.0"/>
      </rPr>
      <t>P, leak checks</t>
    </r>
  </si>
  <si>
    <r>
      <rPr>
        <rFont val="Calibri"/>
        <color theme="1"/>
        <sz val="11.0"/>
      </rPr>
      <t xml:space="preserve">Outlet pressure 3-5 bar, flow </t>
    </r>
    <r>
      <rPr>
        <rFont val="Aptos Narrow"/>
        <color theme="1"/>
        <sz val="11.0"/>
      </rPr>
      <t>≥</t>
    </r>
    <r>
      <rPr>
        <rFont val="Calibri"/>
        <color theme="1"/>
        <sz val="11.0"/>
      </rPr>
      <t xml:space="preserve"> 2 kg/hr, temps, alarms</t>
    </r>
  </si>
  <si>
    <t>Compressor timeseries, MEDA data bundle, alarm log</t>
  </si>
  <si>
    <r>
      <rPr>
        <rFont val="Calibri"/>
        <color theme="1"/>
        <sz val="11.0"/>
      </rPr>
      <t xml:space="preserve">Thresholds held continuously </t>
    </r>
    <r>
      <rPr>
        <rFont val="Aptos Narrow"/>
        <color theme="1"/>
        <sz val="11.0"/>
      </rPr>
      <t>≥</t>
    </r>
    <r>
      <rPr>
        <rFont val="Calibri"/>
        <color theme="1"/>
        <sz val="11.0"/>
      </rPr>
      <t xml:space="preserve"> 120 min without faults</t>
    </r>
  </si>
  <si>
    <t>Site 'Go' declared</t>
  </si>
  <si>
    <t>Controller tuning for surge/stall avoidance</t>
  </si>
  <si>
    <t>ISRU Steady Production</t>
  </si>
  <si>
    <t>Maintain production with  ≥ 90% uptime. During this time MEDA monitors dust, pressure, and temperature</t>
  </si>
  <si>
    <t>Scheduler, MEDA pressure/temperature/dust, power state</t>
  </si>
  <si>
    <t>Daily production logs, health/fault management</t>
  </si>
  <si>
    <t>ENG+MEDA bundle, production KPIs</t>
  </si>
  <si>
    <t>Ops report shows uptime ≥90%, pressure 3-5 bar, flow on target</t>
  </si>
  <si>
    <t>Ramp-up stable</t>
  </si>
  <si>
    <t>Steady ops across 30 sols</t>
  </si>
  <si>
    <t>Data Downlink (Daily)</t>
  </si>
  <si>
    <t>Downlink mission data, transmit prioritized ISRU and MEDA data</t>
  </si>
  <si>
    <r>
      <rPr>
        <rFont val="Calibri"/>
        <color theme="1"/>
        <sz val="11.0"/>
      </rPr>
      <t xml:space="preserve">Relay pass, link budget, storage buffer </t>
    </r>
    <r>
      <rPr>
        <rFont val="Aptos Narrow"/>
        <color theme="1"/>
        <sz val="11.0"/>
      </rPr>
      <t>≥</t>
    </r>
    <r>
      <rPr>
        <rFont val="Calibri"/>
        <color theme="1"/>
        <sz val="11.0"/>
      </rPr>
      <t xml:space="preserve"> 2 sols</t>
    </r>
  </si>
  <si>
    <t>Downlink completed, plan uplinked</t>
  </si>
  <si>
    <t>Daily ENG+SCI bundles, MEDA atmospheric logs</t>
  </si>
  <si>
    <t>Downlink meets target volume, buffer not overflowed</t>
  </si>
  <si>
    <t>Steady ops ongoing</t>
  </si>
  <si>
    <t xml:space="preserve">Timing driven by relay visibility </t>
  </si>
  <si>
    <t>Extended Ops/ End-of- Mission</t>
  </si>
  <si>
    <t>Optional stress tests and safe passivation</t>
  </si>
  <si>
    <t>Teleoperations</t>
  </si>
  <si>
    <t>EOM scripts, safe mode state</t>
  </si>
  <si>
    <t>Final reports, passivation state</t>
  </si>
  <si>
    <t>EOM dataset</t>
  </si>
  <si>
    <t>Checklist items closed, vehicle in safe configuration</t>
  </si>
  <si>
    <t>30-sol campaign complete</t>
  </si>
  <si>
    <t>Duration TBD by health /power margin</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</si>
</sst>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yy"/>
  </numFmts>
  <fonts count="22">
    <font>
      <sz val="10.0"/>
      <color rgb="FF000000"/>
      <name val="Arial"/>
      <scheme val="minor"/>
    </font>
    <font>
      <b/>
      <sz val="12.0"/>
      <color theme="1"/>
      <name val="Arial"/>
    </font>
    <font>
      <i/>
      <sz val="8.0"/>
      <color theme="1"/>
      <name val="Arial"/>
    </font>
    <font/>
    <font>
      <b/>
      <sz val="10.0"/>
      <color theme="1"/>
      <name val="Arial"/>
    </font>
    <font>
      <sz val="10.0"/>
      <color theme="1"/>
      <name val="Arial"/>
    </font>
    <font>
      <sz val="10.0"/>
      <color rgb="FF000000"/>
      <name val="Roboto"/>
    </font>
    <font>
      <u/>
      <sz val="10.0"/>
      <color rgb="FF0000FF"/>
      <name val="Arial"/>
    </font>
    <font>
      <sz val="10.0"/>
      <color rgb="FF000000"/>
      <name val="Arial"/>
    </font>
    <font>
      <b/>
      <sz val="12.0"/>
      <color rgb="FF000000"/>
      <name val="Arial"/>
    </font>
    <font>
      <color theme="1"/>
      <name val="Arial"/>
      <scheme val="minor"/>
    </font>
    <font>
      <u/>
      <color rgb="FF0000FF"/>
    </font>
    <font>
      <u/>
      <sz val="10.0"/>
      <color theme="10"/>
      <name val="Arial"/>
    </font>
    <font>
      <sz val="10.0"/>
      <color rgb="FF1155CC"/>
      <name val="Arial"/>
    </font>
    <font>
      <sz val="10.0"/>
      <color theme="10"/>
      <name val="Arial"/>
    </font>
    <font>
      <u/>
      <sz val="10.0"/>
      <color rgb="FF1155CC"/>
      <name val="Arial"/>
    </font>
    <font>
      <sz val="10.0"/>
      <color rgb="FF202124"/>
      <name val="Arial"/>
    </font>
    <font>
      <sz val="10.0"/>
      <color rgb="FF000000"/>
      <name val="Lato"/>
    </font>
    <font>
      <b/>
      <sz val="11.0"/>
      <color theme="1"/>
      <name val="Calibri"/>
    </font>
    <font>
      <sz val="11.0"/>
      <color theme="1"/>
      <name val="Calibri"/>
    </font>
    <font>
      <b/>
      <sz val="14.0"/>
      <color theme="1"/>
      <name val="Calibri"/>
    </font>
    <font>
      <b/>
      <sz val="12.0"/>
      <color theme="1"/>
      <name val="Calibri"/>
    </font>
  </fonts>
  <fills count="14">
    <fill>
      <patternFill patternType="none"/>
    </fill>
    <fill>
      <patternFill patternType="lightGray"/>
    </fill>
    <fill>
      <patternFill patternType="solid">
        <fgColor rgb="FFEFEFEF"/>
        <bgColor rgb="FFEFEFEF"/>
      </patternFill>
    </fill>
    <fill>
      <patternFill patternType="solid">
        <fgColor rgb="FF9FC5E8"/>
        <bgColor rgb="FF9FC5E8"/>
      </patternFill>
    </fill>
    <fill>
      <patternFill patternType="solid">
        <fgColor rgb="FFF4CCCC"/>
        <bgColor rgb="FFF4CCCC"/>
      </patternFill>
    </fill>
    <fill>
      <patternFill patternType="solid">
        <fgColor rgb="FFFFF2CC"/>
        <bgColor rgb="FFFFF2CC"/>
      </patternFill>
    </fill>
    <fill>
      <patternFill patternType="solid">
        <fgColor rgb="FFD9EAD3"/>
        <bgColor rgb="FFD9EAD3"/>
      </patternFill>
    </fill>
    <fill>
      <patternFill patternType="solid">
        <fgColor rgb="FFFFD966"/>
        <bgColor rgb="FFFFD966"/>
      </patternFill>
    </fill>
    <fill>
      <patternFill patternType="solid">
        <fgColor rgb="FFCCCCCC"/>
        <bgColor rgb="FFCCCCCC"/>
      </patternFill>
    </fill>
    <fill>
      <patternFill patternType="solid">
        <fgColor rgb="FFFFFFFF"/>
        <bgColor rgb="FFFFFFFF"/>
      </patternFill>
    </fill>
    <fill>
      <patternFill patternType="solid">
        <fgColor rgb="FFD5A6BD"/>
        <bgColor rgb="FFD5A6BD"/>
      </patternFill>
    </fill>
    <fill>
      <patternFill patternType="solid">
        <fgColor theme="0"/>
        <bgColor theme="0"/>
      </patternFill>
    </fill>
    <fill>
      <patternFill patternType="solid">
        <fgColor rgb="FFD9D9D9"/>
        <bgColor rgb="FFD9D9D9"/>
      </patternFill>
    </fill>
    <fill>
      <patternFill patternType="solid">
        <fgColor rgb="FFF1C232"/>
        <bgColor rgb="FFF1C232"/>
      </patternFill>
    </fill>
  </fills>
  <borders count="21">
    <border/>
    <border>
      <left/>
      <right/>
      <top/>
      <bottom/>
    </border>
    <border>
      <left style="thin">
        <color rgb="FF000000"/>
      </left>
      <right style="thin">
        <color rgb="FF000000"/>
      </right>
      <top/>
    </border>
    <border>
      <left style="thin">
        <color rgb="FF000000"/>
      </left>
      <right/>
      <top/>
      <bottom/>
    </border>
    <border>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left style="thin">
        <color rgb="FF000000"/>
      </left>
      <right style="thin">
        <color rgb="FF000000"/>
      </right>
      <top/>
      <bottom/>
    </border>
    <border>
      <left style="thin">
        <color rgb="FF000000"/>
      </left>
    </border>
    <border>
      <right style="thin">
        <color rgb="FF000000"/>
      </right>
    </border>
    <border>
      <left/>
      <top/>
    </border>
    <border>
      <right style="thin">
        <color rgb="FF000000"/>
      </right>
      <top/>
    </border>
    <border>
      <right style="thin">
        <color rgb="FF000000"/>
      </right>
      <top/>
      <bottom/>
    </border>
    <border>
      <left/>
      <bottom/>
    </border>
    <border>
      <left style="thin">
        <color rgb="FFCCCCCC"/>
      </left>
      <right style="thin">
        <color rgb="FFCCCCCC"/>
      </right>
      <top style="thin">
        <color rgb="FFCCCCCC"/>
      </top>
      <bottom style="thin">
        <color rgb="FFCCCCCC"/>
      </bottom>
    </border>
    <border>
      <left style="thin">
        <color rgb="FF000000"/>
      </left>
      <right style="thin">
        <color rgb="FF000000"/>
      </righ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s>
  <cellStyleXfs count="1">
    <xf borderId="0" fillId="0" fontId="0" numFmtId="0" applyAlignment="1" applyFont="1"/>
  </cellStyleXfs>
  <cellXfs count="126">
    <xf borderId="0" fillId="0" fontId="0" numFmtId="0" xfId="0" applyAlignment="1" applyFont="1">
      <alignment readingOrder="0" shrinkToFit="0" vertical="bottom" wrapText="0"/>
    </xf>
    <xf borderId="1" fillId="2" fontId="1" numFmtId="0" xfId="0" applyAlignment="1" applyBorder="1" applyFill="1" applyFont="1">
      <alignment shrinkToFit="0" wrapText="1"/>
    </xf>
    <xf borderId="2" fillId="3" fontId="1" numFmtId="0" xfId="0" applyAlignment="1" applyBorder="1" applyFill="1" applyFont="1">
      <alignment shrinkToFit="0" textRotation="90" wrapText="1"/>
    </xf>
    <xf borderId="1" fillId="3" fontId="1" numFmtId="0" xfId="0" applyAlignment="1" applyBorder="1" applyFont="1">
      <alignment shrinkToFit="0" wrapText="1"/>
    </xf>
    <xf borderId="1" fillId="3" fontId="1" numFmtId="14" xfId="0" applyAlignment="1" applyBorder="1" applyFont="1" applyNumberFormat="1">
      <alignment shrinkToFit="0" wrapText="1"/>
    </xf>
    <xf borderId="2" fillId="4" fontId="1" numFmtId="0" xfId="0" applyAlignment="1" applyBorder="1" applyFill="1" applyFont="1">
      <alignment shrinkToFit="0" textRotation="90" wrapText="1"/>
    </xf>
    <xf borderId="3" fillId="4" fontId="1" numFmtId="0" xfId="0" applyAlignment="1" applyBorder="1" applyFont="1">
      <alignment shrinkToFit="0" wrapText="1"/>
    </xf>
    <xf borderId="1" fillId="4" fontId="1" numFmtId="0" xfId="0" applyAlignment="1" applyBorder="1" applyFont="1">
      <alignment shrinkToFit="0" wrapText="1"/>
    </xf>
    <xf borderId="2" fillId="5" fontId="1" numFmtId="0" xfId="0" applyAlignment="1" applyBorder="1" applyFill="1" applyFont="1">
      <alignment shrinkToFit="0" textRotation="90" wrapText="1"/>
    </xf>
    <xf borderId="3" fillId="5" fontId="1" numFmtId="0" xfId="0" applyAlignment="1" applyBorder="1" applyFont="1">
      <alignment shrinkToFit="0" wrapText="1"/>
    </xf>
    <xf borderId="2" fillId="6" fontId="1" numFmtId="0" xfId="0" applyAlignment="1" applyBorder="1" applyFill="1" applyFont="1">
      <alignment shrinkToFit="0" textRotation="90" wrapText="1"/>
    </xf>
    <xf borderId="3" fillId="6" fontId="1" numFmtId="0" xfId="0" applyAlignment="1" applyBorder="1" applyFont="1">
      <alignment shrinkToFit="0" wrapText="1"/>
    </xf>
    <xf borderId="1" fillId="6" fontId="1" numFmtId="0" xfId="0" applyAlignment="1" applyBorder="1" applyFont="1">
      <alignment shrinkToFit="0" wrapText="1"/>
    </xf>
    <xf borderId="0" fillId="0" fontId="1" numFmtId="0" xfId="0" applyAlignment="1" applyFont="1">
      <alignment shrinkToFit="0" wrapText="1"/>
    </xf>
    <xf borderId="4" fillId="0" fontId="2" numFmtId="0" xfId="0" applyAlignment="1" applyBorder="1" applyFont="1">
      <alignment shrinkToFit="0" wrapText="1"/>
    </xf>
    <xf borderId="5" fillId="0" fontId="3" numFmtId="0" xfId="0" applyBorder="1" applyFont="1"/>
    <xf borderId="4" fillId="0" fontId="2" numFmtId="14" xfId="0" applyAlignment="1" applyBorder="1" applyFont="1" applyNumberFormat="1">
      <alignment shrinkToFit="0" wrapText="1"/>
    </xf>
    <xf borderId="6" fillId="0" fontId="2" numFmtId="0" xfId="0" applyAlignment="1" applyBorder="1" applyFont="1">
      <alignment shrinkToFit="0" wrapText="1"/>
    </xf>
    <xf borderId="1" fillId="7" fontId="4" numFmtId="0" xfId="0" applyAlignment="1" applyBorder="1" applyFill="1" applyFont="1">
      <alignment horizontal="center" vertical="center"/>
    </xf>
    <xf borderId="1" fillId="7" fontId="4" numFmtId="0" xfId="0" applyAlignment="1" applyBorder="1" applyFont="1">
      <alignment horizontal="center" shrinkToFit="0" vertical="center" wrapText="1"/>
    </xf>
    <xf borderId="7" fillId="3" fontId="5" numFmtId="0" xfId="0" applyBorder="1" applyFont="1"/>
    <xf borderId="1" fillId="7" fontId="6" numFmtId="0" xfId="0" applyAlignment="1" applyBorder="1" applyFont="1">
      <alignment horizontal="center" readingOrder="0" shrinkToFit="0" vertical="center" wrapText="1"/>
    </xf>
    <xf borderId="1" fillId="7" fontId="5" numFmtId="14" xfId="0" applyAlignment="1" applyBorder="1" applyFont="1" applyNumberFormat="1">
      <alignment horizontal="center" readingOrder="0" shrinkToFit="0" vertical="center" wrapText="1"/>
    </xf>
    <xf borderId="7" fillId="4" fontId="5" numFmtId="0" xfId="0" applyBorder="1" applyFont="1"/>
    <xf borderId="8" fillId="0" fontId="5" numFmtId="0" xfId="0" applyAlignment="1" applyBorder="1" applyFont="1">
      <alignment shrinkToFit="0" wrapText="1"/>
    </xf>
    <xf borderId="0" fillId="0" fontId="5" numFmtId="0" xfId="0" applyAlignment="1" applyFont="1">
      <alignment shrinkToFit="0" wrapText="1"/>
    </xf>
    <xf borderId="7" fillId="5" fontId="5" numFmtId="0" xfId="0" applyBorder="1" applyFont="1"/>
    <xf borderId="7" fillId="6" fontId="5" numFmtId="0" xfId="0" applyBorder="1" applyFont="1"/>
    <xf borderId="0" fillId="0" fontId="5" numFmtId="0" xfId="0" applyFont="1"/>
    <xf borderId="1" fillId="8" fontId="5" numFmtId="0" xfId="0" applyAlignment="1" applyBorder="1" applyFill="1" applyFont="1">
      <alignment horizontal="center" vertical="center"/>
    </xf>
    <xf borderId="0" fillId="0" fontId="5" numFmtId="0" xfId="0" applyAlignment="1" applyFont="1">
      <alignment horizontal="center" readingOrder="0" shrinkToFit="0" vertical="center" wrapText="1"/>
    </xf>
    <xf borderId="0" fillId="0" fontId="5" numFmtId="14" xfId="0" applyAlignment="1" applyFont="1" applyNumberFormat="1">
      <alignment horizontal="center" readingOrder="0" shrinkToFit="0" vertical="center" wrapText="1"/>
    </xf>
    <xf borderId="0" fillId="0" fontId="7" numFmtId="0" xfId="0" applyAlignment="1" applyFont="1">
      <alignment horizontal="center" readingOrder="0" shrinkToFit="0" vertical="center" wrapText="1"/>
    </xf>
    <xf borderId="0" fillId="0" fontId="5" numFmtId="0" xfId="0" applyAlignment="1" applyFont="1">
      <alignment horizontal="center" vertical="center"/>
    </xf>
    <xf borderId="1" fillId="9" fontId="8" numFmtId="0" xfId="0" applyAlignment="1" applyBorder="1" applyFill="1" applyFont="1">
      <alignment horizontal="center" readingOrder="0" shrinkToFit="0" vertical="center" wrapText="1"/>
    </xf>
    <xf borderId="0" fillId="0" fontId="5" numFmtId="0" xfId="0" applyAlignment="1" applyFont="1">
      <alignment horizontal="center" shrinkToFit="0" vertical="center" wrapText="1"/>
    </xf>
    <xf borderId="0" fillId="0" fontId="5" numFmtId="14" xfId="0" applyAlignment="1" applyFont="1" applyNumberFormat="1">
      <alignment horizontal="center" shrinkToFit="0" vertical="center" wrapText="1"/>
    </xf>
    <xf borderId="1" fillId="2" fontId="1" numFmtId="0" xfId="0" applyAlignment="1" applyBorder="1" applyFont="1">
      <alignment horizontal="center" shrinkToFit="0" vertical="center" wrapText="1"/>
    </xf>
    <xf borderId="2" fillId="3" fontId="1" numFmtId="0" xfId="0" applyAlignment="1" applyBorder="1" applyFont="1">
      <alignment horizontal="center" shrinkToFit="0" textRotation="90" vertical="center" wrapText="1"/>
    </xf>
    <xf borderId="1" fillId="3" fontId="1" numFmtId="0" xfId="0" applyAlignment="1" applyBorder="1" applyFont="1">
      <alignment horizontal="center" shrinkToFit="0" vertical="center" wrapText="1"/>
    </xf>
    <xf borderId="2" fillId="4" fontId="1" numFmtId="0" xfId="0" applyAlignment="1" applyBorder="1" applyFont="1">
      <alignment horizontal="center" shrinkToFit="0" textRotation="90" vertical="center" wrapText="1"/>
    </xf>
    <xf borderId="3" fillId="4"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2" fillId="5" fontId="1" numFmtId="0" xfId="0" applyAlignment="1" applyBorder="1" applyFont="1">
      <alignment horizontal="center" shrinkToFit="0" textRotation="90" vertical="center" wrapText="1"/>
    </xf>
    <xf borderId="3" fillId="5" fontId="1" numFmtId="0" xfId="0" applyAlignment="1" applyBorder="1" applyFont="1">
      <alignment horizontal="center" shrinkToFit="0" vertical="center" wrapText="1"/>
    </xf>
    <xf borderId="2" fillId="6" fontId="1" numFmtId="0" xfId="0" applyAlignment="1" applyBorder="1" applyFont="1">
      <alignment horizontal="center" shrinkToFit="0" textRotation="90" vertical="center" wrapText="1"/>
    </xf>
    <xf borderId="3" fillId="6" fontId="1" numFmtId="0" xfId="0" applyAlignment="1" applyBorder="1" applyFont="1">
      <alignment horizontal="center" shrinkToFit="0" vertical="center" wrapText="1"/>
    </xf>
    <xf borderId="1" fillId="6" fontId="1" numFmtId="0" xfId="0" applyAlignment="1" applyBorder="1" applyFont="1">
      <alignment horizontal="center" shrinkToFit="0" vertical="center" wrapText="1"/>
    </xf>
    <xf borderId="1" fillId="10" fontId="1" numFmtId="0" xfId="0" applyAlignment="1" applyBorder="1" applyFill="1" applyFont="1">
      <alignment horizontal="center" shrinkToFit="0" vertical="center" wrapText="1"/>
    </xf>
    <xf borderId="4" fillId="0" fontId="2" numFmtId="0" xfId="0" applyAlignment="1" applyBorder="1" applyFont="1">
      <alignment horizontal="center" shrinkToFit="0" vertical="center" wrapText="1"/>
    </xf>
    <xf borderId="6" fillId="0" fontId="2" numFmtId="0" xfId="0" applyAlignment="1" applyBorder="1" applyFont="1">
      <alignment horizontal="center" shrinkToFit="0" vertical="center" wrapText="1"/>
    </xf>
    <xf borderId="1" fillId="9" fontId="9" numFmtId="0" xfId="0" applyAlignment="1" applyBorder="1" applyFont="1">
      <alignment horizontal="center" shrinkToFit="0" vertical="center" wrapText="1"/>
    </xf>
    <xf borderId="7" fillId="3" fontId="5" numFmtId="0" xfId="0" applyAlignment="1" applyBorder="1" applyFont="1">
      <alignment horizontal="center" shrinkToFit="0" vertical="center" wrapText="1"/>
    </xf>
    <xf borderId="0" fillId="0" fontId="10" numFmtId="0" xfId="0" applyAlignment="1" applyFont="1">
      <alignment horizontal="center" readingOrder="0" shrinkToFit="0" vertical="center" wrapText="1"/>
    </xf>
    <xf borderId="7" fillId="4" fontId="5" numFmtId="0" xfId="0" applyAlignment="1" applyBorder="1" applyFont="1">
      <alignment horizontal="center" shrinkToFit="0" vertical="center" wrapText="1"/>
    </xf>
    <xf borderId="8" fillId="0" fontId="5" numFmtId="0" xfId="0" applyAlignment="1" applyBorder="1" applyFont="1">
      <alignment horizontal="center" shrinkToFit="0" vertical="center" wrapText="1"/>
    </xf>
    <xf borderId="7" fillId="5" fontId="5" numFmtId="0" xfId="0" applyAlignment="1" applyBorder="1" applyFont="1">
      <alignment horizontal="center" shrinkToFit="0" vertical="center" wrapText="1"/>
    </xf>
    <xf borderId="8" fillId="0" fontId="5" numFmtId="0" xfId="0" applyAlignment="1" applyBorder="1" applyFont="1">
      <alignment horizontal="center" readingOrder="0" shrinkToFit="0" vertical="center" wrapText="1"/>
    </xf>
    <xf borderId="7" fillId="6" fontId="5" numFmtId="0" xfId="0" applyAlignment="1" applyBorder="1" applyFont="1">
      <alignment horizontal="center" shrinkToFit="0" vertical="center" wrapText="1"/>
    </xf>
    <xf borderId="0" fillId="0" fontId="5" numFmtId="0" xfId="0" applyAlignment="1" applyFont="1">
      <alignment vertical="center"/>
    </xf>
    <xf borderId="0" fillId="0" fontId="11" numFmtId="0" xfId="0" applyAlignment="1" applyFont="1">
      <alignment horizontal="center" readingOrder="0" shrinkToFit="0" vertical="center" wrapText="1"/>
    </xf>
    <xf borderId="0" fillId="0" fontId="12" numFmtId="0" xfId="0" applyAlignment="1" applyFont="1">
      <alignment horizontal="center" readingOrder="0" shrinkToFit="0" vertical="center" wrapText="1"/>
    </xf>
    <xf borderId="9" fillId="0" fontId="5" numFmtId="0" xfId="0" applyAlignment="1" applyBorder="1" applyFont="1">
      <alignment horizontal="center" readingOrder="0" shrinkToFit="0" vertical="center" wrapText="1"/>
    </xf>
    <xf borderId="10" fillId="11" fontId="5" numFmtId="0" xfId="0" applyAlignment="1" applyBorder="1" applyFill="1" applyFont="1">
      <alignment horizontal="center" readingOrder="0" shrinkToFit="0" vertical="center" wrapText="1"/>
    </xf>
    <xf borderId="11" fillId="11" fontId="5" numFmtId="0" xfId="0" applyAlignment="1" applyBorder="1" applyFont="1">
      <alignment horizontal="center" readingOrder="0" shrinkToFit="0" vertical="center" wrapText="1"/>
    </xf>
    <xf borderId="12" fillId="3" fontId="5" numFmtId="0" xfId="0" applyAlignment="1" applyBorder="1" applyFont="1">
      <alignment horizontal="center" shrinkToFit="0" vertical="center" wrapText="1"/>
    </xf>
    <xf borderId="0" fillId="0" fontId="8" numFmtId="0" xfId="0" applyAlignment="1" applyFont="1">
      <alignment horizontal="center" readingOrder="0" shrinkToFit="0" vertical="center" wrapText="1"/>
    </xf>
    <xf borderId="0" fillId="0" fontId="13" numFmtId="0" xfId="0" applyAlignment="1" applyFont="1">
      <alignment horizontal="center" readingOrder="0" shrinkToFit="0" vertical="center" wrapText="1"/>
    </xf>
    <xf borderId="13" fillId="11" fontId="5" numFmtId="0" xfId="0" applyAlignment="1" applyBorder="1" applyFont="1">
      <alignment horizontal="center" readingOrder="0" shrinkToFit="0" vertical="center" wrapText="1"/>
    </xf>
    <xf borderId="9" fillId="0" fontId="10" numFmtId="0" xfId="0" applyAlignment="1" applyBorder="1" applyFont="1">
      <alignment horizontal="center" readingOrder="0" shrinkToFit="0" vertical="center" wrapText="1"/>
    </xf>
    <xf borderId="0" fillId="0" fontId="10" numFmtId="14" xfId="0" applyAlignment="1" applyFont="1" applyNumberFormat="1">
      <alignment horizontal="center" readingOrder="0" shrinkToFit="0" vertical="center" wrapText="1"/>
    </xf>
    <xf borderId="0" fillId="0" fontId="14" numFmtId="0" xfId="0" applyAlignment="1" applyFont="1">
      <alignment horizontal="center" readingOrder="0" shrinkToFit="0" vertical="center" wrapText="1"/>
    </xf>
    <xf borderId="9" fillId="0" fontId="5" numFmtId="0" xfId="0" applyAlignment="1" applyBorder="1" applyFont="1">
      <alignment horizontal="center" vertical="center"/>
    </xf>
    <xf borderId="7" fillId="3" fontId="5" numFmtId="0" xfId="0" applyAlignment="1" applyBorder="1" applyFont="1">
      <alignment vertical="center"/>
    </xf>
    <xf borderId="0" fillId="0" fontId="8" numFmtId="0" xfId="0" applyAlignment="1" applyFont="1">
      <alignment horizontal="center" shrinkToFit="0" vertical="center" wrapText="1"/>
    </xf>
    <xf borderId="0" fillId="0" fontId="14" numFmtId="0" xfId="0" applyAlignment="1" applyFont="1">
      <alignment horizontal="center" shrinkToFit="0" vertical="center" wrapText="1"/>
    </xf>
    <xf borderId="7" fillId="4" fontId="5" numFmtId="0" xfId="0" applyAlignment="1" applyBorder="1" applyFont="1">
      <alignment vertical="center"/>
    </xf>
    <xf borderId="8" fillId="0" fontId="5" numFmtId="0" xfId="0" applyAlignment="1" applyBorder="1" applyFont="1">
      <alignment shrinkToFit="0" vertical="center" wrapText="1"/>
    </xf>
    <xf borderId="0" fillId="0" fontId="5" numFmtId="0" xfId="0" applyAlignment="1" applyFont="1">
      <alignment shrinkToFit="0" vertical="center" wrapText="1"/>
    </xf>
    <xf borderId="7" fillId="5" fontId="5" numFmtId="0" xfId="0" applyAlignment="1" applyBorder="1" applyFont="1">
      <alignment vertical="center"/>
    </xf>
    <xf borderId="7" fillId="6" fontId="5" numFmtId="0" xfId="0" applyAlignment="1" applyBorder="1" applyFont="1">
      <alignment vertical="center"/>
    </xf>
    <xf borderId="9" fillId="0" fontId="8" numFmtId="0" xfId="0" applyAlignment="1" applyBorder="1" applyFont="1">
      <alignment horizontal="center" vertical="center"/>
    </xf>
    <xf borderId="0" fillId="0" fontId="15" numFmtId="0" xfId="0" applyAlignment="1" applyFont="1">
      <alignment shrinkToFit="0" wrapText="1"/>
    </xf>
    <xf borderId="9" fillId="0" fontId="5" numFmtId="0" xfId="0" applyAlignment="1" applyBorder="1" applyFont="1">
      <alignment horizontal="center" shrinkToFit="0" vertical="center" wrapText="1"/>
    </xf>
    <xf borderId="1" fillId="9" fontId="16" numFmtId="0" xfId="0" applyAlignment="1" applyBorder="1" applyFont="1">
      <alignment horizontal="center" shrinkToFit="0" vertical="center" wrapText="1"/>
    </xf>
    <xf borderId="0" fillId="0" fontId="10" numFmtId="0" xfId="0" applyFont="1"/>
    <xf borderId="0" fillId="0" fontId="8" numFmtId="22" xfId="0" applyFont="1" applyNumberFormat="1"/>
    <xf borderId="1" fillId="12" fontId="1" numFmtId="0" xfId="0" applyAlignment="1" applyBorder="1" applyFill="1" applyFont="1">
      <alignment shrinkToFit="0" wrapText="1"/>
    </xf>
    <xf borderId="1" fillId="13" fontId="1" numFmtId="0" xfId="0" applyAlignment="1" applyBorder="1" applyFill="1" applyFont="1">
      <alignment shrinkToFit="0" wrapText="1"/>
    </xf>
    <xf borderId="0" fillId="0" fontId="8" numFmtId="0" xfId="0" applyAlignment="1" applyFont="1">
      <alignment shrinkToFit="0" wrapText="1"/>
    </xf>
    <xf borderId="0" fillId="0" fontId="8" numFmtId="0" xfId="0" applyAlignment="1" applyFont="1">
      <alignment horizontal="left" shrinkToFit="0" wrapText="1"/>
    </xf>
    <xf borderId="14" fillId="0" fontId="17" numFmtId="0" xfId="0" applyAlignment="1" applyBorder="1" applyFont="1">
      <alignment shrinkToFit="0" wrapText="1"/>
    </xf>
    <xf borderId="0" fillId="0" fontId="5" numFmtId="0" xfId="0" applyAlignment="1" applyFont="1">
      <alignment horizontal="left" shrinkToFit="0" wrapText="1"/>
    </xf>
    <xf borderId="1" fillId="9" fontId="6" numFmtId="0" xfId="0" applyAlignment="1" applyBorder="1" applyFont="1">
      <alignment shrinkToFit="0" wrapText="1"/>
    </xf>
    <xf borderId="0" fillId="0" fontId="8" numFmtId="164" xfId="0" applyAlignment="1" applyFont="1" applyNumberFormat="1">
      <alignment horizontal="left" shrinkToFit="0" wrapText="1"/>
    </xf>
    <xf borderId="0" fillId="0" fontId="5" numFmtId="165" xfId="0" applyAlignment="1" applyFont="1" applyNumberFormat="1">
      <alignment horizontal="left" shrinkToFit="0" wrapText="1"/>
    </xf>
    <xf borderId="0" fillId="0" fontId="8" numFmtId="165" xfId="0" applyAlignment="1" applyFont="1" applyNumberFormat="1">
      <alignment horizontal="left" shrinkToFit="0" wrapText="1"/>
    </xf>
    <xf borderId="15" fillId="0" fontId="18" numFmtId="0" xfId="0" applyAlignment="1" applyBorder="1" applyFont="1">
      <alignment horizontal="center" shrinkToFit="0" vertical="center" wrapText="1"/>
    </xf>
    <xf borderId="0" fillId="0" fontId="19" numFmtId="0" xfId="0" applyAlignment="1" applyFont="1">
      <alignment horizontal="center" shrinkToFit="0" vertical="center" wrapText="1"/>
    </xf>
    <xf borderId="0" fillId="0" fontId="19" numFmtId="0" xfId="0" applyAlignment="1" applyFont="1">
      <alignment horizontal="center" readingOrder="0" vertical="center"/>
    </xf>
    <xf borderId="0" fillId="0" fontId="10" numFmtId="0" xfId="0" applyAlignment="1" applyFont="1">
      <alignment horizontal="center" shrinkToFit="0" vertical="center" wrapText="1"/>
    </xf>
    <xf borderId="0" fillId="0" fontId="19" numFmtId="0" xfId="0" applyAlignment="1" applyFont="1">
      <alignment horizontal="center" readingOrder="0" shrinkToFit="0" vertical="center" wrapText="1"/>
    </xf>
    <xf borderId="0" fillId="0" fontId="10" numFmtId="0" xfId="0" applyAlignment="1" applyFont="1">
      <alignment horizontal="center" vertical="center"/>
    </xf>
    <xf borderId="15" fillId="0" fontId="18" numFmtId="0" xfId="0" applyAlignment="1" applyBorder="1" applyFont="1">
      <alignment horizontal="center" vertical="center"/>
    </xf>
    <xf borderId="16" fillId="0" fontId="18" numFmtId="0" xfId="0" applyAlignment="1" applyBorder="1" applyFont="1">
      <alignment horizontal="center" shrinkToFit="0" vertical="center" wrapText="1"/>
    </xf>
    <xf borderId="15" fillId="0" fontId="18" numFmtId="0" xfId="0" applyAlignment="1" applyBorder="1" applyFont="1">
      <alignment horizontal="center" shrinkToFit="0" vertical="top" wrapText="1"/>
    </xf>
    <xf borderId="17" fillId="0" fontId="20" numFmtId="0" xfId="0" applyAlignment="1" applyBorder="1" applyFont="1">
      <alignment horizontal="center"/>
    </xf>
    <xf borderId="16" fillId="0" fontId="3" numFmtId="0" xfId="0" applyBorder="1" applyFont="1"/>
    <xf borderId="0" fillId="0" fontId="19" numFmtId="0" xfId="0" applyAlignment="1" applyFont="1">
      <alignment horizontal="center" vertical="center"/>
    </xf>
    <xf borderId="0" fillId="0" fontId="19" numFmtId="0" xfId="0" applyFont="1"/>
    <xf borderId="15" fillId="0" fontId="21" numFmtId="0" xfId="0" applyAlignment="1" applyBorder="1" applyFont="1">
      <alignment horizontal="center"/>
    </xf>
    <xf borderId="17" fillId="0" fontId="18" numFmtId="0" xfId="0" applyAlignment="1" applyBorder="1" applyFont="1">
      <alignment horizontal="center"/>
    </xf>
    <xf borderId="15" fillId="0" fontId="19" numFmtId="0" xfId="0" applyAlignment="1" applyBorder="1" applyFont="1">
      <alignment horizontal="left"/>
    </xf>
    <xf borderId="15" fillId="0" fontId="19" numFmtId="0" xfId="0" applyAlignment="1" applyBorder="1" applyFont="1">
      <alignment horizontal="center"/>
    </xf>
    <xf borderId="15" fillId="0" fontId="19" numFmtId="0" xfId="0" applyAlignment="1" applyBorder="1" applyFont="1">
      <alignment horizontal="left" readingOrder="0"/>
    </xf>
    <xf borderId="15" fillId="0" fontId="18" numFmtId="0" xfId="0" applyAlignment="1" applyBorder="1" applyFont="1">
      <alignment horizontal="center"/>
    </xf>
    <xf borderId="0" fillId="0" fontId="19" numFmtId="0" xfId="0" applyAlignment="1" applyFont="1">
      <alignment horizontal="center"/>
    </xf>
    <xf borderId="0" fillId="0" fontId="19" numFmtId="0" xfId="0" applyAlignment="1" applyFont="1">
      <alignment readingOrder="0"/>
    </xf>
    <xf borderId="0" fillId="0" fontId="18" numFmtId="0" xfId="0" applyAlignment="1" applyFont="1">
      <alignment horizontal="center" vertical="center"/>
    </xf>
    <xf borderId="18" fillId="0" fontId="18" numFmtId="0" xfId="0" applyAlignment="1" applyBorder="1" applyFont="1">
      <alignment horizontal="center" shrinkToFit="0" vertical="center" wrapText="1"/>
    </xf>
    <xf borderId="19" fillId="0" fontId="18" numFmtId="0" xfId="0" applyAlignment="1" applyBorder="1" applyFont="1">
      <alignment horizontal="center" shrinkToFit="0" vertical="center" wrapText="1"/>
    </xf>
    <xf borderId="20" fillId="0" fontId="18" numFmtId="0" xfId="0" applyAlignment="1" applyBorder="1" applyFont="1">
      <alignment horizontal="center" shrinkToFit="0" vertical="center" wrapText="1"/>
    </xf>
    <xf borderId="0" fillId="0" fontId="19" numFmtId="0" xfId="0" applyAlignment="1" applyFont="1">
      <alignment shrinkToFit="0" vertical="center" wrapText="1"/>
    </xf>
    <xf borderId="15" fillId="0" fontId="19" numFmtId="0" xfId="0" applyAlignment="1" applyBorder="1" applyFont="1">
      <alignment horizontal="center" shrinkToFit="0" vertical="center" wrapText="1"/>
    </xf>
    <xf borderId="0" fillId="0" fontId="19" numFmtId="0" xfId="0" applyAlignment="1" applyFont="1">
      <alignment vertical="center"/>
    </xf>
    <xf borderId="15" fillId="0" fontId="19" numFmtId="0" xfId="0" applyAlignment="1" applyBorder="1" applyFont="1">
      <alignment horizontal="center" readingOrder="0" shrinkToFit="0" vertical="center" wrapText="1"/>
    </xf>
  </cellXfs>
  <cellStyles count="1">
    <cellStyle xfId="0" name="Normal" builtinId="0"/>
  </cellStyles>
  <dxfs count="3">
    <dxf>
      <font>
        <b/>
        <color rgb="FF38761D"/>
      </font>
      <fill>
        <patternFill patternType="solid">
          <fgColor rgb="FFD9EAD3"/>
          <bgColor rgb="FFD9EAD3"/>
        </patternFill>
      </fill>
      <border/>
    </dxf>
    <dxf>
      <font>
        <b/>
        <color rgb="FF990000"/>
      </font>
      <fill>
        <patternFill patternType="solid">
          <fgColor rgb="FFF4CCCC"/>
          <bgColor rgb="FFF4CCCC"/>
        </patternFill>
      </fill>
      <border/>
    </dxf>
    <dxf>
      <font>
        <b/>
        <color rgb="FFBF9000"/>
      </font>
      <fill>
        <patternFill patternType="solid">
          <fgColor rgb="FFFFF2CC"/>
          <bgColor rgb="FFFFF2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nasa.gov/wp-content/uploads/2024/07/civil-space-shortfall-ranking-july-2024.pdf?emrc=7dbadc" TargetMode="External"/><Relationship Id="rId2" Type="http://schemas.openxmlformats.org/officeDocument/2006/relationships/hyperlink" Target="https://www.scribd.com/document/1036679111/NASA-2026-2027-SBIR-STTR-BAA-Appendix-26B-I-SBIR" TargetMode="External"/><Relationship Id="rId3" Type="http://schemas.openxmlformats.org/officeDocument/2006/relationships/hyperlink" Target="https://www.nationalacademies.org/read/26522/chapter/4" TargetMode="External"/><Relationship Id="rId4" Type="http://schemas.openxmlformats.org/officeDocument/2006/relationships/hyperlink" Target="https://www.scribd.com/document/1036679111/NASA-2026-2027-SBIR-STTR-BAA-Appendix-26B-I-SBIR"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www.nationalacademies.org/read/26522" TargetMode="External"/><Relationship Id="rId2" Type="http://schemas.openxmlformats.org/officeDocument/2006/relationships/hyperlink" Target="https://www.nasa.gov/wp-content/uploads/2024/07/civil-space-shortfall-ranking-july-2024.pdf" TargetMode="External"/><Relationship Id="rId3"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2.0" topLeftCell="A3" activePane="bottomLeft" state="frozen"/>
      <selection activeCell="B4" sqref="B4" pane="bottomLeft"/>
    </sheetView>
  </sheetViews>
  <sheetFormatPr customHeight="1" defaultColWidth="12.63" defaultRowHeight="15.0"/>
  <cols>
    <col customWidth="1" min="1" max="1" width="21.63"/>
    <col customWidth="1" min="2" max="2" width="18.75"/>
    <col customWidth="1" min="3" max="3" width="7.0"/>
    <col customWidth="1" min="4" max="4" width="30.88"/>
    <col customWidth="1" min="5" max="8" width="21.63"/>
    <col customWidth="1" hidden="1" min="9" max="9" width="7.0"/>
    <col customWidth="1" hidden="1" min="10" max="12" width="21.63"/>
    <col customWidth="1" hidden="1" min="13" max="13" width="7.0"/>
    <col customWidth="1" hidden="1" min="14" max="14" width="21.63"/>
    <col customWidth="1" min="15" max="15" width="7.0"/>
    <col customWidth="1" min="16" max="16" width="21.63"/>
    <col customWidth="1" min="17" max="31" width="14.38"/>
  </cols>
  <sheetData>
    <row r="1" ht="15.75" customHeight="1">
      <c r="A1" s="1" t="s">
        <v>0</v>
      </c>
      <c r="B1" s="1" t="s">
        <v>1</v>
      </c>
      <c r="C1" s="2" t="s">
        <v>2</v>
      </c>
      <c r="D1" s="3" t="s">
        <v>3</v>
      </c>
      <c r="E1" s="4" t="s">
        <v>4</v>
      </c>
      <c r="F1" s="3" t="s">
        <v>5</v>
      </c>
      <c r="G1" s="3" t="s">
        <v>6</v>
      </c>
      <c r="H1" s="3" t="s">
        <v>7</v>
      </c>
      <c r="I1" s="5" t="s">
        <v>8</v>
      </c>
      <c r="J1" s="6" t="s">
        <v>9</v>
      </c>
      <c r="K1" s="7" t="s">
        <v>10</v>
      </c>
      <c r="L1" s="7" t="s">
        <v>5</v>
      </c>
      <c r="M1" s="8" t="s">
        <v>11</v>
      </c>
      <c r="N1" s="9" t="s">
        <v>12</v>
      </c>
      <c r="O1" s="10" t="s">
        <v>13</v>
      </c>
      <c r="P1" s="11" t="s">
        <v>14</v>
      </c>
      <c r="Q1" s="12" t="s">
        <v>15</v>
      </c>
      <c r="R1" s="12" t="s">
        <v>16</v>
      </c>
      <c r="S1" s="12" t="s">
        <v>17</v>
      </c>
      <c r="T1" s="13"/>
      <c r="U1" s="13"/>
      <c r="V1" s="13"/>
      <c r="W1" s="13"/>
      <c r="X1" s="13"/>
      <c r="Y1" s="13"/>
      <c r="Z1" s="13"/>
      <c r="AA1" s="13"/>
      <c r="AB1" s="13"/>
      <c r="AC1" s="13"/>
      <c r="AD1" s="13"/>
      <c r="AE1" s="13"/>
    </row>
    <row r="2">
      <c r="A2" s="14" t="s">
        <v>18</v>
      </c>
      <c r="B2" s="14" t="s">
        <v>19</v>
      </c>
      <c r="C2" s="15"/>
      <c r="D2" s="14" t="s">
        <v>20</v>
      </c>
      <c r="E2" s="16" t="s">
        <v>21</v>
      </c>
      <c r="F2" s="14" t="s">
        <v>22</v>
      </c>
      <c r="G2" s="14" t="s">
        <v>23</v>
      </c>
      <c r="H2" s="14" t="s">
        <v>24</v>
      </c>
      <c r="I2" s="15"/>
      <c r="J2" s="17" t="s">
        <v>25</v>
      </c>
      <c r="K2" s="14" t="s">
        <v>26</v>
      </c>
      <c r="L2" s="14"/>
      <c r="M2" s="15"/>
      <c r="N2" s="17" t="s">
        <v>27</v>
      </c>
      <c r="O2" s="15"/>
      <c r="P2" s="17"/>
      <c r="Q2" s="14" t="s">
        <v>28</v>
      </c>
      <c r="R2" s="14" t="s">
        <v>29</v>
      </c>
      <c r="S2" s="14"/>
      <c r="T2" s="14"/>
      <c r="U2" s="14"/>
      <c r="V2" s="14"/>
      <c r="W2" s="14"/>
      <c r="X2" s="14"/>
      <c r="Y2" s="14"/>
      <c r="Z2" s="14"/>
      <c r="AA2" s="14"/>
      <c r="AB2" s="14"/>
      <c r="AC2" s="14"/>
      <c r="AD2" s="14"/>
      <c r="AE2" s="14"/>
    </row>
    <row r="3">
      <c r="A3" s="18" t="s">
        <v>30</v>
      </c>
      <c r="B3" s="19" t="s">
        <v>30</v>
      </c>
      <c r="C3" s="20"/>
      <c r="D3" s="21" t="s">
        <v>31</v>
      </c>
      <c r="E3" s="22">
        <v>46187.0</v>
      </c>
      <c r="F3" s="19" t="s">
        <v>32</v>
      </c>
      <c r="G3" s="19" t="s">
        <v>32</v>
      </c>
      <c r="H3" s="19" t="s">
        <v>32</v>
      </c>
      <c r="I3" s="23"/>
      <c r="J3" s="24"/>
      <c r="K3" s="25"/>
      <c r="L3" s="25"/>
      <c r="M3" s="26"/>
      <c r="N3" s="24"/>
      <c r="O3" s="27"/>
      <c r="P3" s="24"/>
      <c r="Q3" s="25"/>
      <c r="R3" s="25"/>
      <c r="S3" s="28"/>
      <c r="T3" s="28"/>
      <c r="U3" s="28"/>
      <c r="V3" s="28"/>
      <c r="W3" s="28"/>
      <c r="X3" s="28"/>
      <c r="Y3" s="28"/>
      <c r="Z3" s="28"/>
      <c r="AA3" s="28"/>
      <c r="AB3" s="28"/>
      <c r="AC3" s="28"/>
      <c r="AD3" s="28"/>
      <c r="AE3" s="28"/>
    </row>
    <row r="4">
      <c r="A4" s="29" t="s">
        <v>33</v>
      </c>
      <c r="B4" s="30" t="s">
        <v>34</v>
      </c>
      <c r="C4" s="20"/>
      <c r="D4" s="30" t="s">
        <v>35</v>
      </c>
      <c r="E4" s="31">
        <v>46187.0</v>
      </c>
      <c r="F4" s="32" t="s">
        <v>36</v>
      </c>
      <c r="G4" s="33"/>
      <c r="H4" s="33"/>
      <c r="I4" s="23"/>
      <c r="J4" s="24"/>
      <c r="K4" s="25"/>
      <c r="L4" s="25"/>
      <c r="M4" s="26"/>
      <c r="N4" s="24"/>
      <c r="O4" s="27"/>
      <c r="P4" s="24"/>
      <c r="Q4" s="25"/>
      <c r="R4" s="25"/>
      <c r="S4" s="28"/>
      <c r="T4" s="28"/>
      <c r="U4" s="28"/>
      <c r="V4" s="28"/>
      <c r="W4" s="28"/>
      <c r="X4" s="28"/>
      <c r="Y4" s="28"/>
      <c r="Z4" s="28"/>
      <c r="AA4" s="28"/>
      <c r="AB4" s="28"/>
      <c r="AC4" s="28"/>
      <c r="AD4" s="28"/>
      <c r="AE4" s="28"/>
    </row>
    <row r="5">
      <c r="A5" s="29" t="s">
        <v>37</v>
      </c>
      <c r="B5" s="30" t="s">
        <v>38</v>
      </c>
      <c r="C5" s="20"/>
      <c r="D5" s="34" t="s">
        <v>39</v>
      </c>
      <c r="E5" s="31">
        <v>46187.0</v>
      </c>
      <c r="F5" s="32" t="s">
        <v>40</v>
      </c>
      <c r="G5" s="33"/>
      <c r="H5" s="33"/>
      <c r="I5" s="23"/>
      <c r="J5" s="24"/>
      <c r="K5" s="25"/>
      <c r="L5" s="25"/>
      <c r="M5" s="26"/>
      <c r="N5" s="24"/>
      <c r="O5" s="27"/>
      <c r="P5" s="24"/>
      <c r="Q5" s="25"/>
      <c r="R5" s="25"/>
      <c r="S5" s="28"/>
      <c r="T5" s="28"/>
      <c r="U5" s="28"/>
      <c r="V5" s="28"/>
      <c r="W5" s="28"/>
      <c r="X5" s="28"/>
      <c r="Y5" s="28"/>
      <c r="Z5" s="28"/>
      <c r="AA5" s="28"/>
      <c r="AB5" s="28"/>
      <c r="AC5" s="28"/>
      <c r="AD5" s="28"/>
      <c r="AE5" s="28"/>
    </row>
    <row r="6">
      <c r="A6" s="29" t="s">
        <v>41</v>
      </c>
      <c r="B6" s="30" t="s">
        <v>42</v>
      </c>
      <c r="C6" s="20"/>
      <c r="D6" s="30" t="s">
        <v>43</v>
      </c>
      <c r="E6" s="31">
        <v>46187.0</v>
      </c>
      <c r="F6" s="32" t="s">
        <v>44</v>
      </c>
      <c r="G6" s="33"/>
      <c r="H6" s="33"/>
      <c r="I6" s="23"/>
      <c r="J6" s="24"/>
      <c r="K6" s="25"/>
      <c r="L6" s="25"/>
      <c r="M6" s="26"/>
      <c r="N6" s="24"/>
      <c r="O6" s="27"/>
      <c r="P6" s="24"/>
      <c r="Q6" s="25"/>
      <c r="R6" s="25"/>
      <c r="S6" s="28"/>
      <c r="T6" s="28"/>
      <c r="U6" s="28"/>
      <c r="V6" s="28"/>
      <c r="W6" s="28"/>
      <c r="X6" s="28"/>
      <c r="Y6" s="28"/>
      <c r="Z6" s="28"/>
      <c r="AA6" s="28"/>
      <c r="AB6" s="28"/>
      <c r="AC6" s="28"/>
      <c r="AD6" s="28"/>
      <c r="AE6" s="28"/>
    </row>
    <row r="7">
      <c r="A7" s="29" t="s">
        <v>45</v>
      </c>
      <c r="B7" s="30" t="s">
        <v>46</v>
      </c>
      <c r="C7" s="20"/>
      <c r="D7" s="30" t="s">
        <v>47</v>
      </c>
      <c r="E7" s="31">
        <v>46187.0</v>
      </c>
      <c r="F7" s="32" t="s">
        <v>48</v>
      </c>
      <c r="G7" s="33"/>
      <c r="H7" s="33"/>
      <c r="I7" s="23"/>
      <c r="J7" s="24"/>
      <c r="K7" s="25"/>
      <c r="L7" s="25"/>
      <c r="M7" s="26"/>
      <c r="N7" s="24"/>
      <c r="O7" s="27"/>
      <c r="P7" s="24"/>
      <c r="Q7" s="25"/>
      <c r="R7" s="25"/>
      <c r="S7" s="28"/>
      <c r="T7" s="28"/>
      <c r="U7" s="28"/>
      <c r="V7" s="28"/>
      <c r="W7" s="28"/>
      <c r="X7" s="28"/>
      <c r="Y7" s="28"/>
      <c r="Z7" s="28"/>
      <c r="AA7" s="28"/>
      <c r="AB7" s="28"/>
      <c r="AC7" s="28"/>
      <c r="AD7" s="28"/>
      <c r="AE7" s="28"/>
    </row>
    <row r="8" ht="15.75" customHeight="1">
      <c r="A8" s="33"/>
      <c r="B8" s="35"/>
      <c r="C8" s="20"/>
      <c r="D8" s="35"/>
      <c r="E8" s="36"/>
      <c r="F8" s="35"/>
      <c r="G8" s="33"/>
      <c r="H8" s="33"/>
      <c r="I8" s="23"/>
      <c r="J8" s="24"/>
      <c r="K8" s="25"/>
      <c r="L8" s="25"/>
      <c r="M8" s="26"/>
      <c r="N8" s="24"/>
      <c r="O8" s="27"/>
      <c r="P8" s="24"/>
      <c r="Q8" s="25"/>
      <c r="R8" s="25"/>
      <c r="S8" s="28"/>
      <c r="T8" s="28"/>
      <c r="U8" s="28"/>
      <c r="V8" s="28"/>
      <c r="W8" s="28"/>
      <c r="X8" s="28"/>
      <c r="Y8" s="28"/>
      <c r="Z8" s="28"/>
      <c r="AA8" s="28"/>
      <c r="AB8" s="28"/>
      <c r="AC8" s="28"/>
      <c r="AD8" s="28"/>
      <c r="AE8" s="28"/>
    </row>
    <row r="9" ht="15.75" customHeight="1">
      <c r="A9" s="33"/>
      <c r="B9" s="35"/>
      <c r="C9" s="20"/>
      <c r="D9" s="35"/>
      <c r="E9" s="36"/>
      <c r="F9" s="35"/>
      <c r="G9" s="33"/>
      <c r="H9" s="33"/>
      <c r="I9" s="23"/>
      <c r="J9" s="24"/>
      <c r="K9" s="25"/>
      <c r="L9" s="25"/>
      <c r="M9" s="26"/>
      <c r="N9" s="24"/>
      <c r="O9" s="27"/>
      <c r="P9" s="24"/>
      <c r="Q9" s="25"/>
      <c r="R9" s="25"/>
      <c r="S9" s="28"/>
      <c r="T9" s="28"/>
      <c r="U9" s="28"/>
      <c r="V9" s="28"/>
      <c r="W9" s="28"/>
      <c r="X9" s="28"/>
      <c r="Y9" s="28"/>
      <c r="Z9" s="28"/>
      <c r="AA9" s="28"/>
      <c r="AB9" s="28"/>
      <c r="AC9" s="28"/>
      <c r="AD9" s="28"/>
      <c r="AE9" s="28"/>
    </row>
    <row r="10" ht="15.75" customHeight="1">
      <c r="A10" s="33"/>
      <c r="B10" s="35"/>
      <c r="C10" s="20"/>
      <c r="D10" s="35"/>
      <c r="E10" s="36"/>
      <c r="F10" s="35"/>
      <c r="G10" s="33"/>
      <c r="H10" s="33"/>
      <c r="I10" s="23"/>
      <c r="J10" s="24"/>
      <c r="K10" s="25"/>
      <c r="L10" s="25"/>
      <c r="M10" s="26"/>
      <c r="N10" s="24"/>
      <c r="O10" s="27"/>
      <c r="P10" s="24"/>
      <c r="Q10" s="25"/>
      <c r="R10" s="25"/>
      <c r="S10" s="28"/>
      <c r="T10" s="28"/>
      <c r="U10" s="28"/>
      <c r="V10" s="28"/>
      <c r="W10" s="28"/>
      <c r="X10" s="28"/>
      <c r="Y10" s="28"/>
      <c r="Z10" s="28"/>
      <c r="AA10" s="28"/>
      <c r="AB10" s="28"/>
      <c r="AC10" s="28"/>
      <c r="AD10" s="28"/>
      <c r="AE10" s="28"/>
    </row>
    <row r="11" ht="15.75" customHeight="1">
      <c r="A11" s="33"/>
      <c r="B11" s="35"/>
      <c r="C11" s="20"/>
      <c r="D11" s="35"/>
      <c r="E11" s="36"/>
      <c r="F11" s="35"/>
      <c r="G11" s="33"/>
      <c r="H11" s="33"/>
      <c r="I11" s="23"/>
      <c r="J11" s="24"/>
      <c r="K11" s="25"/>
      <c r="L11" s="25"/>
      <c r="M11" s="26"/>
      <c r="N11" s="24"/>
      <c r="O11" s="27"/>
      <c r="P11" s="24"/>
      <c r="Q11" s="25"/>
      <c r="R11" s="25"/>
      <c r="S11" s="28"/>
      <c r="T11" s="28"/>
      <c r="U11" s="28"/>
      <c r="V11" s="28"/>
      <c r="W11" s="28"/>
      <c r="X11" s="28"/>
      <c r="Y11" s="28"/>
      <c r="Z11" s="28"/>
      <c r="AA11" s="28"/>
      <c r="AB11" s="28"/>
      <c r="AC11" s="28"/>
      <c r="AD11" s="28"/>
      <c r="AE11" s="28"/>
    </row>
  </sheetData>
  <mergeCells count="4">
    <mergeCell ref="C1:C2"/>
    <mergeCell ref="I1:I2"/>
    <mergeCell ref="M1:M2"/>
    <mergeCell ref="O1:O2"/>
  </mergeCells>
  <hyperlinks>
    <hyperlink r:id="rId1" ref="F4"/>
    <hyperlink r:id="rId2" ref="F5"/>
    <hyperlink r:id="rId3" location="81" ref="F6"/>
    <hyperlink r:id="rId4" ref="F7"/>
  </hyperlinks>
  <printOptions/>
  <pageMargins bottom="0.75" footer="0.0" header="0.0" left="0.7" right="0.7" top="0.75"/>
  <pageSetup paperSize="3" orientation="landscape"/>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xSplit="1.0" ySplit="2.0" topLeftCell="B3" activePane="bottomRight" state="frozen"/>
      <selection activeCell="B1" sqref="B1" pane="topRight"/>
      <selection activeCell="A3" sqref="A3" pane="bottomLeft"/>
      <selection activeCell="B3" sqref="B3" pane="bottomRight"/>
    </sheetView>
  </sheetViews>
  <sheetFormatPr customHeight="1" defaultColWidth="12.63" defaultRowHeight="15.0"/>
  <cols>
    <col customWidth="1" min="1" max="1" width="21.63"/>
    <col customWidth="1" min="2" max="2" width="38.38"/>
    <col customWidth="1" min="3" max="3" width="3.38"/>
    <col customWidth="1" min="4" max="4" width="28.0"/>
    <col customWidth="1" min="5" max="5" width="17.13"/>
    <col customWidth="1" min="6" max="6" width="27.13"/>
    <col customWidth="1" min="7" max="7" width="27.25"/>
    <col customWidth="1" min="8" max="8" width="21.25"/>
    <col customWidth="1" min="9" max="9" width="21.63"/>
    <col customWidth="1" hidden="1" min="10" max="10" width="7.0"/>
    <col customWidth="1" hidden="1" min="11" max="13" width="21.63"/>
    <col customWidth="1" min="14" max="14" width="3.38"/>
    <col customWidth="1" min="15" max="15" width="21.63"/>
    <col customWidth="1" min="16" max="16" width="3.38"/>
    <col customWidth="1" min="17" max="17" width="19.75"/>
    <col customWidth="1" min="18" max="18" width="23.38"/>
    <col customWidth="1" min="19" max="19" width="14.38"/>
    <col customWidth="1" min="20" max="20" width="12.25"/>
    <col customWidth="1" min="21" max="32" width="14.38"/>
  </cols>
  <sheetData>
    <row r="1" ht="15.75" customHeight="1">
      <c r="A1" s="37"/>
      <c r="B1" s="37" t="s">
        <v>1</v>
      </c>
      <c r="C1" s="38" t="s">
        <v>2</v>
      </c>
      <c r="D1" s="39" t="s">
        <v>3</v>
      </c>
      <c r="E1" s="39" t="s">
        <v>4</v>
      </c>
      <c r="F1" s="39" t="s">
        <v>49</v>
      </c>
      <c r="G1" s="39" t="s">
        <v>5</v>
      </c>
      <c r="H1" s="39" t="s">
        <v>6</v>
      </c>
      <c r="I1" s="39" t="s">
        <v>7</v>
      </c>
      <c r="J1" s="40" t="s">
        <v>8</v>
      </c>
      <c r="K1" s="41" t="s">
        <v>9</v>
      </c>
      <c r="L1" s="42" t="s">
        <v>10</v>
      </c>
      <c r="M1" s="42" t="s">
        <v>5</v>
      </c>
      <c r="N1" s="43" t="s">
        <v>11</v>
      </c>
      <c r="O1" s="44" t="s">
        <v>12</v>
      </c>
      <c r="P1" s="45" t="s">
        <v>13</v>
      </c>
      <c r="Q1" s="46" t="s">
        <v>14</v>
      </c>
      <c r="R1" s="47" t="s">
        <v>15</v>
      </c>
      <c r="S1" s="47" t="s">
        <v>16</v>
      </c>
      <c r="T1" s="47" t="s">
        <v>17</v>
      </c>
      <c r="U1" s="48" t="s">
        <v>50</v>
      </c>
      <c r="V1" s="13"/>
      <c r="W1" s="13"/>
      <c r="X1" s="13"/>
      <c r="Y1" s="13"/>
      <c r="Z1" s="13"/>
      <c r="AA1" s="13"/>
      <c r="AB1" s="13"/>
      <c r="AC1" s="13"/>
      <c r="AD1" s="13"/>
      <c r="AE1" s="13"/>
      <c r="AF1" s="13"/>
    </row>
    <row r="2">
      <c r="A2" s="49" t="s">
        <v>51</v>
      </c>
      <c r="B2" s="49" t="s">
        <v>19</v>
      </c>
      <c r="C2" s="15"/>
      <c r="D2" s="49" t="s">
        <v>52</v>
      </c>
      <c r="E2" s="49" t="s">
        <v>21</v>
      </c>
      <c r="F2" s="49"/>
      <c r="G2" s="49" t="s">
        <v>22</v>
      </c>
      <c r="H2" s="49" t="s">
        <v>23</v>
      </c>
      <c r="I2" s="49" t="s">
        <v>24</v>
      </c>
      <c r="J2" s="15"/>
      <c r="K2" s="50" t="s">
        <v>25</v>
      </c>
      <c r="L2" s="49" t="s">
        <v>26</v>
      </c>
      <c r="M2" s="49"/>
      <c r="N2" s="15"/>
      <c r="O2" s="50" t="s">
        <v>27</v>
      </c>
      <c r="P2" s="15"/>
      <c r="Q2" s="50"/>
      <c r="R2" s="49" t="s">
        <v>28</v>
      </c>
      <c r="S2" s="49" t="s">
        <v>29</v>
      </c>
      <c r="T2" s="49"/>
      <c r="U2" s="51" t="s">
        <v>53</v>
      </c>
      <c r="V2" s="14"/>
      <c r="W2" s="14"/>
      <c r="X2" s="14"/>
      <c r="Y2" s="14"/>
      <c r="Z2" s="14"/>
      <c r="AA2" s="14"/>
      <c r="AB2" s="14"/>
      <c r="AC2" s="14"/>
      <c r="AD2" s="14"/>
      <c r="AE2" s="14"/>
      <c r="AF2" s="14"/>
    </row>
    <row r="3">
      <c r="A3" s="30" t="s">
        <v>54</v>
      </c>
      <c r="B3" s="30" t="s">
        <v>55</v>
      </c>
      <c r="C3" s="52"/>
      <c r="D3" s="53" t="s">
        <v>56</v>
      </c>
      <c r="E3" s="31">
        <v>46187.0</v>
      </c>
      <c r="F3" s="30" t="s">
        <v>57</v>
      </c>
      <c r="G3" s="53" t="s">
        <v>58</v>
      </c>
      <c r="H3" s="30" t="s">
        <v>59</v>
      </c>
      <c r="I3" s="30" t="s">
        <v>60</v>
      </c>
      <c r="J3" s="54"/>
      <c r="K3" s="55"/>
      <c r="L3" s="35"/>
      <c r="M3" s="35"/>
      <c r="N3" s="56"/>
      <c r="O3" s="57" t="s">
        <v>61</v>
      </c>
      <c r="P3" s="58"/>
      <c r="Q3" s="57" t="s">
        <v>62</v>
      </c>
      <c r="R3" s="30" t="s">
        <v>63</v>
      </c>
      <c r="S3" s="30" t="s">
        <v>64</v>
      </c>
      <c r="T3" s="35"/>
      <c r="U3" s="35"/>
      <c r="V3" s="59"/>
      <c r="W3" s="59"/>
      <c r="X3" s="59"/>
      <c r="Y3" s="59"/>
      <c r="Z3" s="59"/>
      <c r="AA3" s="59"/>
      <c r="AB3" s="59"/>
      <c r="AC3" s="59"/>
      <c r="AD3" s="59"/>
      <c r="AE3" s="59"/>
      <c r="AF3" s="59"/>
    </row>
    <row r="4">
      <c r="A4" s="30" t="s">
        <v>65</v>
      </c>
      <c r="B4" s="30" t="s">
        <v>55</v>
      </c>
      <c r="C4" s="52"/>
      <c r="D4" s="53" t="s">
        <v>66</v>
      </c>
      <c r="E4" s="31">
        <v>46187.0</v>
      </c>
      <c r="F4" s="30" t="s">
        <v>67</v>
      </c>
      <c r="G4" s="60" t="s">
        <v>68</v>
      </c>
      <c r="H4" s="30" t="s">
        <v>69</v>
      </c>
      <c r="I4" s="30" t="s">
        <v>60</v>
      </c>
      <c r="J4" s="54"/>
      <c r="K4" s="55"/>
      <c r="L4" s="35"/>
      <c r="M4" s="35"/>
      <c r="N4" s="56"/>
      <c r="O4" s="57" t="s">
        <v>70</v>
      </c>
      <c r="P4" s="58"/>
      <c r="Q4" s="57" t="s">
        <v>71</v>
      </c>
      <c r="R4" s="30" t="s">
        <v>72</v>
      </c>
      <c r="S4" s="30" t="s">
        <v>73</v>
      </c>
      <c r="T4" s="35"/>
      <c r="U4" s="35"/>
      <c r="V4" s="59"/>
      <c r="W4" s="59"/>
      <c r="X4" s="59"/>
      <c r="Y4" s="59"/>
      <c r="Z4" s="59"/>
      <c r="AA4" s="59"/>
      <c r="AB4" s="59"/>
      <c r="AC4" s="59"/>
      <c r="AD4" s="59"/>
      <c r="AE4" s="59"/>
      <c r="AF4" s="59"/>
    </row>
    <row r="5">
      <c r="A5" s="30" t="s">
        <v>74</v>
      </c>
      <c r="B5" s="30" t="s">
        <v>55</v>
      </c>
      <c r="C5" s="52"/>
      <c r="D5" s="53" t="s">
        <v>75</v>
      </c>
      <c r="E5" s="31">
        <v>46187.0</v>
      </c>
      <c r="F5" s="30" t="s">
        <v>76</v>
      </c>
      <c r="G5" s="60" t="s">
        <v>77</v>
      </c>
      <c r="H5" s="30" t="s">
        <v>78</v>
      </c>
      <c r="I5" s="30" t="s">
        <v>60</v>
      </c>
      <c r="J5" s="54"/>
      <c r="K5" s="55"/>
      <c r="L5" s="35"/>
      <c r="M5" s="35"/>
      <c r="N5" s="56"/>
      <c r="O5" s="57" t="s">
        <v>79</v>
      </c>
      <c r="P5" s="58"/>
      <c r="Q5" s="57" t="s">
        <v>80</v>
      </c>
      <c r="R5" s="30" t="s">
        <v>81</v>
      </c>
      <c r="S5" s="30" t="s">
        <v>82</v>
      </c>
      <c r="T5" s="35"/>
      <c r="U5" s="35"/>
      <c r="V5" s="59"/>
      <c r="W5" s="59"/>
      <c r="X5" s="59"/>
      <c r="Y5" s="59"/>
      <c r="Z5" s="59"/>
      <c r="AA5" s="59"/>
      <c r="AB5" s="59"/>
      <c r="AC5" s="59"/>
      <c r="AD5" s="59"/>
      <c r="AE5" s="59"/>
      <c r="AF5" s="59"/>
    </row>
    <row r="6">
      <c r="A6" s="30" t="s">
        <v>83</v>
      </c>
      <c r="B6" s="30" t="s">
        <v>84</v>
      </c>
      <c r="C6" s="52"/>
      <c r="D6" s="53" t="s">
        <v>85</v>
      </c>
      <c r="E6" s="31">
        <v>46187.0</v>
      </c>
      <c r="F6" s="30" t="s">
        <v>86</v>
      </c>
      <c r="G6" s="61" t="s">
        <v>87</v>
      </c>
      <c r="H6" s="30" t="s">
        <v>88</v>
      </c>
      <c r="I6" s="30" t="s">
        <v>60</v>
      </c>
      <c r="J6" s="54"/>
      <c r="K6" s="55"/>
      <c r="L6" s="35"/>
      <c r="M6" s="35"/>
      <c r="N6" s="56"/>
      <c r="O6" s="57" t="s">
        <v>89</v>
      </c>
      <c r="P6" s="58"/>
      <c r="Q6" s="57" t="s">
        <v>90</v>
      </c>
      <c r="R6" s="30" t="s">
        <v>91</v>
      </c>
      <c r="S6" s="30" t="s">
        <v>92</v>
      </c>
      <c r="T6" s="35"/>
      <c r="U6" s="35"/>
      <c r="V6" s="59"/>
      <c r="W6" s="59"/>
      <c r="X6" s="59"/>
      <c r="Y6" s="59"/>
      <c r="Z6" s="59"/>
      <c r="AA6" s="59"/>
      <c r="AB6" s="59"/>
      <c r="AC6" s="59"/>
      <c r="AD6" s="59"/>
      <c r="AE6" s="59"/>
      <c r="AF6" s="59"/>
    </row>
    <row r="7">
      <c r="A7" s="30" t="s">
        <v>93</v>
      </c>
      <c r="B7" s="30" t="s">
        <v>94</v>
      </c>
      <c r="C7" s="52"/>
      <c r="D7" s="53" t="s">
        <v>95</v>
      </c>
      <c r="E7" s="31">
        <v>46187.0</v>
      </c>
      <c r="F7" s="30" t="s">
        <v>96</v>
      </c>
      <c r="G7" s="61" t="s">
        <v>97</v>
      </c>
      <c r="H7" s="30" t="s">
        <v>98</v>
      </c>
      <c r="I7" s="30" t="s">
        <v>60</v>
      </c>
      <c r="J7" s="54"/>
      <c r="K7" s="55"/>
      <c r="L7" s="35"/>
      <c r="M7" s="35"/>
      <c r="N7" s="56"/>
      <c r="O7" s="57" t="s">
        <v>99</v>
      </c>
      <c r="P7" s="58"/>
      <c r="Q7" s="57" t="s">
        <v>100</v>
      </c>
      <c r="R7" s="30" t="s">
        <v>101</v>
      </c>
      <c r="S7" s="30" t="s">
        <v>102</v>
      </c>
      <c r="T7" s="35"/>
      <c r="U7" s="35"/>
      <c r="V7" s="59"/>
      <c r="W7" s="59"/>
      <c r="X7" s="59"/>
      <c r="Y7" s="59"/>
      <c r="Z7" s="59"/>
      <c r="AA7" s="59"/>
      <c r="AB7" s="59"/>
      <c r="AC7" s="59"/>
      <c r="AD7" s="59"/>
      <c r="AE7" s="59"/>
      <c r="AF7" s="59"/>
    </row>
    <row r="8">
      <c r="A8" s="30" t="s">
        <v>103</v>
      </c>
      <c r="B8" s="62" t="s">
        <v>104</v>
      </c>
      <c r="C8" s="52"/>
      <c r="D8" s="53" t="s">
        <v>105</v>
      </c>
      <c r="E8" s="31">
        <v>46187.0</v>
      </c>
      <c r="F8" s="30" t="s">
        <v>106</v>
      </c>
      <c r="G8" s="61" t="s">
        <v>107</v>
      </c>
      <c r="H8" s="30" t="s">
        <v>108</v>
      </c>
      <c r="I8" s="30" t="s">
        <v>60</v>
      </c>
      <c r="J8" s="54"/>
      <c r="K8" s="55"/>
      <c r="L8" s="35"/>
      <c r="M8" s="35"/>
      <c r="N8" s="56"/>
      <c r="O8" s="57" t="s">
        <v>109</v>
      </c>
      <c r="P8" s="58"/>
      <c r="Q8" s="57" t="s">
        <v>110</v>
      </c>
      <c r="R8" s="30" t="s">
        <v>111</v>
      </c>
      <c r="S8" s="30" t="s">
        <v>112</v>
      </c>
      <c r="T8" s="35"/>
      <c r="U8" s="35"/>
      <c r="V8" s="59"/>
      <c r="W8" s="59"/>
      <c r="X8" s="59"/>
      <c r="Y8" s="59"/>
      <c r="Z8" s="59"/>
      <c r="AA8" s="59"/>
      <c r="AB8" s="59"/>
      <c r="AC8" s="59"/>
      <c r="AD8" s="59"/>
      <c r="AE8" s="59"/>
      <c r="AF8" s="59"/>
    </row>
    <row r="9">
      <c r="A9" s="63" t="s">
        <v>113</v>
      </c>
      <c r="B9" s="64" t="s">
        <v>114</v>
      </c>
      <c r="C9" s="65"/>
      <c r="D9" s="66" t="s">
        <v>115</v>
      </c>
      <c r="E9" s="31">
        <v>46189.0</v>
      </c>
      <c r="F9" s="30" t="s">
        <v>116</v>
      </c>
      <c r="G9" s="67" t="s">
        <v>117</v>
      </c>
      <c r="H9" s="30" t="s">
        <v>118</v>
      </c>
      <c r="I9" s="53" t="s">
        <v>60</v>
      </c>
      <c r="J9" s="54"/>
      <c r="K9" s="55"/>
      <c r="L9" s="35"/>
      <c r="M9" s="35"/>
      <c r="N9" s="56"/>
      <c r="O9" s="57" t="s">
        <v>119</v>
      </c>
      <c r="P9" s="58"/>
      <c r="Q9" s="53" t="s">
        <v>120</v>
      </c>
      <c r="R9" s="53" t="s">
        <v>121</v>
      </c>
      <c r="S9" s="53" t="s">
        <v>122</v>
      </c>
      <c r="T9" s="35"/>
      <c r="U9" s="35"/>
      <c r="V9" s="59"/>
      <c r="W9" s="59"/>
      <c r="X9" s="59"/>
      <c r="Y9" s="59"/>
      <c r="Z9" s="59"/>
      <c r="AA9" s="59"/>
      <c r="AB9" s="59"/>
      <c r="AC9" s="59"/>
      <c r="AD9" s="59"/>
      <c r="AE9" s="59"/>
      <c r="AF9" s="59"/>
    </row>
    <row r="10">
      <c r="A10" s="68" t="s">
        <v>123</v>
      </c>
      <c r="B10" s="69" t="s">
        <v>94</v>
      </c>
      <c r="C10" s="65"/>
      <c r="D10" s="53" t="s">
        <v>124</v>
      </c>
      <c r="E10" s="70">
        <v>46189.0</v>
      </c>
      <c r="F10" s="30" t="s">
        <v>125</v>
      </c>
      <c r="G10" s="71" t="s">
        <v>126</v>
      </c>
      <c r="H10" s="30" t="s">
        <v>127</v>
      </c>
      <c r="I10" s="30" t="s">
        <v>60</v>
      </c>
      <c r="J10" s="54"/>
      <c r="K10" s="55"/>
      <c r="L10" s="35"/>
      <c r="M10" s="35"/>
      <c r="N10" s="56"/>
      <c r="O10" s="57" t="s">
        <v>128</v>
      </c>
      <c r="P10" s="58"/>
      <c r="Q10" s="57" t="s">
        <v>129</v>
      </c>
      <c r="R10" s="30" t="s">
        <v>130</v>
      </c>
      <c r="S10" s="30" t="s">
        <v>131</v>
      </c>
      <c r="T10" s="35"/>
      <c r="U10" s="35"/>
      <c r="V10" s="33"/>
      <c r="W10" s="33"/>
      <c r="X10" s="33"/>
      <c r="Y10" s="33"/>
      <c r="Z10" s="33"/>
      <c r="AA10" s="33"/>
      <c r="AB10" s="33"/>
      <c r="AC10" s="33"/>
      <c r="AD10" s="33"/>
      <c r="AE10" s="33"/>
      <c r="AF10" s="33"/>
    </row>
    <row r="11">
      <c r="A11" s="30" t="s">
        <v>132</v>
      </c>
      <c r="B11" s="62" t="s">
        <v>133</v>
      </c>
      <c r="C11" s="52"/>
      <c r="D11" s="53" t="s">
        <v>134</v>
      </c>
      <c r="E11" s="70">
        <v>46189.0</v>
      </c>
      <c r="F11" s="30" t="s">
        <v>135</v>
      </c>
      <c r="G11" s="71" t="s">
        <v>136</v>
      </c>
      <c r="H11" s="30" t="s">
        <v>137</v>
      </c>
      <c r="I11" s="30" t="s">
        <v>60</v>
      </c>
      <c r="J11" s="54"/>
      <c r="K11" s="55"/>
      <c r="L11" s="35"/>
      <c r="M11" s="35"/>
      <c r="N11" s="56"/>
      <c r="O11" s="57" t="s">
        <v>138</v>
      </c>
      <c r="P11" s="58"/>
      <c r="Q11" s="57" t="s">
        <v>139</v>
      </c>
      <c r="R11" s="30" t="s">
        <v>140</v>
      </c>
      <c r="S11" s="30" t="s">
        <v>141</v>
      </c>
      <c r="T11" s="35"/>
      <c r="U11" s="35"/>
      <c r="V11" s="59"/>
      <c r="W11" s="59"/>
      <c r="X11" s="59"/>
      <c r="Y11" s="59"/>
      <c r="Z11" s="59"/>
      <c r="AA11" s="59"/>
      <c r="AB11" s="59"/>
      <c r="AC11" s="59"/>
      <c r="AD11" s="59"/>
      <c r="AE11" s="59"/>
      <c r="AF11" s="59"/>
    </row>
    <row r="12">
      <c r="A12" s="33"/>
      <c r="B12" s="72"/>
      <c r="C12" s="73"/>
      <c r="D12" s="74"/>
      <c r="E12" s="36"/>
      <c r="F12" s="36"/>
      <c r="G12" s="75"/>
      <c r="H12" s="35"/>
      <c r="I12" s="35"/>
      <c r="J12" s="76"/>
      <c r="K12" s="77"/>
      <c r="L12" s="78"/>
      <c r="M12" s="78"/>
      <c r="N12" s="79"/>
      <c r="O12" s="77"/>
      <c r="P12" s="80"/>
      <c r="Q12" s="55"/>
      <c r="R12" s="35"/>
      <c r="S12" s="35"/>
      <c r="T12" s="35"/>
      <c r="U12" s="78"/>
      <c r="V12" s="59"/>
      <c r="W12" s="59"/>
      <c r="X12" s="59"/>
      <c r="Y12" s="59"/>
      <c r="Z12" s="59"/>
      <c r="AA12" s="59"/>
      <c r="AB12" s="59"/>
      <c r="AC12" s="59"/>
      <c r="AD12" s="59"/>
      <c r="AE12" s="59"/>
      <c r="AF12" s="59"/>
    </row>
    <row r="13">
      <c r="A13" s="33"/>
      <c r="B13" s="72"/>
      <c r="C13" s="73"/>
      <c r="D13" s="74"/>
      <c r="E13" s="36"/>
      <c r="F13" s="36"/>
      <c r="G13" s="75"/>
      <c r="H13" s="35"/>
      <c r="I13" s="35"/>
      <c r="J13" s="76"/>
      <c r="K13" s="77"/>
      <c r="L13" s="78"/>
      <c r="M13" s="78"/>
      <c r="N13" s="79"/>
      <c r="O13" s="77"/>
      <c r="P13" s="80"/>
      <c r="Q13" s="55"/>
      <c r="R13" s="35"/>
      <c r="S13" s="35"/>
      <c r="T13" s="35"/>
      <c r="U13" s="78"/>
      <c r="V13" s="59"/>
      <c r="W13" s="59"/>
      <c r="X13" s="59"/>
      <c r="Y13" s="59"/>
      <c r="Z13" s="59"/>
      <c r="AA13" s="59"/>
      <c r="AB13" s="59"/>
      <c r="AC13" s="59"/>
      <c r="AD13" s="59"/>
      <c r="AE13" s="59"/>
      <c r="AF13" s="59"/>
    </row>
    <row r="14">
      <c r="A14" s="33"/>
      <c r="B14" s="81"/>
      <c r="C14" s="20"/>
      <c r="D14" s="74"/>
      <c r="E14" s="36"/>
      <c r="F14" s="36"/>
      <c r="G14" s="75"/>
      <c r="H14" s="35"/>
      <c r="I14" s="35"/>
      <c r="J14" s="23"/>
      <c r="K14" s="24"/>
      <c r="L14" s="25"/>
      <c r="M14" s="82"/>
      <c r="N14" s="26"/>
      <c r="O14" s="24"/>
      <c r="P14" s="27"/>
      <c r="Q14" s="55"/>
      <c r="R14" s="35"/>
      <c r="S14" s="35"/>
      <c r="T14" s="35"/>
      <c r="U14" s="25"/>
      <c r="V14" s="28"/>
      <c r="W14" s="28"/>
      <c r="X14" s="28"/>
      <c r="Y14" s="28"/>
      <c r="Z14" s="28"/>
      <c r="AA14" s="28"/>
      <c r="AB14" s="28"/>
      <c r="AC14" s="28"/>
      <c r="AD14" s="28"/>
      <c r="AE14" s="28"/>
      <c r="AF14" s="28"/>
    </row>
    <row r="15">
      <c r="A15" s="33"/>
      <c r="B15" s="83"/>
      <c r="C15" s="20"/>
      <c r="D15" s="74"/>
      <c r="E15" s="36"/>
      <c r="F15" s="36"/>
      <c r="G15" s="75"/>
      <c r="H15" s="35"/>
      <c r="I15" s="35"/>
      <c r="J15" s="23"/>
      <c r="K15" s="24"/>
      <c r="L15" s="25"/>
      <c r="M15" s="25"/>
      <c r="N15" s="26"/>
      <c r="O15" s="24"/>
      <c r="P15" s="27"/>
      <c r="Q15" s="55"/>
      <c r="R15" s="35"/>
      <c r="S15" s="35"/>
      <c r="T15" s="35"/>
      <c r="U15" s="25"/>
      <c r="V15" s="28"/>
      <c r="W15" s="28"/>
      <c r="X15" s="28"/>
      <c r="Y15" s="28"/>
      <c r="Z15" s="28"/>
      <c r="AA15" s="28"/>
      <c r="AB15" s="28"/>
      <c r="AC15" s="28"/>
      <c r="AD15" s="28"/>
      <c r="AE15" s="28"/>
      <c r="AF15" s="28"/>
    </row>
    <row r="16">
      <c r="A16" s="33"/>
      <c r="B16" s="83"/>
      <c r="C16" s="20"/>
      <c r="D16" s="74"/>
      <c r="E16" s="36"/>
      <c r="F16" s="36"/>
      <c r="G16" s="75"/>
      <c r="H16" s="35"/>
      <c r="I16" s="35"/>
      <c r="J16" s="23"/>
      <c r="K16" s="24"/>
      <c r="L16" s="25"/>
      <c r="M16" s="25"/>
      <c r="N16" s="26"/>
      <c r="O16" s="24"/>
      <c r="P16" s="27"/>
      <c r="Q16" s="55"/>
      <c r="R16" s="35"/>
      <c r="S16" s="35"/>
      <c r="T16" s="35"/>
      <c r="U16" s="25"/>
      <c r="V16" s="28"/>
      <c r="W16" s="28"/>
      <c r="X16" s="28"/>
      <c r="Y16" s="28"/>
      <c r="Z16" s="28"/>
      <c r="AA16" s="28"/>
      <c r="AB16" s="28"/>
      <c r="AC16" s="28"/>
      <c r="AD16" s="28"/>
      <c r="AE16" s="28"/>
      <c r="AF16" s="28"/>
    </row>
    <row r="17">
      <c r="A17" s="33"/>
      <c r="B17" s="83"/>
      <c r="C17" s="20"/>
      <c r="D17" s="74"/>
      <c r="E17" s="36"/>
      <c r="F17" s="36"/>
      <c r="G17" s="75"/>
      <c r="H17" s="35"/>
      <c r="I17" s="35"/>
      <c r="J17" s="23"/>
      <c r="K17" s="24"/>
      <c r="L17" s="25"/>
      <c r="M17" s="82"/>
      <c r="N17" s="26"/>
      <c r="O17" s="24"/>
      <c r="P17" s="27"/>
      <c r="Q17" s="55"/>
      <c r="R17" s="35"/>
      <c r="S17" s="35"/>
      <c r="T17" s="35"/>
      <c r="U17" s="25"/>
      <c r="V17" s="28"/>
      <c r="W17" s="28"/>
      <c r="X17" s="28"/>
      <c r="Y17" s="28"/>
      <c r="Z17" s="28"/>
      <c r="AA17" s="28"/>
      <c r="AB17" s="28"/>
      <c r="AC17" s="28"/>
      <c r="AD17" s="28"/>
      <c r="AE17" s="28"/>
      <c r="AF17" s="28"/>
    </row>
    <row r="18">
      <c r="A18" s="33"/>
      <c r="B18" s="83"/>
      <c r="C18" s="20"/>
      <c r="D18" s="84"/>
      <c r="E18" s="36"/>
      <c r="F18" s="36"/>
      <c r="G18" s="75"/>
      <c r="H18" s="35"/>
      <c r="I18" s="35"/>
      <c r="J18" s="23"/>
      <c r="K18" s="24"/>
      <c r="L18" s="25"/>
      <c r="M18" s="25"/>
      <c r="N18" s="26"/>
      <c r="O18" s="24"/>
      <c r="P18" s="27"/>
      <c r="Q18" s="55"/>
      <c r="R18" s="35"/>
      <c r="S18" s="35"/>
      <c r="T18" s="35"/>
      <c r="U18" s="25"/>
      <c r="V18" s="28"/>
      <c r="W18" s="28"/>
      <c r="X18" s="28"/>
      <c r="Y18" s="28"/>
      <c r="Z18" s="28"/>
      <c r="AA18" s="28"/>
      <c r="AB18" s="28"/>
      <c r="AC18" s="28"/>
      <c r="AD18" s="28"/>
      <c r="AE18" s="28"/>
      <c r="AF18" s="28"/>
    </row>
  </sheetData>
  <mergeCells count="4">
    <mergeCell ref="C1:C2"/>
    <mergeCell ref="J1:J2"/>
    <mergeCell ref="N1:N2"/>
    <mergeCell ref="P1:P2"/>
  </mergeCells>
  <hyperlinks>
    <hyperlink r:id="rId1" ref="G4"/>
    <hyperlink r:id="rId2" ref="G5"/>
  </hyperlinks>
  <printOptions/>
  <pageMargins bottom="0.75" footer="0.0" header="0.0" left="0.7" right="0.7" top="0.75"/>
  <pageSetup paperSize="3" orientation="landscape"/>
  <drawing r:id="rId3"/>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21.0"/>
    <col customWidth="1" min="2" max="2" width="8.63"/>
    <col customWidth="1" min="3" max="3" width="14.63"/>
    <col customWidth="1" min="4" max="4" width="10.88"/>
    <col customWidth="1" min="5" max="5" width="13.88"/>
    <col customWidth="1" min="6" max="6" width="12.75"/>
    <col customWidth="1" min="7" max="7" width="15.38"/>
    <col customWidth="1" min="8" max="8" width="13.13"/>
    <col customWidth="1" min="9" max="9" width="17.13"/>
    <col customWidth="1" min="10" max="10" width="14.88"/>
    <col customWidth="1" min="11" max="11" width="16.75"/>
    <col customWidth="1" min="12" max="12" width="8.63"/>
  </cols>
  <sheetData>
    <row r="1" ht="12.75" customHeight="1">
      <c r="A1" s="85" t="s">
        <v>142</v>
      </c>
      <c r="B1" s="85" t="s">
        <v>143</v>
      </c>
      <c r="C1" s="85" t="s">
        <v>144</v>
      </c>
      <c r="D1" s="85" t="s">
        <v>145</v>
      </c>
      <c r="E1" s="85" t="s">
        <v>146</v>
      </c>
      <c r="F1" s="85" t="s">
        <v>147</v>
      </c>
      <c r="G1" s="85" t="s">
        <v>148</v>
      </c>
      <c r="H1" s="85" t="s">
        <v>149</v>
      </c>
      <c r="I1" s="85" t="s">
        <v>150</v>
      </c>
      <c r="J1" s="85" t="s">
        <v>151</v>
      </c>
      <c r="K1" s="85" t="s">
        <v>152</v>
      </c>
    </row>
    <row r="2" ht="12.75" customHeight="1">
      <c r="A2" s="86"/>
    </row>
    <row r="3" ht="12.75" customHeight="1">
      <c r="A3" s="86"/>
    </row>
    <row r="4" ht="12.75" customHeight="1">
      <c r="A4" s="86"/>
    </row>
    <row r="5" ht="12.75" customHeight="1"/>
    <row r="6" ht="12.75" customHeight="1"/>
    <row r="7" ht="12.75" customHeight="1"/>
    <row r="8" ht="12.75" customHeight="1"/>
  </sheetData>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8.75"/>
    <col customWidth="1" min="2" max="2" width="21.63"/>
    <col customWidth="1" min="3" max="5" width="28.75"/>
    <col customWidth="1" min="6" max="9" width="21.63"/>
  </cols>
  <sheetData>
    <row r="1" ht="15.75" customHeight="1">
      <c r="A1" s="87" t="s">
        <v>1</v>
      </c>
      <c r="B1" s="87" t="s">
        <v>153</v>
      </c>
      <c r="C1" s="87" t="s">
        <v>154</v>
      </c>
      <c r="D1" s="87" t="s">
        <v>155</v>
      </c>
      <c r="E1" s="87" t="s">
        <v>156</v>
      </c>
      <c r="F1" s="87" t="s">
        <v>157</v>
      </c>
      <c r="G1" s="87" t="s">
        <v>158</v>
      </c>
      <c r="H1" s="87" t="s">
        <v>4</v>
      </c>
      <c r="I1" s="88" t="s">
        <v>159</v>
      </c>
    </row>
    <row r="2" ht="15.75" customHeight="1">
      <c r="A2" s="28" t="str">
        <f>Requirements!B3</f>
        <v>System [Mission level]</v>
      </c>
      <c r="B2" s="28" t="str">
        <f>Requirements!A3</f>
        <v>REQ.01.01</v>
      </c>
      <c r="C2" s="89"/>
      <c r="D2" s="89"/>
      <c r="E2" s="89"/>
      <c r="F2" s="74"/>
      <c r="G2" s="74"/>
      <c r="H2" s="90"/>
      <c r="I2" s="89" t="s">
        <v>160</v>
      </c>
    </row>
    <row r="3" ht="15.75" customHeight="1">
      <c r="A3" s="28" t="str">
        <f>Requirements!B12</f>
        <v/>
      </c>
      <c r="B3" s="28" t="str">
        <f>Requirements!A12</f>
        <v/>
      </c>
      <c r="C3" s="89"/>
      <c r="D3" s="89"/>
      <c r="E3" s="89"/>
      <c r="F3" s="74"/>
      <c r="G3" s="74"/>
      <c r="H3" s="90"/>
      <c r="I3" s="90" t="s">
        <v>161</v>
      </c>
    </row>
    <row r="4" ht="15.75" customHeight="1">
      <c r="A4" s="28" t="str">
        <f t="shared" ref="A4:B4" si="1">#REF!</f>
        <v>#REF!</v>
      </c>
      <c r="B4" s="28" t="str">
        <f t="shared" si="1"/>
        <v>#REF!</v>
      </c>
      <c r="C4" s="89"/>
      <c r="D4" s="89"/>
      <c r="E4" s="89"/>
      <c r="F4" s="74"/>
      <c r="G4" s="74"/>
      <c r="H4" s="90"/>
      <c r="I4" s="90" t="s">
        <v>162</v>
      </c>
    </row>
    <row r="5" ht="15.75" customHeight="1">
      <c r="A5" s="28" t="str">
        <f t="shared" ref="A5:B5" si="2">#REF!</f>
        <v>#REF!</v>
      </c>
      <c r="B5" s="28" t="str">
        <f t="shared" si="2"/>
        <v>#REF!</v>
      </c>
      <c r="C5" s="89"/>
      <c r="D5" s="89"/>
      <c r="E5" s="89"/>
      <c r="F5" s="74"/>
      <c r="G5" s="74"/>
      <c r="H5" s="90"/>
      <c r="I5" s="90" t="s">
        <v>163</v>
      </c>
    </row>
    <row r="6" ht="15.75" customHeight="1">
      <c r="A6" s="28" t="str">
        <f>Requirements!B13</f>
        <v/>
      </c>
      <c r="B6" s="28" t="str">
        <f>Requirements!A13</f>
        <v/>
      </c>
      <c r="C6" s="89"/>
      <c r="D6" s="89"/>
      <c r="E6" s="89"/>
      <c r="F6" s="74"/>
      <c r="G6" s="74"/>
      <c r="H6" s="90"/>
      <c r="I6" s="90" t="s">
        <v>164</v>
      </c>
    </row>
    <row r="7" ht="15.75" customHeight="1">
      <c r="A7" s="28" t="str">
        <f>Requirements!B14</f>
        <v/>
      </c>
      <c r="B7" s="28" t="str">
        <f>Requirements!A14</f>
        <v/>
      </c>
      <c r="C7" s="89"/>
      <c r="D7" s="89"/>
      <c r="E7" s="89"/>
      <c r="F7" s="74"/>
      <c r="G7" s="74"/>
      <c r="H7" s="90"/>
      <c r="I7" s="90"/>
    </row>
    <row r="8" ht="15.75" customHeight="1">
      <c r="A8" s="28" t="str">
        <f t="shared" ref="A8:B8" si="3">#REF!</f>
        <v>#REF!</v>
      </c>
      <c r="B8" s="28" t="str">
        <f t="shared" si="3"/>
        <v>#REF!</v>
      </c>
      <c r="C8" s="89"/>
      <c r="D8" s="89"/>
      <c r="E8" s="89"/>
      <c r="F8" s="74"/>
      <c r="G8" s="74"/>
      <c r="H8" s="90"/>
      <c r="I8" s="90"/>
    </row>
    <row r="9" ht="15.75" customHeight="1">
      <c r="A9" s="28" t="str">
        <f t="shared" ref="A9:B9" si="4">#REF!</f>
        <v>#REF!</v>
      </c>
      <c r="B9" s="28" t="str">
        <f t="shared" si="4"/>
        <v>#REF!</v>
      </c>
      <c r="C9" s="89"/>
      <c r="D9" s="89"/>
      <c r="E9" s="89"/>
      <c r="F9" s="74"/>
      <c r="G9" s="74"/>
      <c r="H9" s="90"/>
      <c r="I9" s="90"/>
    </row>
    <row r="10" ht="15.75" customHeight="1">
      <c r="A10" s="28" t="str">
        <f>Requirements!B15</f>
        <v/>
      </c>
      <c r="B10" s="28" t="str">
        <f>Requirements!A15</f>
        <v/>
      </c>
      <c r="C10" s="89"/>
      <c r="D10" s="89"/>
      <c r="E10" s="89"/>
      <c r="F10" s="74"/>
      <c r="G10" s="74"/>
      <c r="H10" s="90"/>
      <c r="I10" s="90"/>
    </row>
    <row r="11" ht="15.75" customHeight="1">
      <c r="A11" s="28" t="str">
        <f>Requirements!B16</f>
        <v/>
      </c>
      <c r="B11" s="28" t="str">
        <f>Requirements!A16</f>
        <v/>
      </c>
      <c r="C11" s="89"/>
      <c r="D11" s="89"/>
      <c r="E11" s="89"/>
      <c r="F11" s="74"/>
      <c r="G11" s="74"/>
      <c r="H11" s="90"/>
      <c r="I11" s="90"/>
    </row>
    <row r="12" ht="15.75" customHeight="1">
      <c r="A12" s="28" t="str">
        <f>Requirements!B17</f>
        <v/>
      </c>
      <c r="B12" s="28" t="str">
        <f>Requirements!A17</f>
        <v/>
      </c>
      <c r="C12" s="89"/>
      <c r="D12" s="89"/>
      <c r="E12" s="89"/>
      <c r="F12" s="74"/>
      <c r="G12" s="74"/>
      <c r="H12" s="90"/>
      <c r="I12" s="90"/>
    </row>
    <row r="13" ht="15.75" customHeight="1">
      <c r="A13" s="28" t="str">
        <f>Requirements!B18</f>
        <v/>
      </c>
      <c r="B13" s="28" t="str">
        <f>Requirements!A18</f>
        <v/>
      </c>
      <c r="C13" s="89"/>
      <c r="D13" s="89"/>
      <c r="E13" s="91"/>
      <c r="F13" s="89"/>
      <c r="G13" s="74"/>
      <c r="H13" s="90"/>
      <c r="I13" s="90"/>
    </row>
    <row r="14" ht="15.75" customHeight="1">
      <c r="A14" s="28" t="str">
        <f t="shared" ref="A14:B14" si="5">#REF!</f>
        <v>#REF!</v>
      </c>
      <c r="B14" s="28" t="str">
        <f t="shared" si="5"/>
        <v>#REF!</v>
      </c>
      <c r="C14" s="89"/>
      <c r="D14" s="89"/>
      <c r="E14" s="91"/>
      <c r="F14" s="89"/>
      <c r="G14" s="74"/>
      <c r="H14" s="90"/>
      <c r="I14" s="90"/>
    </row>
    <row r="15" ht="15.75" customHeight="1">
      <c r="A15" s="28" t="str">
        <f t="shared" ref="A15:B15" si="6">#REF!</f>
        <v>#REF!</v>
      </c>
      <c r="B15" s="28" t="str">
        <f t="shared" si="6"/>
        <v>#REF!</v>
      </c>
      <c r="C15" s="89"/>
      <c r="D15" s="89"/>
      <c r="E15" s="91"/>
      <c r="F15" s="89"/>
      <c r="G15" s="35"/>
      <c r="H15" s="92"/>
      <c r="I15" s="92"/>
    </row>
    <row r="16" ht="15.75" customHeight="1">
      <c r="A16" s="28" t="str">
        <f t="shared" ref="A16:B16" si="7">#REF!</f>
        <v>#REF!</v>
      </c>
      <c r="B16" s="28" t="str">
        <f t="shared" si="7"/>
        <v>#REF!</v>
      </c>
      <c r="C16" s="89"/>
      <c r="D16" s="89"/>
      <c r="E16" s="91"/>
      <c r="F16" s="89"/>
      <c r="G16" s="74"/>
      <c r="H16" s="90"/>
      <c r="I16" s="90"/>
    </row>
    <row r="17" ht="15.75" customHeight="1">
      <c r="A17" s="28" t="str">
        <f t="shared" ref="A17:B17" si="8">#REF!</f>
        <v>#REF!</v>
      </c>
      <c r="B17" s="28" t="str">
        <f t="shared" si="8"/>
        <v>#REF!</v>
      </c>
      <c r="C17" s="89"/>
      <c r="D17" s="89"/>
      <c r="E17" s="89"/>
      <c r="F17" s="74"/>
      <c r="G17" s="74"/>
      <c r="H17" s="90"/>
      <c r="I17" s="90"/>
    </row>
    <row r="18" ht="15.75" customHeight="1">
      <c r="A18" s="28" t="str">
        <f t="shared" ref="A18:B18" si="9">#REF!</f>
        <v>#REF!</v>
      </c>
      <c r="B18" s="28" t="str">
        <f t="shared" si="9"/>
        <v>#REF!</v>
      </c>
      <c r="C18" s="89"/>
      <c r="D18" s="89"/>
      <c r="E18" s="89"/>
      <c r="F18" s="74"/>
      <c r="G18" s="74"/>
      <c r="H18" s="93"/>
      <c r="I18" s="90"/>
    </row>
    <row r="19" ht="15.75" customHeight="1">
      <c r="A19" s="28" t="str">
        <f t="shared" ref="A19:B19" si="10">#REF!</f>
        <v>#REF!</v>
      </c>
      <c r="B19" s="28" t="str">
        <f t="shared" si="10"/>
        <v>#REF!</v>
      </c>
      <c r="C19" s="89"/>
      <c r="D19" s="89"/>
      <c r="E19" s="89"/>
      <c r="F19" s="74"/>
      <c r="G19" s="74"/>
      <c r="H19" s="90"/>
      <c r="I19" s="90"/>
    </row>
    <row r="20" ht="15.75" customHeight="1">
      <c r="A20" s="28" t="str">
        <f t="shared" ref="A20:B20" si="11">#REF!</f>
        <v>#REF!</v>
      </c>
      <c r="B20" s="28" t="str">
        <f t="shared" si="11"/>
        <v>#REF!</v>
      </c>
      <c r="C20" s="89"/>
      <c r="D20" s="89"/>
      <c r="E20" s="89"/>
      <c r="F20" s="74"/>
      <c r="G20" s="74"/>
      <c r="H20" s="94"/>
      <c r="I20" s="90"/>
    </row>
    <row r="21" ht="15.75" customHeight="1">
      <c r="A21" s="28" t="str">
        <f t="shared" ref="A21:B21" si="12">#REF!</f>
        <v>#REF!</v>
      </c>
      <c r="B21" s="28" t="str">
        <f t="shared" si="12"/>
        <v>#REF!</v>
      </c>
      <c r="C21" s="89"/>
      <c r="D21" s="89"/>
      <c r="E21" s="89"/>
      <c r="F21" s="74"/>
      <c r="G21" s="74"/>
      <c r="H21" s="90"/>
      <c r="I21" s="90"/>
    </row>
    <row r="22" ht="15.75" customHeight="1">
      <c r="A22" s="28" t="str">
        <f t="shared" ref="A22:B22" si="13">#REF!</f>
        <v>#REF!</v>
      </c>
      <c r="B22" s="28" t="str">
        <f t="shared" si="13"/>
        <v>#REF!</v>
      </c>
      <c r="C22" s="89"/>
      <c r="D22" s="89"/>
      <c r="E22" s="89"/>
      <c r="F22" s="74"/>
      <c r="G22" s="74"/>
      <c r="H22" s="90"/>
      <c r="I22" s="90"/>
    </row>
    <row r="23" ht="15.75" customHeight="1">
      <c r="A23" s="28" t="str">
        <f t="shared" ref="A23:B23" si="14">#REF!</f>
        <v>#REF!</v>
      </c>
      <c r="B23" s="28" t="str">
        <f t="shared" si="14"/>
        <v>#REF!</v>
      </c>
      <c r="C23" s="89"/>
      <c r="D23" s="89"/>
      <c r="E23" s="89"/>
      <c r="F23" s="74"/>
      <c r="G23" s="74"/>
      <c r="H23" s="90"/>
      <c r="I23" s="90"/>
    </row>
    <row r="24" ht="15.75" customHeight="1">
      <c r="A24" s="28" t="str">
        <f t="shared" ref="A24:B24" si="15">#REF!</f>
        <v>#REF!</v>
      </c>
      <c r="B24" s="28" t="str">
        <f t="shared" si="15"/>
        <v>#REF!</v>
      </c>
      <c r="C24" s="89"/>
      <c r="D24" s="89"/>
      <c r="E24" s="89"/>
      <c r="F24" s="74"/>
      <c r="G24" s="74"/>
      <c r="H24" s="90"/>
      <c r="I24" s="90"/>
    </row>
    <row r="25" ht="56.25" customHeight="1">
      <c r="A25" s="28" t="str">
        <f t="shared" ref="A25:B25" si="16">#REF!</f>
        <v>#REF!</v>
      </c>
      <c r="B25" s="28" t="str">
        <f t="shared" si="16"/>
        <v>#REF!</v>
      </c>
      <c r="C25" s="89"/>
      <c r="D25" s="89"/>
      <c r="E25" s="89"/>
      <c r="F25" s="74"/>
      <c r="G25" s="74"/>
      <c r="H25" s="90"/>
      <c r="I25" s="90"/>
    </row>
    <row r="26" ht="56.25" customHeight="1">
      <c r="A26" s="28" t="str">
        <f t="shared" ref="A26:B26" si="17">#REF!</f>
        <v>#REF!</v>
      </c>
      <c r="B26" s="28" t="str">
        <f t="shared" si="17"/>
        <v>#REF!</v>
      </c>
      <c r="C26" s="89"/>
      <c r="D26" s="89"/>
      <c r="E26" s="89"/>
      <c r="F26" s="74"/>
      <c r="G26" s="74"/>
      <c r="H26" s="90"/>
      <c r="I26" s="90"/>
    </row>
    <row r="27" ht="15.75" customHeight="1">
      <c r="A27" s="28" t="str">
        <f t="shared" ref="A27:B27" si="18">#REF!</f>
        <v>#REF!</v>
      </c>
      <c r="B27" s="28" t="str">
        <f t="shared" si="18"/>
        <v>#REF!</v>
      </c>
      <c r="C27" s="89"/>
      <c r="D27" s="89"/>
      <c r="E27" s="89"/>
      <c r="F27" s="89"/>
      <c r="G27" s="74"/>
      <c r="H27" s="90"/>
      <c r="I27" s="90"/>
    </row>
    <row r="28" ht="15.75" customHeight="1">
      <c r="A28" s="28" t="str">
        <f t="shared" ref="A28:B28" si="19">#REF!</f>
        <v>#REF!</v>
      </c>
      <c r="B28" s="28" t="str">
        <f t="shared" si="19"/>
        <v>#REF!</v>
      </c>
      <c r="C28" s="89"/>
      <c r="D28" s="89"/>
      <c r="E28" s="89"/>
      <c r="F28" s="89"/>
      <c r="G28" s="74"/>
      <c r="H28" s="90"/>
      <c r="I28" s="90"/>
    </row>
    <row r="29" ht="15.75" customHeight="1">
      <c r="A29" s="28" t="str">
        <f t="shared" ref="A29:B29" si="20">#REF!</f>
        <v>#REF!</v>
      </c>
      <c r="B29" s="28" t="str">
        <f t="shared" si="20"/>
        <v>#REF!</v>
      </c>
      <c r="C29" s="89"/>
      <c r="D29" s="89"/>
      <c r="E29" s="89"/>
      <c r="F29" s="74"/>
      <c r="G29" s="74"/>
      <c r="H29" s="90"/>
      <c r="I29" s="90"/>
    </row>
    <row r="30" ht="15.75" customHeight="1">
      <c r="A30" s="28" t="str">
        <f t="shared" ref="A30:B30" si="21">#REF!</f>
        <v>#REF!</v>
      </c>
      <c r="B30" s="28" t="str">
        <f t="shared" si="21"/>
        <v>#REF!</v>
      </c>
      <c r="C30" s="89"/>
      <c r="D30" s="89"/>
      <c r="E30" s="89"/>
      <c r="F30" s="35"/>
      <c r="G30" s="35"/>
      <c r="H30" s="95"/>
      <c r="I30" s="92"/>
    </row>
    <row r="31" ht="15.75" customHeight="1">
      <c r="A31" s="28" t="str">
        <f t="shared" ref="A31:B31" si="22">#REF!</f>
        <v>#REF!</v>
      </c>
      <c r="B31" s="28" t="str">
        <f t="shared" si="22"/>
        <v>#REF!</v>
      </c>
      <c r="C31" s="89"/>
      <c r="D31" s="89"/>
      <c r="E31" s="89"/>
      <c r="F31" s="74"/>
      <c r="G31" s="74"/>
      <c r="H31" s="96"/>
      <c r="I31" s="90"/>
    </row>
    <row r="32" ht="15.75" customHeight="1">
      <c r="A32" s="28" t="str">
        <f t="shared" ref="A32:B32" si="23">#REF!</f>
        <v>#REF!</v>
      </c>
      <c r="B32" s="28" t="str">
        <f t="shared" si="23"/>
        <v>#REF!</v>
      </c>
      <c r="C32" s="89"/>
      <c r="D32" s="89"/>
      <c r="E32" s="89"/>
      <c r="F32" s="74"/>
      <c r="G32" s="74"/>
      <c r="H32" s="90"/>
      <c r="I32" s="90"/>
    </row>
    <row r="33" ht="15.75" customHeight="1">
      <c r="A33" s="28" t="str">
        <f t="shared" ref="A33:B33" si="24">#REF!</f>
        <v>#REF!</v>
      </c>
      <c r="B33" s="28" t="str">
        <f t="shared" si="24"/>
        <v>#REF!</v>
      </c>
      <c r="C33" s="89"/>
      <c r="D33" s="89"/>
      <c r="E33" s="89"/>
      <c r="F33" s="74"/>
      <c r="G33" s="74"/>
      <c r="H33" s="90"/>
      <c r="I33" s="90"/>
    </row>
    <row r="34" ht="15.75" customHeight="1">
      <c r="A34" s="28" t="str">
        <f t="shared" ref="A34:B34" si="25">#REF!</f>
        <v>#REF!</v>
      </c>
      <c r="B34" s="28" t="str">
        <f t="shared" si="25"/>
        <v>#REF!</v>
      </c>
      <c r="C34" s="89"/>
      <c r="D34" s="89"/>
      <c r="E34" s="89"/>
      <c r="F34" s="74"/>
      <c r="G34" s="74"/>
      <c r="H34" s="90"/>
      <c r="I34" s="90"/>
    </row>
    <row r="35" ht="15.75" customHeight="1">
      <c r="A35" s="28" t="str">
        <f t="shared" ref="A35:B35" si="26">#REF!</f>
        <v>#REF!</v>
      </c>
      <c r="B35" s="28" t="str">
        <f t="shared" si="26"/>
        <v>#REF!</v>
      </c>
      <c r="C35" s="89"/>
      <c r="D35" s="89"/>
      <c r="E35" s="91"/>
      <c r="F35" s="74"/>
      <c r="G35" s="74"/>
      <c r="H35" s="90"/>
      <c r="I35" s="90"/>
    </row>
    <row r="36" ht="15.75" customHeight="1">
      <c r="A36" s="28" t="str">
        <f t="shared" ref="A36:B36" si="27">#REF!</f>
        <v>#REF!</v>
      </c>
      <c r="B36" s="28" t="str">
        <f t="shared" si="27"/>
        <v>#REF!</v>
      </c>
      <c r="C36" s="89"/>
      <c r="D36" s="89"/>
      <c r="E36" s="91"/>
      <c r="F36" s="74"/>
      <c r="G36" s="74"/>
      <c r="H36" s="90"/>
      <c r="I36" s="90"/>
    </row>
    <row r="37" ht="15.75" customHeight="1">
      <c r="A37" s="28"/>
      <c r="B37" s="28"/>
      <c r="C37" s="25"/>
      <c r="D37" s="25"/>
      <c r="E37" s="25"/>
      <c r="F37" s="35"/>
      <c r="G37" s="35"/>
      <c r="H37" s="92"/>
      <c r="I37" s="92"/>
    </row>
    <row r="38" ht="15.75" customHeight="1">
      <c r="A38" s="28" t="str">
        <f t="shared" ref="A38:B38" si="28">#REF!</f>
        <v>#REF!</v>
      </c>
      <c r="B38" s="28" t="str">
        <f t="shared" si="28"/>
        <v>#REF!</v>
      </c>
      <c r="C38" s="89"/>
      <c r="D38" s="89"/>
      <c r="E38" s="89"/>
      <c r="F38" s="35"/>
      <c r="G38" s="35"/>
      <c r="H38" s="90"/>
      <c r="I38" s="92"/>
    </row>
    <row r="39" ht="15.75" customHeight="1">
      <c r="A39" s="28" t="str">
        <f t="shared" ref="A39:B39" si="29">#REF!</f>
        <v>#REF!</v>
      </c>
      <c r="B39" s="28" t="str">
        <f t="shared" si="29"/>
        <v>#REF!</v>
      </c>
      <c r="C39" s="89"/>
      <c r="D39" s="89"/>
      <c r="E39" s="89"/>
      <c r="F39" s="35"/>
      <c r="G39" s="35"/>
      <c r="H39" s="90"/>
      <c r="I39" s="92"/>
    </row>
    <row r="40" ht="15.75" customHeight="1">
      <c r="A40" s="28"/>
      <c r="B40" s="28"/>
      <c r="C40" s="25"/>
      <c r="D40" s="25"/>
      <c r="E40" s="25"/>
      <c r="F40" s="35"/>
      <c r="G40" s="35"/>
      <c r="H40" s="92"/>
      <c r="I40" s="92"/>
    </row>
    <row r="41" ht="15.75" customHeight="1">
      <c r="A41" s="28"/>
      <c r="B41" s="28"/>
      <c r="C41" s="25"/>
      <c r="D41" s="25"/>
      <c r="E41" s="25"/>
      <c r="F41" s="35"/>
      <c r="G41" s="35"/>
      <c r="H41" s="92"/>
      <c r="I41" s="92"/>
    </row>
    <row r="42" ht="15.75" customHeight="1">
      <c r="A42" s="28"/>
      <c r="B42" s="28"/>
      <c r="C42" s="25"/>
      <c r="D42" s="25"/>
      <c r="E42" s="25"/>
      <c r="F42" s="35"/>
      <c r="G42" s="35"/>
      <c r="H42" s="92"/>
      <c r="I42" s="92"/>
    </row>
    <row r="43" ht="15.75" customHeight="1">
      <c r="A43" s="28"/>
      <c r="B43" s="28"/>
      <c r="C43" s="25"/>
      <c r="D43" s="25"/>
      <c r="E43" s="25"/>
      <c r="F43" s="35"/>
      <c r="G43" s="35"/>
      <c r="H43" s="92"/>
      <c r="I43" s="92"/>
    </row>
    <row r="44" ht="15.75" customHeight="1">
      <c r="A44" s="28"/>
      <c r="B44" s="28"/>
      <c r="C44" s="25"/>
      <c r="D44" s="25"/>
      <c r="E44" s="25"/>
      <c r="F44" s="35"/>
      <c r="G44" s="35"/>
      <c r="H44" s="92"/>
      <c r="I44" s="92"/>
    </row>
    <row r="45" ht="15.75" customHeight="1">
      <c r="A45" s="28"/>
      <c r="B45" s="28"/>
      <c r="C45" s="25"/>
      <c r="D45" s="25"/>
      <c r="E45" s="25"/>
      <c r="F45" s="35"/>
      <c r="G45" s="35"/>
      <c r="H45" s="92"/>
      <c r="I45" s="92"/>
    </row>
    <row r="46" ht="15.75" customHeight="1">
      <c r="A46" s="28"/>
      <c r="B46" s="28"/>
      <c r="C46" s="25"/>
      <c r="D46" s="25"/>
      <c r="E46" s="25"/>
      <c r="F46" s="35"/>
      <c r="G46" s="35"/>
      <c r="H46" s="92"/>
      <c r="I46" s="92"/>
    </row>
    <row r="47" ht="15.75" customHeight="1">
      <c r="A47" s="28"/>
      <c r="B47" s="28"/>
      <c r="C47" s="25"/>
      <c r="D47" s="25"/>
      <c r="E47" s="25"/>
      <c r="F47" s="35"/>
      <c r="G47" s="35"/>
      <c r="H47" s="92"/>
      <c r="I47" s="92"/>
    </row>
    <row r="48" ht="15.75" customHeight="1">
      <c r="A48" s="28"/>
      <c r="B48" s="28"/>
      <c r="C48" s="25"/>
      <c r="D48" s="25"/>
      <c r="E48" s="25"/>
      <c r="F48" s="35"/>
      <c r="G48" s="35"/>
      <c r="H48" s="92"/>
      <c r="I48" s="92"/>
    </row>
    <row r="49" ht="15.75" customHeight="1">
      <c r="A49" s="28"/>
      <c r="B49" s="28"/>
      <c r="C49" s="25"/>
      <c r="D49" s="25"/>
      <c r="E49" s="25"/>
      <c r="F49" s="35"/>
      <c r="G49" s="35"/>
      <c r="H49" s="92"/>
      <c r="I49" s="92"/>
    </row>
    <row r="50" ht="15.75" customHeight="1">
      <c r="A50" s="28"/>
      <c r="B50" s="28"/>
      <c r="C50" s="25"/>
      <c r="D50" s="25"/>
      <c r="E50" s="25"/>
      <c r="F50" s="35"/>
      <c r="G50" s="35"/>
      <c r="H50" s="92"/>
      <c r="I50" s="92"/>
    </row>
    <row r="51" ht="15.75" customHeight="1">
      <c r="A51" s="28"/>
      <c r="B51" s="28"/>
      <c r="C51" s="25"/>
      <c r="D51" s="25"/>
      <c r="E51" s="25"/>
      <c r="F51" s="35"/>
      <c r="G51" s="35"/>
      <c r="H51" s="92"/>
      <c r="I51" s="92"/>
    </row>
    <row r="52" ht="15.75" customHeight="1">
      <c r="A52" s="28"/>
      <c r="B52" s="28"/>
      <c r="C52" s="25"/>
      <c r="D52" s="25"/>
      <c r="E52" s="25"/>
      <c r="F52" s="35"/>
      <c r="G52" s="35"/>
      <c r="H52" s="92"/>
      <c r="I52" s="92"/>
    </row>
    <row r="53" ht="15.75" customHeight="1">
      <c r="A53" s="28"/>
      <c r="B53" s="28"/>
      <c r="C53" s="25"/>
      <c r="D53" s="25"/>
      <c r="E53" s="25"/>
      <c r="F53" s="35"/>
      <c r="G53" s="35"/>
      <c r="H53" s="92"/>
      <c r="I53" s="92"/>
    </row>
    <row r="54" ht="15.75" customHeight="1">
      <c r="A54" s="28"/>
      <c r="B54" s="28"/>
      <c r="C54" s="25"/>
      <c r="D54" s="25"/>
      <c r="E54" s="25"/>
      <c r="F54" s="35"/>
      <c r="G54" s="35"/>
      <c r="H54" s="92"/>
      <c r="I54" s="92"/>
    </row>
    <row r="55" ht="15.75" customHeight="1">
      <c r="A55" s="28"/>
      <c r="B55" s="28"/>
      <c r="C55" s="25"/>
      <c r="D55" s="25"/>
      <c r="E55" s="25"/>
      <c r="F55" s="35"/>
      <c r="G55" s="35"/>
      <c r="H55" s="92"/>
      <c r="I55" s="92"/>
    </row>
    <row r="56" ht="15.75" customHeight="1">
      <c r="A56" s="28"/>
      <c r="B56" s="28"/>
      <c r="C56" s="25"/>
      <c r="D56" s="25"/>
      <c r="E56" s="25"/>
      <c r="F56" s="35"/>
      <c r="G56" s="35"/>
      <c r="H56" s="92"/>
      <c r="I56" s="92"/>
    </row>
    <row r="57" ht="15.75" customHeight="1">
      <c r="A57" s="28"/>
      <c r="B57" s="28"/>
      <c r="C57" s="25"/>
      <c r="D57" s="25"/>
      <c r="E57" s="25"/>
      <c r="F57" s="35"/>
      <c r="G57" s="35"/>
      <c r="H57" s="92"/>
      <c r="I57" s="92"/>
    </row>
    <row r="58" ht="15.75" customHeight="1">
      <c r="A58" s="28"/>
      <c r="B58" s="28"/>
      <c r="C58" s="25"/>
      <c r="D58" s="25"/>
      <c r="E58" s="25"/>
      <c r="F58" s="35"/>
      <c r="G58" s="35"/>
      <c r="H58" s="92"/>
      <c r="I58" s="92"/>
    </row>
    <row r="59" ht="15.75" customHeight="1">
      <c r="A59" s="28"/>
      <c r="B59" s="28"/>
      <c r="C59" s="25"/>
      <c r="D59" s="25"/>
      <c r="E59" s="25"/>
      <c r="F59" s="35"/>
      <c r="G59" s="35"/>
      <c r="H59" s="92"/>
      <c r="I59" s="92"/>
    </row>
    <row r="60" ht="15.75" customHeight="1">
      <c r="A60" s="28"/>
      <c r="B60" s="28"/>
      <c r="C60" s="25"/>
      <c r="D60" s="25"/>
      <c r="E60" s="25"/>
      <c r="F60" s="35"/>
      <c r="G60" s="35"/>
      <c r="H60" s="92"/>
      <c r="I60" s="92"/>
    </row>
    <row r="61" ht="15.75" customHeight="1">
      <c r="A61" s="28"/>
      <c r="B61" s="28"/>
      <c r="C61" s="25"/>
      <c r="D61" s="25"/>
      <c r="E61" s="25"/>
      <c r="F61" s="35"/>
      <c r="G61" s="35"/>
      <c r="H61" s="92"/>
      <c r="I61" s="92"/>
    </row>
    <row r="62" ht="15.75" customHeight="1">
      <c r="A62" s="28"/>
      <c r="B62" s="28"/>
      <c r="C62" s="25"/>
      <c r="D62" s="25"/>
      <c r="E62" s="25"/>
      <c r="F62" s="35"/>
      <c r="G62" s="35"/>
      <c r="H62" s="92"/>
      <c r="I62" s="92"/>
    </row>
    <row r="63" ht="15.75" customHeight="1">
      <c r="A63" s="28"/>
      <c r="B63" s="28"/>
      <c r="C63" s="25"/>
      <c r="D63" s="25"/>
      <c r="E63" s="25"/>
      <c r="F63" s="35"/>
      <c r="G63" s="35"/>
      <c r="H63" s="92"/>
      <c r="I63" s="92"/>
    </row>
    <row r="64" ht="15.75" customHeight="1">
      <c r="A64" s="28"/>
      <c r="B64" s="28"/>
      <c r="C64" s="25"/>
      <c r="D64" s="25"/>
      <c r="E64" s="25"/>
      <c r="F64" s="35"/>
      <c r="G64" s="35"/>
      <c r="H64" s="92"/>
      <c r="I64" s="92"/>
    </row>
    <row r="65" ht="15.75" customHeight="1">
      <c r="A65" s="28"/>
      <c r="B65" s="28"/>
      <c r="C65" s="25"/>
      <c r="D65" s="25"/>
      <c r="E65" s="25"/>
      <c r="F65" s="35"/>
      <c r="G65" s="35"/>
      <c r="H65" s="92"/>
      <c r="I65" s="92"/>
    </row>
    <row r="66" ht="15.75" customHeight="1">
      <c r="A66" s="28"/>
      <c r="B66" s="28"/>
      <c r="C66" s="25"/>
      <c r="D66" s="25"/>
      <c r="E66" s="25"/>
      <c r="F66" s="35"/>
      <c r="G66" s="35"/>
      <c r="H66" s="92"/>
      <c r="I66" s="92"/>
    </row>
    <row r="67" ht="15.75" customHeight="1">
      <c r="A67" s="28"/>
      <c r="B67" s="28"/>
      <c r="C67" s="25"/>
      <c r="D67" s="25"/>
      <c r="E67" s="25"/>
      <c r="F67" s="35"/>
      <c r="G67" s="35"/>
      <c r="H67" s="92"/>
      <c r="I67" s="92"/>
    </row>
    <row r="68" ht="15.75" customHeight="1">
      <c r="A68" s="28"/>
      <c r="B68" s="28"/>
      <c r="C68" s="25"/>
      <c r="D68" s="25"/>
      <c r="E68" s="25"/>
      <c r="F68" s="35"/>
      <c r="G68" s="35"/>
      <c r="H68" s="92"/>
      <c r="I68" s="92"/>
    </row>
    <row r="69" ht="15.75" customHeight="1">
      <c r="A69" s="28"/>
      <c r="B69" s="28"/>
      <c r="C69" s="25"/>
      <c r="D69" s="25"/>
      <c r="E69" s="25"/>
      <c r="F69" s="35"/>
      <c r="G69" s="35"/>
      <c r="H69" s="92"/>
      <c r="I69" s="92"/>
    </row>
    <row r="70" ht="15.75" customHeight="1">
      <c r="A70" s="28"/>
      <c r="B70" s="28"/>
      <c r="C70" s="25"/>
      <c r="D70" s="25"/>
      <c r="E70" s="25"/>
      <c r="F70" s="35"/>
      <c r="G70" s="35"/>
      <c r="H70" s="92"/>
      <c r="I70" s="92"/>
    </row>
    <row r="71" ht="15.75" customHeight="1">
      <c r="A71" s="28"/>
      <c r="B71" s="28"/>
      <c r="C71" s="25"/>
      <c r="D71" s="25"/>
      <c r="E71" s="25"/>
      <c r="F71" s="35"/>
      <c r="G71" s="35"/>
      <c r="H71" s="92"/>
      <c r="I71" s="92"/>
    </row>
    <row r="72" ht="15.75" customHeight="1">
      <c r="A72" s="28"/>
      <c r="B72" s="28"/>
      <c r="C72" s="25"/>
      <c r="D72" s="25"/>
      <c r="E72" s="25"/>
      <c r="F72" s="35"/>
      <c r="G72" s="35"/>
      <c r="H72" s="92"/>
      <c r="I72" s="92"/>
    </row>
    <row r="73" ht="15.75" customHeight="1">
      <c r="A73" s="28"/>
      <c r="B73" s="28"/>
      <c r="C73" s="25"/>
      <c r="D73" s="25"/>
      <c r="E73" s="25"/>
      <c r="F73" s="35"/>
      <c r="G73" s="35"/>
      <c r="H73" s="92"/>
      <c r="I73" s="92"/>
    </row>
    <row r="74" ht="15.75" customHeight="1">
      <c r="A74" s="28"/>
      <c r="B74" s="28"/>
      <c r="C74" s="25"/>
      <c r="D74" s="25"/>
      <c r="E74" s="25"/>
      <c r="F74" s="35"/>
      <c r="G74" s="35"/>
      <c r="H74" s="92"/>
      <c r="I74" s="92"/>
    </row>
    <row r="75" ht="15.75" customHeight="1">
      <c r="A75" s="28"/>
      <c r="B75" s="28"/>
      <c r="C75" s="25"/>
      <c r="D75" s="25"/>
      <c r="E75" s="25"/>
      <c r="F75" s="35"/>
      <c r="G75" s="35"/>
      <c r="H75" s="92"/>
      <c r="I75" s="92"/>
    </row>
    <row r="76" ht="15.75" customHeight="1">
      <c r="A76" s="28"/>
      <c r="B76" s="28"/>
      <c r="C76" s="25"/>
      <c r="D76" s="25"/>
      <c r="E76" s="25"/>
      <c r="F76" s="35"/>
      <c r="G76" s="35"/>
      <c r="H76" s="92"/>
      <c r="I76" s="92"/>
    </row>
    <row r="77" ht="15.75" customHeight="1">
      <c r="A77" s="28"/>
      <c r="B77" s="28"/>
      <c r="C77" s="25"/>
      <c r="D77" s="25"/>
      <c r="E77" s="25"/>
      <c r="F77" s="35"/>
      <c r="G77" s="35"/>
      <c r="H77" s="92"/>
      <c r="I77" s="92"/>
    </row>
    <row r="78" ht="15.75" customHeight="1">
      <c r="A78" s="28"/>
      <c r="B78" s="28"/>
      <c r="C78" s="25"/>
      <c r="D78" s="25"/>
      <c r="E78" s="25"/>
      <c r="F78" s="35"/>
      <c r="G78" s="35"/>
      <c r="H78" s="92"/>
      <c r="I78" s="92"/>
    </row>
    <row r="79" ht="15.75" customHeight="1">
      <c r="A79" s="28"/>
      <c r="B79" s="28"/>
      <c r="C79" s="25"/>
      <c r="D79" s="25"/>
      <c r="E79" s="25"/>
      <c r="F79" s="35"/>
      <c r="G79" s="35"/>
      <c r="H79" s="92"/>
      <c r="I79" s="92"/>
    </row>
    <row r="80" ht="15.75" customHeight="1">
      <c r="A80" s="28"/>
      <c r="B80" s="28"/>
      <c r="C80" s="25"/>
      <c r="D80" s="25"/>
      <c r="E80" s="25"/>
      <c r="F80" s="35"/>
      <c r="G80" s="35"/>
      <c r="H80" s="92"/>
      <c r="I80" s="92"/>
    </row>
    <row r="81" ht="15.75" customHeight="1">
      <c r="A81" s="28"/>
      <c r="B81" s="28"/>
      <c r="C81" s="25"/>
      <c r="D81" s="25"/>
      <c r="E81" s="25"/>
      <c r="F81" s="35"/>
      <c r="G81" s="35"/>
      <c r="H81" s="92"/>
      <c r="I81" s="92"/>
    </row>
    <row r="82" ht="15.75" customHeight="1">
      <c r="A82" s="28"/>
      <c r="B82" s="28"/>
      <c r="C82" s="25"/>
      <c r="D82" s="25"/>
      <c r="E82" s="25"/>
      <c r="F82" s="35"/>
      <c r="G82" s="35"/>
      <c r="H82" s="92"/>
      <c r="I82" s="92"/>
    </row>
    <row r="83" ht="15.75" customHeight="1">
      <c r="A83" s="28"/>
      <c r="B83" s="28"/>
      <c r="C83" s="25"/>
      <c r="D83" s="25"/>
      <c r="E83" s="25"/>
      <c r="F83" s="35"/>
      <c r="G83" s="35"/>
      <c r="H83" s="92"/>
      <c r="I83" s="92"/>
    </row>
    <row r="84" ht="15.75" customHeight="1">
      <c r="A84" s="28"/>
      <c r="B84" s="28"/>
      <c r="C84" s="25"/>
      <c r="D84" s="25"/>
      <c r="E84" s="25"/>
      <c r="F84" s="35"/>
      <c r="G84" s="35"/>
      <c r="H84" s="92"/>
      <c r="I84" s="92"/>
    </row>
    <row r="85" ht="15.75" customHeight="1">
      <c r="A85" s="28"/>
      <c r="B85" s="28"/>
      <c r="C85" s="25"/>
      <c r="D85" s="25"/>
      <c r="E85" s="25"/>
      <c r="F85" s="35"/>
      <c r="G85" s="35"/>
      <c r="H85" s="92"/>
      <c r="I85" s="92"/>
    </row>
    <row r="86" ht="15.75" customHeight="1">
      <c r="A86" s="28"/>
      <c r="B86" s="28"/>
      <c r="C86" s="25"/>
      <c r="D86" s="25"/>
      <c r="E86" s="25"/>
      <c r="F86" s="35"/>
      <c r="G86" s="35"/>
      <c r="H86" s="92"/>
      <c r="I86" s="92"/>
    </row>
    <row r="87" ht="15.75" customHeight="1">
      <c r="A87" s="28"/>
      <c r="B87" s="28"/>
      <c r="C87" s="25"/>
      <c r="D87" s="25"/>
      <c r="E87" s="25"/>
      <c r="F87" s="35"/>
      <c r="G87" s="35"/>
      <c r="H87" s="92"/>
      <c r="I87" s="92"/>
    </row>
    <row r="88" ht="15.75" customHeight="1">
      <c r="A88" s="28"/>
      <c r="B88" s="28"/>
      <c r="C88" s="25"/>
      <c r="D88" s="25"/>
      <c r="E88" s="25"/>
      <c r="F88" s="35"/>
      <c r="G88" s="35"/>
      <c r="H88" s="92"/>
      <c r="I88" s="92"/>
    </row>
    <row r="89" ht="15.75" customHeight="1">
      <c r="A89" s="28"/>
      <c r="B89" s="28"/>
      <c r="C89" s="25"/>
      <c r="D89" s="25"/>
      <c r="E89" s="25"/>
      <c r="F89" s="35"/>
      <c r="G89" s="35"/>
      <c r="H89" s="92"/>
      <c r="I89" s="92"/>
    </row>
    <row r="90" ht="15.75" customHeight="1">
      <c r="A90" s="28"/>
      <c r="B90" s="28"/>
      <c r="C90" s="25"/>
      <c r="D90" s="25"/>
      <c r="E90" s="25"/>
      <c r="F90" s="35"/>
      <c r="G90" s="35"/>
      <c r="H90" s="92"/>
      <c r="I90" s="92"/>
    </row>
    <row r="91" ht="15.75" customHeight="1">
      <c r="A91" s="28"/>
      <c r="B91" s="28"/>
      <c r="C91" s="25"/>
      <c r="D91" s="25"/>
      <c r="E91" s="25"/>
      <c r="F91" s="35"/>
      <c r="G91" s="35"/>
      <c r="H91" s="92"/>
      <c r="I91" s="92"/>
    </row>
    <row r="92" ht="15.75" customHeight="1">
      <c r="A92" s="28"/>
      <c r="B92" s="28"/>
      <c r="C92" s="25"/>
      <c r="D92" s="25"/>
      <c r="E92" s="25"/>
      <c r="F92" s="35"/>
      <c r="G92" s="35"/>
      <c r="H92" s="92"/>
      <c r="I92" s="92"/>
    </row>
    <row r="93" ht="15.75" customHeight="1">
      <c r="A93" s="28"/>
      <c r="B93" s="28"/>
      <c r="C93" s="25"/>
      <c r="D93" s="25"/>
      <c r="E93" s="25"/>
      <c r="F93" s="35"/>
      <c r="G93" s="35"/>
      <c r="H93" s="92"/>
      <c r="I93" s="92"/>
    </row>
    <row r="94" ht="15.75" customHeight="1">
      <c r="A94" s="28"/>
      <c r="B94" s="28"/>
      <c r="C94" s="25"/>
      <c r="D94" s="25"/>
      <c r="E94" s="25"/>
      <c r="F94" s="35"/>
      <c r="G94" s="35"/>
      <c r="H94" s="92"/>
      <c r="I94" s="92"/>
    </row>
    <row r="95" ht="15.75" customHeight="1">
      <c r="A95" s="28"/>
      <c r="B95" s="28"/>
      <c r="C95" s="25"/>
      <c r="D95" s="25"/>
      <c r="E95" s="25"/>
      <c r="F95" s="35"/>
      <c r="G95" s="35"/>
      <c r="H95" s="92"/>
      <c r="I95" s="92"/>
    </row>
    <row r="96" ht="15.75" customHeight="1">
      <c r="A96" s="28"/>
      <c r="B96" s="28"/>
      <c r="C96" s="25"/>
      <c r="D96" s="25"/>
      <c r="E96" s="25"/>
      <c r="F96" s="35"/>
      <c r="G96" s="35"/>
      <c r="H96" s="92"/>
      <c r="I96" s="92"/>
    </row>
    <row r="97" ht="15.75" customHeight="1">
      <c r="A97" s="28"/>
      <c r="B97" s="28"/>
      <c r="C97" s="25"/>
      <c r="D97" s="25"/>
      <c r="E97" s="25"/>
      <c r="F97" s="35"/>
      <c r="G97" s="35"/>
      <c r="H97" s="92"/>
      <c r="I97" s="92"/>
    </row>
    <row r="98" ht="15.75" customHeight="1">
      <c r="A98" s="28"/>
      <c r="B98" s="28"/>
      <c r="C98" s="25"/>
      <c r="D98" s="25"/>
      <c r="E98" s="25"/>
      <c r="F98" s="35"/>
      <c r="G98" s="35"/>
      <c r="H98" s="92"/>
      <c r="I98" s="92"/>
    </row>
    <row r="99" ht="15.75" customHeight="1">
      <c r="A99" s="28"/>
      <c r="B99" s="28"/>
      <c r="C99" s="25"/>
      <c r="D99" s="25"/>
      <c r="E99" s="25"/>
      <c r="F99" s="35"/>
      <c r="G99" s="35"/>
      <c r="H99" s="92"/>
      <c r="I99" s="92"/>
    </row>
    <row r="100" ht="15.75" customHeight="1">
      <c r="A100" s="28"/>
      <c r="B100" s="28"/>
      <c r="C100" s="25"/>
      <c r="D100" s="25"/>
      <c r="E100" s="25"/>
      <c r="F100" s="35"/>
      <c r="G100" s="35"/>
      <c r="H100" s="92"/>
      <c r="I100" s="92"/>
    </row>
    <row r="101" ht="15.75" customHeight="1">
      <c r="A101" s="28"/>
      <c r="B101" s="28"/>
      <c r="C101" s="25"/>
      <c r="D101" s="25"/>
      <c r="E101" s="25"/>
      <c r="F101" s="35"/>
      <c r="G101" s="35"/>
      <c r="H101" s="92"/>
      <c r="I101" s="92"/>
    </row>
    <row r="102" ht="15.75" customHeight="1">
      <c r="A102" s="28"/>
      <c r="B102" s="28"/>
      <c r="C102" s="25"/>
      <c r="D102" s="25"/>
      <c r="E102" s="25"/>
      <c r="F102" s="35"/>
      <c r="G102" s="35"/>
      <c r="H102" s="92"/>
      <c r="I102" s="92"/>
    </row>
    <row r="103" ht="15.75" customHeight="1">
      <c r="A103" s="28"/>
      <c r="B103" s="28"/>
      <c r="C103" s="25"/>
      <c r="D103" s="25"/>
      <c r="E103" s="25"/>
      <c r="F103" s="35"/>
      <c r="G103" s="35"/>
      <c r="H103" s="92"/>
      <c r="I103" s="92"/>
    </row>
    <row r="104" ht="15.75" customHeight="1">
      <c r="A104" s="28"/>
      <c r="B104" s="28"/>
      <c r="C104" s="25"/>
      <c r="D104" s="25"/>
      <c r="E104" s="25"/>
      <c r="F104" s="35"/>
      <c r="G104" s="35"/>
      <c r="H104" s="92"/>
      <c r="I104" s="92"/>
    </row>
    <row r="105" ht="15.75" customHeight="1">
      <c r="A105" s="28"/>
      <c r="B105" s="28"/>
      <c r="C105" s="25"/>
      <c r="D105" s="25"/>
      <c r="E105" s="25"/>
      <c r="F105" s="35"/>
      <c r="G105" s="35"/>
      <c r="H105" s="92"/>
      <c r="I105" s="92"/>
    </row>
    <row r="106" ht="15.75" customHeight="1">
      <c r="A106" s="28"/>
      <c r="B106" s="28"/>
      <c r="C106" s="25"/>
      <c r="D106" s="25"/>
      <c r="E106" s="25"/>
      <c r="F106" s="35"/>
      <c r="G106" s="35"/>
      <c r="H106" s="92"/>
      <c r="I106" s="92"/>
    </row>
    <row r="107" ht="15.75" customHeight="1">
      <c r="A107" s="28"/>
      <c r="B107" s="28"/>
      <c r="C107" s="25"/>
      <c r="D107" s="25"/>
      <c r="E107" s="25"/>
      <c r="F107" s="35"/>
      <c r="G107" s="35"/>
      <c r="H107" s="92"/>
      <c r="I107" s="92"/>
    </row>
    <row r="108" ht="15.75" customHeight="1">
      <c r="A108" s="28"/>
      <c r="B108" s="28"/>
      <c r="C108" s="25"/>
      <c r="D108" s="25"/>
      <c r="E108" s="25"/>
      <c r="F108" s="35"/>
      <c r="G108" s="35"/>
      <c r="H108" s="92"/>
      <c r="I108" s="92"/>
    </row>
    <row r="109" ht="15.75" customHeight="1">
      <c r="A109" s="28"/>
      <c r="B109" s="28"/>
      <c r="C109" s="25"/>
      <c r="D109" s="25"/>
      <c r="E109" s="25"/>
      <c r="F109" s="35"/>
      <c r="G109" s="35"/>
      <c r="H109" s="92"/>
      <c r="I109" s="92"/>
    </row>
    <row r="110" ht="15.75" customHeight="1">
      <c r="A110" s="28"/>
      <c r="B110" s="28"/>
      <c r="C110" s="25"/>
      <c r="D110" s="25"/>
      <c r="E110" s="25"/>
      <c r="F110" s="35"/>
      <c r="G110" s="35"/>
      <c r="H110" s="92"/>
      <c r="I110" s="92"/>
    </row>
    <row r="111" ht="15.75" customHeight="1">
      <c r="A111" s="28"/>
      <c r="B111" s="28"/>
      <c r="C111" s="25"/>
      <c r="D111" s="25"/>
      <c r="E111" s="25"/>
      <c r="F111" s="35"/>
      <c r="G111" s="35"/>
      <c r="H111" s="92"/>
      <c r="I111" s="92"/>
    </row>
    <row r="112" ht="15.75" customHeight="1">
      <c r="A112" s="28"/>
      <c r="B112" s="28"/>
      <c r="C112" s="25"/>
      <c r="D112" s="25"/>
      <c r="E112" s="25"/>
      <c r="F112" s="35"/>
      <c r="G112" s="35"/>
      <c r="H112" s="92"/>
      <c r="I112" s="92"/>
    </row>
    <row r="113" ht="15.75" customHeight="1">
      <c r="A113" s="28"/>
      <c r="B113" s="28"/>
      <c r="C113" s="25"/>
      <c r="D113" s="25"/>
      <c r="E113" s="25"/>
      <c r="F113" s="35"/>
      <c r="G113" s="35"/>
      <c r="H113" s="92"/>
      <c r="I113" s="92"/>
    </row>
    <row r="114" ht="15.75" customHeight="1">
      <c r="A114" s="28"/>
      <c r="B114" s="28"/>
      <c r="C114" s="25"/>
      <c r="D114" s="25"/>
      <c r="E114" s="25"/>
      <c r="F114" s="35"/>
      <c r="G114" s="35"/>
      <c r="H114" s="92"/>
      <c r="I114" s="92"/>
    </row>
    <row r="115" ht="15.75" customHeight="1">
      <c r="A115" s="28"/>
      <c r="B115" s="28"/>
      <c r="C115" s="25"/>
      <c r="D115" s="25"/>
      <c r="E115" s="25"/>
      <c r="F115" s="35"/>
      <c r="G115" s="35"/>
      <c r="H115" s="92"/>
      <c r="I115" s="92"/>
    </row>
    <row r="116" ht="15.75" customHeight="1">
      <c r="A116" s="28"/>
      <c r="B116" s="28"/>
      <c r="C116" s="25"/>
      <c r="D116" s="25"/>
      <c r="E116" s="25"/>
      <c r="F116" s="35"/>
      <c r="G116" s="35"/>
      <c r="H116" s="92"/>
      <c r="I116" s="92"/>
    </row>
    <row r="117" ht="15.75" customHeight="1">
      <c r="A117" s="28"/>
      <c r="B117" s="28"/>
      <c r="C117" s="25"/>
      <c r="D117" s="25"/>
      <c r="E117" s="25"/>
      <c r="F117" s="35"/>
      <c r="G117" s="35"/>
      <c r="H117" s="92"/>
      <c r="I117" s="92"/>
    </row>
    <row r="118" ht="15.75" customHeight="1">
      <c r="A118" s="28"/>
      <c r="B118" s="28"/>
      <c r="C118" s="25"/>
      <c r="D118" s="25"/>
      <c r="E118" s="25"/>
      <c r="F118" s="35"/>
      <c r="G118" s="35"/>
      <c r="H118" s="92"/>
      <c r="I118" s="92"/>
    </row>
    <row r="119" ht="15.75" customHeight="1">
      <c r="A119" s="28"/>
      <c r="B119" s="28"/>
      <c r="C119" s="25"/>
      <c r="D119" s="25"/>
      <c r="E119" s="25"/>
      <c r="F119" s="35"/>
      <c r="G119" s="35"/>
      <c r="H119" s="92"/>
      <c r="I119" s="92"/>
    </row>
    <row r="120" ht="15.75" customHeight="1">
      <c r="A120" s="28"/>
      <c r="B120" s="28"/>
      <c r="C120" s="25"/>
      <c r="D120" s="25"/>
      <c r="E120" s="25"/>
      <c r="F120" s="35"/>
      <c r="G120" s="35"/>
      <c r="H120" s="92"/>
      <c r="I120" s="92"/>
    </row>
    <row r="121" ht="15.75" customHeight="1">
      <c r="A121" s="28"/>
      <c r="B121" s="28"/>
      <c r="C121" s="25"/>
      <c r="D121" s="25"/>
      <c r="E121" s="25"/>
      <c r="F121" s="35"/>
      <c r="G121" s="35"/>
      <c r="H121" s="92"/>
      <c r="I121" s="92"/>
    </row>
    <row r="122" ht="15.75" customHeight="1">
      <c r="A122" s="28"/>
      <c r="B122" s="28"/>
      <c r="C122" s="25"/>
      <c r="D122" s="25"/>
      <c r="E122" s="25"/>
      <c r="F122" s="35"/>
      <c r="G122" s="35"/>
      <c r="H122" s="92"/>
      <c r="I122" s="92"/>
    </row>
    <row r="123" ht="15.75" customHeight="1">
      <c r="A123" s="28"/>
      <c r="B123" s="28"/>
      <c r="C123" s="25"/>
      <c r="D123" s="25"/>
      <c r="E123" s="25"/>
      <c r="F123" s="35"/>
      <c r="G123" s="35"/>
      <c r="H123" s="92"/>
      <c r="I123" s="92"/>
    </row>
    <row r="124" ht="15.75" customHeight="1">
      <c r="A124" s="28"/>
      <c r="B124" s="28"/>
      <c r="C124" s="25"/>
      <c r="D124" s="25"/>
      <c r="E124" s="25"/>
      <c r="F124" s="35"/>
      <c r="G124" s="35"/>
      <c r="H124" s="92"/>
      <c r="I124" s="92"/>
    </row>
    <row r="125" ht="15.75" customHeight="1">
      <c r="A125" s="28"/>
      <c r="B125" s="28"/>
      <c r="C125" s="25"/>
      <c r="D125" s="25"/>
      <c r="E125" s="25"/>
      <c r="F125" s="35"/>
      <c r="G125" s="35"/>
      <c r="H125" s="92"/>
      <c r="I125" s="92"/>
    </row>
    <row r="126" ht="15.75" customHeight="1">
      <c r="A126" s="28"/>
      <c r="B126" s="28"/>
      <c r="C126" s="25"/>
      <c r="D126" s="25"/>
      <c r="E126" s="25"/>
      <c r="F126" s="35"/>
      <c r="G126" s="35"/>
      <c r="H126" s="92"/>
      <c r="I126" s="92"/>
    </row>
    <row r="127" ht="15.75" customHeight="1">
      <c r="A127" s="28"/>
      <c r="B127" s="28"/>
      <c r="C127" s="25"/>
      <c r="D127" s="25"/>
      <c r="E127" s="25"/>
      <c r="F127" s="35"/>
      <c r="G127" s="35"/>
      <c r="H127" s="92"/>
      <c r="I127" s="92"/>
    </row>
    <row r="128" ht="15.75" customHeight="1">
      <c r="A128" s="28"/>
      <c r="B128" s="28"/>
      <c r="C128" s="25"/>
      <c r="D128" s="25"/>
      <c r="E128" s="25"/>
      <c r="F128" s="35"/>
      <c r="G128" s="35"/>
      <c r="H128" s="92"/>
      <c r="I128" s="92"/>
    </row>
    <row r="129" ht="15.75" customHeight="1">
      <c r="A129" s="28"/>
      <c r="B129" s="28"/>
      <c r="C129" s="25"/>
      <c r="D129" s="25"/>
      <c r="E129" s="25"/>
      <c r="F129" s="35"/>
      <c r="G129" s="35"/>
      <c r="H129" s="92"/>
      <c r="I129" s="92"/>
    </row>
    <row r="130" ht="15.75" customHeight="1">
      <c r="A130" s="28"/>
      <c r="B130" s="28"/>
      <c r="C130" s="25"/>
      <c r="D130" s="25"/>
      <c r="E130" s="25"/>
      <c r="F130" s="35"/>
      <c r="G130" s="35"/>
      <c r="H130" s="92"/>
      <c r="I130" s="92"/>
    </row>
    <row r="131" ht="15.75" customHeight="1">
      <c r="A131" s="28"/>
      <c r="B131" s="28"/>
      <c r="C131" s="25"/>
      <c r="D131" s="25"/>
      <c r="E131" s="25"/>
      <c r="F131" s="35"/>
      <c r="G131" s="35"/>
      <c r="H131" s="92"/>
      <c r="I131" s="92"/>
    </row>
    <row r="132" ht="15.75" customHeight="1">
      <c r="A132" s="28"/>
      <c r="B132" s="28"/>
      <c r="C132" s="25"/>
      <c r="D132" s="25"/>
      <c r="E132" s="25"/>
      <c r="F132" s="35"/>
      <c r="G132" s="35"/>
      <c r="H132" s="92"/>
      <c r="I132" s="92"/>
    </row>
    <row r="133" ht="15.75" customHeight="1">
      <c r="A133" s="28"/>
      <c r="B133" s="28"/>
      <c r="C133" s="25"/>
      <c r="D133" s="25"/>
      <c r="E133" s="25"/>
      <c r="F133" s="35"/>
      <c r="G133" s="35"/>
      <c r="H133" s="92"/>
      <c r="I133" s="92"/>
    </row>
    <row r="134" ht="15.75" customHeight="1">
      <c r="A134" s="28"/>
      <c r="B134" s="28"/>
      <c r="C134" s="25"/>
      <c r="D134" s="25"/>
      <c r="E134" s="25"/>
      <c r="F134" s="35"/>
      <c r="G134" s="35"/>
      <c r="H134" s="92"/>
      <c r="I134" s="92"/>
    </row>
    <row r="135" ht="15.75" customHeight="1">
      <c r="A135" s="28"/>
      <c r="B135" s="28"/>
      <c r="C135" s="25"/>
      <c r="D135" s="25"/>
      <c r="E135" s="25"/>
      <c r="F135" s="35"/>
      <c r="G135" s="35"/>
      <c r="H135" s="92"/>
      <c r="I135" s="92"/>
    </row>
    <row r="136" ht="15.75" customHeight="1">
      <c r="A136" s="28"/>
      <c r="B136" s="28"/>
      <c r="C136" s="25"/>
      <c r="D136" s="25"/>
      <c r="E136" s="25"/>
      <c r="F136" s="35"/>
      <c r="G136" s="35"/>
      <c r="H136" s="92"/>
      <c r="I136" s="92"/>
    </row>
    <row r="137" ht="15.75" customHeight="1">
      <c r="A137" s="28"/>
      <c r="B137" s="28"/>
      <c r="C137" s="25"/>
      <c r="D137" s="25"/>
      <c r="E137" s="25"/>
      <c r="F137" s="35"/>
      <c r="G137" s="35"/>
      <c r="H137" s="92"/>
      <c r="I137" s="92"/>
    </row>
    <row r="138" ht="15.75" customHeight="1">
      <c r="A138" s="28"/>
      <c r="B138" s="28"/>
      <c r="C138" s="25"/>
      <c r="D138" s="25"/>
      <c r="E138" s="25"/>
      <c r="F138" s="35"/>
      <c r="G138" s="35"/>
      <c r="H138" s="92"/>
      <c r="I138" s="92"/>
    </row>
    <row r="139" ht="15.75" customHeight="1">
      <c r="A139" s="28"/>
      <c r="B139" s="28"/>
      <c r="C139" s="25"/>
      <c r="D139" s="25"/>
      <c r="E139" s="25"/>
      <c r="F139" s="35"/>
      <c r="G139" s="35"/>
      <c r="H139" s="92"/>
      <c r="I139" s="92"/>
    </row>
    <row r="140" ht="15.75" customHeight="1">
      <c r="A140" s="28"/>
      <c r="B140" s="28"/>
      <c r="C140" s="25"/>
      <c r="D140" s="25"/>
      <c r="E140" s="25"/>
      <c r="F140" s="35"/>
      <c r="G140" s="35"/>
      <c r="H140" s="92"/>
      <c r="I140" s="92"/>
    </row>
    <row r="141" ht="15.75" customHeight="1">
      <c r="A141" s="28"/>
      <c r="B141" s="28"/>
      <c r="C141" s="25"/>
      <c r="D141" s="25"/>
      <c r="E141" s="25"/>
      <c r="F141" s="35"/>
      <c r="G141" s="35"/>
      <c r="H141" s="92"/>
      <c r="I141" s="92"/>
    </row>
    <row r="142" ht="15.75" customHeight="1">
      <c r="A142" s="28"/>
      <c r="B142" s="28"/>
      <c r="C142" s="25"/>
      <c r="D142" s="25"/>
      <c r="E142" s="25"/>
      <c r="F142" s="35"/>
      <c r="G142" s="35"/>
      <c r="H142" s="92"/>
      <c r="I142" s="92"/>
    </row>
    <row r="143" ht="15.75" customHeight="1">
      <c r="A143" s="28"/>
      <c r="B143" s="28"/>
      <c r="C143" s="25"/>
      <c r="D143" s="25"/>
      <c r="E143" s="25"/>
      <c r="F143" s="35"/>
      <c r="G143" s="35"/>
      <c r="H143" s="92"/>
      <c r="I143" s="92"/>
    </row>
    <row r="144" ht="15.75" customHeight="1">
      <c r="A144" s="28"/>
      <c r="B144" s="28"/>
      <c r="C144" s="25"/>
      <c r="D144" s="25"/>
      <c r="E144" s="25"/>
      <c r="F144" s="35"/>
      <c r="G144" s="35"/>
      <c r="H144" s="92"/>
      <c r="I144" s="92"/>
    </row>
    <row r="145" ht="15.75" customHeight="1">
      <c r="A145" s="28"/>
      <c r="B145" s="28"/>
      <c r="C145" s="25"/>
      <c r="D145" s="25"/>
      <c r="E145" s="25"/>
      <c r="F145" s="35"/>
      <c r="G145" s="35"/>
      <c r="H145" s="92"/>
      <c r="I145" s="92"/>
    </row>
    <row r="146" ht="15.75" customHeight="1">
      <c r="A146" s="28"/>
      <c r="B146" s="28"/>
      <c r="C146" s="25"/>
      <c r="D146" s="25"/>
      <c r="E146" s="25"/>
      <c r="F146" s="35"/>
      <c r="G146" s="35"/>
      <c r="H146" s="92"/>
      <c r="I146" s="92"/>
    </row>
    <row r="147" ht="15.75" customHeight="1">
      <c r="A147" s="28"/>
      <c r="B147" s="28"/>
      <c r="C147" s="25"/>
      <c r="D147" s="25"/>
      <c r="E147" s="25"/>
      <c r="F147" s="35"/>
      <c r="G147" s="35"/>
      <c r="H147" s="92"/>
      <c r="I147" s="92"/>
    </row>
    <row r="148" ht="15.75" customHeight="1">
      <c r="A148" s="28"/>
      <c r="B148" s="28"/>
      <c r="C148" s="25"/>
      <c r="D148" s="25"/>
      <c r="E148" s="25"/>
      <c r="F148" s="35"/>
      <c r="G148" s="35"/>
      <c r="H148" s="92"/>
      <c r="I148" s="92"/>
    </row>
    <row r="149" ht="15.75" customHeight="1">
      <c r="A149" s="28"/>
      <c r="B149" s="28"/>
      <c r="C149" s="25"/>
      <c r="D149" s="25"/>
      <c r="E149" s="25"/>
      <c r="F149" s="35"/>
      <c r="G149" s="35"/>
      <c r="H149" s="92"/>
      <c r="I149" s="92"/>
    </row>
    <row r="150" ht="15.75" customHeight="1">
      <c r="A150" s="28"/>
      <c r="B150" s="28"/>
      <c r="C150" s="25"/>
      <c r="D150" s="25"/>
      <c r="E150" s="25"/>
      <c r="F150" s="35"/>
      <c r="G150" s="35"/>
      <c r="H150" s="92"/>
      <c r="I150" s="92"/>
    </row>
    <row r="151" ht="15.75" customHeight="1">
      <c r="A151" s="28"/>
      <c r="B151" s="28"/>
      <c r="C151" s="25"/>
      <c r="D151" s="25"/>
      <c r="E151" s="25"/>
      <c r="F151" s="35"/>
      <c r="G151" s="35"/>
      <c r="H151" s="92"/>
      <c r="I151" s="92"/>
    </row>
    <row r="152" ht="15.75" customHeight="1">
      <c r="A152" s="28"/>
      <c r="B152" s="28"/>
      <c r="C152" s="25"/>
      <c r="D152" s="25"/>
      <c r="E152" s="25"/>
      <c r="F152" s="35"/>
      <c r="G152" s="35"/>
      <c r="H152" s="92"/>
      <c r="I152" s="92"/>
    </row>
    <row r="153" ht="15.75" customHeight="1">
      <c r="A153" s="28"/>
      <c r="B153" s="28"/>
      <c r="C153" s="25"/>
      <c r="D153" s="25"/>
      <c r="E153" s="25"/>
      <c r="F153" s="35"/>
      <c r="G153" s="35"/>
      <c r="H153" s="92"/>
      <c r="I153" s="92"/>
    </row>
    <row r="154" ht="15.75" customHeight="1">
      <c r="A154" s="28"/>
      <c r="B154" s="28"/>
      <c r="C154" s="25"/>
      <c r="D154" s="25"/>
      <c r="E154" s="25"/>
      <c r="F154" s="35"/>
      <c r="G154" s="35"/>
      <c r="H154" s="92"/>
      <c r="I154" s="92"/>
    </row>
    <row r="155" ht="15.75" customHeight="1">
      <c r="A155" s="28"/>
      <c r="B155" s="28"/>
      <c r="C155" s="25"/>
      <c r="D155" s="25"/>
      <c r="E155" s="25"/>
      <c r="F155" s="35"/>
      <c r="G155" s="35"/>
      <c r="H155" s="92"/>
      <c r="I155" s="92"/>
    </row>
    <row r="156" ht="15.75" customHeight="1">
      <c r="A156" s="28"/>
      <c r="B156" s="28"/>
      <c r="C156" s="25"/>
      <c r="D156" s="25"/>
      <c r="E156" s="25"/>
      <c r="F156" s="35"/>
      <c r="G156" s="35"/>
      <c r="H156" s="92"/>
      <c r="I156" s="92"/>
    </row>
    <row r="157" ht="15.75" customHeight="1">
      <c r="A157" s="28"/>
      <c r="B157" s="28"/>
      <c r="C157" s="25"/>
      <c r="D157" s="25"/>
      <c r="E157" s="25"/>
      <c r="F157" s="35"/>
      <c r="G157" s="35"/>
      <c r="H157" s="92"/>
      <c r="I157" s="92"/>
    </row>
    <row r="158" ht="15.75" customHeight="1">
      <c r="A158" s="28"/>
      <c r="B158" s="28"/>
      <c r="C158" s="25"/>
      <c r="D158" s="25"/>
      <c r="E158" s="25"/>
      <c r="F158" s="35"/>
      <c r="G158" s="35"/>
      <c r="H158" s="92"/>
      <c r="I158" s="92"/>
    </row>
    <row r="159" ht="15.75" customHeight="1">
      <c r="A159" s="28"/>
      <c r="B159" s="28"/>
      <c r="C159" s="25"/>
      <c r="D159" s="25"/>
      <c r="E159" s="25"/>
      <c r="F159" s="35"/>
      <c r="G159" s="35"/>
      <c r="H159" s="92"/>
      <c r="I159" s="92"/>
    </row>
    <row r="160" ht="15.75" customHeight="1">
      <c r="A160" s="28"/>
      <c r="B160" s="28"/>
      <c r="C160" s="25"/>
      <c r="D160" s="25"/>
      <c r="E160" s="25"/>
      <c r="F160" s="35"/>
      <c r="G160" s="35"/>
      <c r="H160" s="92"/>
      <c r="I160" s="92"/>
    </row>
    <row r="161" ht="15.75" customHeight="1">
      <c r="A161" s="28"/>
      <c r="B161" s="28"/>
      <c r="C161" s="25"/>
      <c r="D161" s="25"/>
      <c r="E161" s="25"/>
      <c r="F161" s="35"/>
      <c r="G161" s="35"/>
      <c r="H161" s="92"/>
      <c r="I161" s="92"/>
    </row>
    <row r="162" ht="15.75" customHeight="1">
      <c r="A162" s="28"/>
      <c r="B162" s="28"/>
      <c r="C162" s="25"/>
      <c r="D162" s="25"/>
      <c r="E162" s="25"/>
      <c r="F162" s="35"/>
      <c r="G162" s="35"/>
      <c r="H162" s="92"/>
      <c r="I162" s="92"/>
    </row>
    <row r="163" ht="15.75" customHeight="1">
      <c r="A163" s="28"/>
      <c r="B163" s="28"/>
      <c r="C163" s="25"/>
      <c r="D163" s="25"/>
      <c r="E163" s="25"/>
      <c r="F163" s="35"/>
      <c r="G163" s="35"/>
      <c r="H163" s="92"/>
      <c r="I163" s="92"/>
    </row>
    <row r="164" ht="15.75" customHeight="1">
      <c r="A164" s="28"/>
      <c r="B164" s="28"/>
      <c r="C164" s="25"/>
      <c r="D164" s="25"/>
      <c r="E164" s="25"/>
      <c r="F164" s="35"/>
      <c r="G164" s="35"/>
      <c r="H164" s="92"/>
      <c r="I164" s="92"/>
    </row>
    <row r="165" ht="15.75" customHeight="1">
      <c r="A165" s="28"/>
      <c r="B165" s="28"/>
      <c r="C165" s="25"/>
      <c r="D165" s="25"/>
      <c r="E165" s="25"/>
      <c r="F165" s="35"/>
      <c r="G165" s="35"/>
      <c r="H165" s="92"/>
      <c r="I165" s="92"/>
    </row>
    <row r="166" ht="15.75" customHeight="1">
      <c r="A166" s="28"/>
      <c r="B166" s="28"/>
      <c r="C166" s="25"/>
      <c r="D166" s="25"/>
      <c r="E166" s="25"/>
      <c r="F166" s="35"/>
      <c r="G166" s="35"/>
      <c r="H166" s="92"/>
      <c r="I166" s="92"/>
    </row>
    <row r="167" ht="15.75" customHeight="1">
      <c r="A167" s="28"/>
      <c r="B167" s="28"/>
      <c r="C167" s="25"/>
      <c r="D167" s="25"/>
      <c r="E167" s="25"/>
      <c r="F167" s="35"/>
      <c r="G167" s="35"/>
      <c r="H167" s="92"/>
      <c r="I167" s="92"/>
    </row>
    <row r="168" ht="15.75" customHeight="1">
      <c r="A168" s="28"/>
      <c r="B168" s="28"/>
      <c r="C168" s="25"/>
      <c r="D168" s="25"/>
      <c r="E168" s="25"/>
      <c r="F168" s="35"/>
      <c r="G168" s="35"/>
      <c r="H168" s="92"/>
      <c r="I168" s="92"/>
    </row>
    <row r="169" ht="15.75" customHeight="1">
      <c r="A169" s="28"/>
      <c r="B169" s="28"/>
      <c r="C169" s="25"/>
      <c r="D169" s="25"/>
      <c r="E169" s="25"/>
      <c r="F169" s="35"/>
      <c r="G169" s="35"/>
      <c r="H169" s="92"/>
      <c r="I169" s="92"/>
    </row>
    <row r="170" ht="15.75" customHeight="1">
      <c r="A170" s="28"/>
      <c r="B170" s="28"/>
      <c r="C170" s="25"/>
      <c r="D170" s="25"/>
      <c r="E170" s="25"/>
      <c r="F170" s="35"/>
      <c r="G170" s="35"/>
      <c r="H170" s="92"/>
      <c r="I170" s="92"/>
    </row>
    <row r="171" ht="15.75" customHeight="1">
      <c r="A171" s="28"/>
      <c r="B171" s="28"/>
      <c r="C171" s="25"/>
      <c r="D171" s="25"/>
      <c r="E171" s="25"/>
      <c r="F171" s="35"/>
      <c r="G171" s="35"/>
      <c r="H171" s="92"/>
      <c r="I171" s="92"/>
    </row>
    <row r="172" ht="15.75" customHeight="1">
      <c r="A172" s="28"/>
      <c r="B172" s="28"/>
      <c r="C172" s="25"/>
      <c r="D172" s="25"/>
      <c r="E172" s="25"/>
      <c r="F172" s="35"/>
      <c r="G172" s="35"/>
      <c r="H172" s="92"/>
      <c r="I172" s="92"/>
    </row>
    <row r="173" ht="15.75" customHeight="1">
      <c r="A173" s="28"/>
      <c r="B173" s="28"/>
      <c r="C173" s="25"/>
      <c r="D173" s="25"/>
      <c r="E173" s="25"/>
      <c r="F173" s="35"/>
      <c r="G173" s="35"/>
      <c r="H173" s="92"/>
      <c r="I173" s="92"/>
    </row>
    <row r="174" ht="15.75" customHeight="1">
      <c r="A174" s="28"/>
      <c r="B174" s="28"/>
      <c r="C174" s="25"/>
      <c r="D174" s="25"/>
      <c r="E174" s="25"/>
      <c r="F174" s="35"/>
      <c r="G174" s="35"/>
      <c r="H174" s="92"/>
      <c r="I174" s="92"/>
    </row>
    <row r="175" ht="15.75" customHeight="1">
      <c r="A175" s="28"/>
      <c r="B175" s="28"/>
      <c r="C175" s="25"/>
      <c r="D175" s="25"/>
      <c r="E175" s="25"/>
      <c r="F175" s="35"/>
      <c r="G175" s="35"/>
      <c r="H175" s="92"/>
      <c r="I175" s="92"/>
    </row>
    <row r="176" ht="15.75" customHeight="1">
      <c r="A176" s="28"/>
      <c r="B176" s="28"/>
      <c r="C176" s="25"/>
      <c r="D176" s="25"/>
      <c r="E176" s="25"/>
      <c r="F176" s="35"/>
      <c r="G176" s="35"/>
      <c r="H176" s="92"/>
      <c r="I176" s="92"/>
    </row>
    <row r="177" ht="15.75" customHeight="1">
      <c r="A177" s="28"/>
      <c r="B177" s="28"/>
      <c r="C177" s="25"/>
      <c r="D177" s="25"/>
      <c r="E177" s="25"/>
      <c r="F177" s="35"/>
      <c r="G177" s="35"/>
      <c r="H177" s="92"/>
      <c r="I177" s="92"/>
    </row>
    <row r="178" ht="15.75" customHeight="1">
      <c r="A178" s="28"/>
      <c r="B178" s="28"/>
      <c r="C178" s="25"/>
      <c r="D178" s="25"/>
      <c r="E178" s="25"/>
      <c r="F178" s="35"/>
      <c r="G178" s="35"/>
      <c r="H178" s="92"/>
      <c r="I178" s="92"/>
    </row>
    <row r="179" ht="15.75" customHeight="1">
      <c r="A179" s="28"/>
      <c r="B179" s="28"/>
      <c r="C179" s="25"/>
      <c r="D179" s="25"/>
      <c r="E179" s="25"/>
      <c r="F179" s="35"/>
      <c r="G179" s="35"/>
      <c r="H179" s="92"/>
      <c r="I179" s="92"/>
    </row>
    <row r="180" ht="15.75" customHeight="1">
      <c r="A180" s="28"/>
      <c r="B180" s="28"/>
      <c r="C180" s="25"/>
      <c r="D180" s="25"/>
      <c r="E180" s="25"/>
      <c r="F180" s="35"/>
      <c r="G180" s="35"/>
      <c r="H180" s="92"/>
      <c r="I180" s="92"/>
    </row>
    <row r="181" ht="15.75" customHeight="1">
      <c r="A181" s="28"/>
      <c r="B181" s="28"/>
      <c r="C181" s="25"/>
      <c r="D181" s="25"/>
      <c r="E181" s="25"/>
      <c r="F181" s="35"/>
      <c r="G181" s="35"/>
      <c r="H181" s="92"/>
      <c r="I181" s="92"/>
    </row>
    <row r="182" ht="15.75" customHeight="1">
      <c r="A182" s="28"/>
      <c r="B182" s="28"/>
      <c r="C182" s="25"/>
      <c r="D182" s="25"/>
      <c r="E182" s="25"/>
      <c r="F182" s="35"/>
      <c r="G182" s="35"/>
      <c r="H182" s="92"/>
      <c r="I182" s="92"/>
    </row>
    <row r="183" ht="15.75" customHeight="1">
      <c r="A183" s="28"/>
      <c r="B183" s="28"/>
      <c r="C183" s="25"/>
      <c r="D183" s="25"/>
      <c r="E183" s="25"/>
      <c r="F183" s="35"/>
      <c r="G183" s="35"/>
      <c r="H183" s="92"/>
      <c r="I183" s="92"/>
    </row>
    <row r="184" ht="15.75" customHeight="1">
      <c r="A184" s="28"/>
      <c r="B184" s="28"/>
      <c r="C184" s="25"/>
      <c r="D184" s="25"/>
      <c r="E184" s="25"/>
      <c r="F184" s="35"/>
      <c r="G184" s="35"/>
      <c r="H184" s="92"/>
      <c r="I184" s="92"/>
    </row>
    <row r="185" ht="15.75" customHeight="1">
      <c r="A185" s="28"/>
      <c r="B185" s="28"/>
      <c r="C185" s="25"/>
      <c r="D185" s="25"/>
      <c r="E185" s="25"/>
      <c r="F185" s="35"/>
      <c r="G185" s="35"/>
      <c r="H185" s="92"/>
      <c r="I185" s="92"/>
    </row>
    <row r="186" ht="15.75" customHeight="1">
      <c r="A186" s="28"/>
      <c r="B186" s="28"/>
      <c r="C186" s="25"/>
      <c r="D186" s="25"/>
      <c r="E186" s="25"/>
      <c r="F186" s="35"/>
      <c r="G186" s="35"/>
      <c r="H186" s="92"/>
      <c r="I186" s="92"/>
    </row>
    <row r="187" ht="15.75" customHeight="1">
      <c r="A187" s="28"/>
      <c r="B187" s="28"/>
      <c r="C187" s="25"/>
      <c r="D187" s="25"/>
      <c r="E187" s="25"/>
      <c r="F187" s="35"/>
      <c r="G187" s="35"/>
      <c r="H187" s="92"/>
      <c r="I187" s="92"/>
    </row>
    <row r="188" ht="15.75" customHeight="1">
      <c r="A188" s="28"/>
      <c r="B188" s="28"/>
      <c r="C188" s="25"/>
      <c r="D188" s="25"/>
      <c r="E188" s="25"/>
      <c r="F188" s="35"/>
      <c r="G188" s="35"/>
      <c r="H188" s="92"/>
      <c r="I188" s="92"/>
    </row>
    <row r="189" ht="15.75" customHeight="1">
      <c r="A189" s="28"/>
      <c r="B189" s="28"/>
      <c r="C189" s="25"/>
      <c r="D189" s="25"/>
      <c r="E189" s="25"/>
      <c r="F189" s="35"/>
      <c r="G189" s="35"/>
      <c r="H189" s="92"/>
      <c r="I189" s="92"/>
    </row>
    <row r="190" ht="15.75" customHeight="1">
      <c r="A190" s="28"/>
      <c r="B190" s="28"/>
      <c r="C190" s="25"/>
      <c r="D190" s="25"/>
      <c r="E190" s="25"/>
      <c r="F190" s="35"/>
      <c r="G190" s="35"/>
      <c r="H190" s="92"/>
      <c r="I190" s="92"/>
    </row>
    <row r="191" ht="15.75" customHeight="1">
      <c r="A191" s="28"/>
      <c r="B191" s="28"/>
      <c r="C191" s="25"/>
      <c r="D191" s="25"/>
      <c r="E191" s="25"/>
      <c r="F191" s="35"/>
      <c r="G191" s="35"/>
      <c r="H191" s="92"/>
      <c r="I191" s="92"/>
    </row>
    <row r="192" ht="15.75" customHeight="1">
      <c r="A192" s="28"/>
      <c r="B192" s="28"/>
      <c r="C192" s="25"/>
      <c r="D192" s="25"/>
      <c r="E192" s="25"/>
      <c r="F192" s="35"/>
      <c r="G192" s="35"/>
      <c r="H192" s="92"/>
      <c r="I192" s="92"/>
    </row>
    <row r="193" ht="15.75" customHeight="1">
      <c r="A193" s="28"/>
      <c r="B193" s="28"/>
      <c r="C193" s="25"/>
      <c r="D193" s="25"/>
      <c r="E193" s="25"/>
      <c r="F193" s="35"/>
      <c r="G193" s="35"/>
      <c r="H193" s="92"/>
      <c r="I193" s="92"/>
    </row>
    <row r="194" ht="15.75" customHeight="1">
      <c r="A194" s="28"/>
      <c r="B194" s="28"/>
      <c r="C194" s="25"/>
      <c r="D194" s="25"/>
      <c r="E194" s="25"/>
      <c r="F194" s="35"/>
      <c r="G194" s="35"/>
      <c r="H194" s="92"/>
      <c r="I194" s="92"/>
    </row>
    <row r="195" ht="15.75" customHeight="1">
      <c r="A195" s="28"/>
      <c r="B195" s="28"/>
      <c r="C195" s="25"/>
      <c r="D195" s="25"/>
      <c r="E195" s="25"/>
      <c r="F195" s="35"/>
      <c r="G195" s="35"/>
      <c r="H195" s="92"/>
      <c r="I195" s="92"/>
    </row>
    <row r="196" ht="15.75" customHeight="1">
      <c r="A196" s="28"/>
      <c r="B196" s="28"/>
      <c r="C196" s="25"/>
      <c r="D196" s="25"/>
      <c r="E196" s="25"/>
      <c r="F196" s="35"/>
      <c r="G196" s="35"/>
      <c r="H196" s="92"/>
      <c r="I196" s="92"/>
    </row>
    <row r="197" ht="15.75" customHeight="1">
      <c r="A197" s="28"/>
      <c r="B197" s="28"/>
      <c r="C197" s="25"/>
      <c r="D197" s="25"/>
      <c r="E197" s="25"/>
      <c r="F197" s="35"/>
      <c r="G197" s="35"/>
      <c r="H197" s="92"/>
      <c r="I197" s="92"/>
    </row>
    <row r="198" ht="15.75" customHeight="1">
      <c r="A198" s="28"/>
      <c r="B198" s="28"/>
      <c r="C198" s="25"/>
      <c r="D198" s="25"/>
      <c r="E198" s="25"/>
      <c r="F198" s="35"/>
      <c r="G198" s="35"/>
      <c r="H198" s="92"/>
      <c r="I198" s="92"/>
    </row>
    <row r="199" ht="15.75" customHeight="1">
      <c r="A199" s="28"/>
      <c r="B199" s="28"/>
      <c r="C199" s="25"/>
      <c r="D199" s="25"/>
      <c r="E199" s="25"/>
      <c r="F199" s="35"/>
      <c r="G199" s="35"/>
      <c r="H199" s="92"/>
      <c r="I199" s="92"/>
    </row>
    <row r="200" ht="15.75" customHeight="1">
      <c r="A200" s="28"/>
      <c r="B200" s="28"/>
      <c r="C200" s="25"/>
      <c r="D200" s="25"/>
      <c r="E200" s="25"/>
      <c r="F200" s="35"/>
      <c r="G200" s="35"/>
      <c r="H200" s="92"/>
      <c r="I200" s="92"/>
    </row>
    <row r="201" ht="15.75" customHeight="1">
      <c r="A201" s="28"/>
      <c r="B201" s="28"/>
      <c r="C201" s="25"/>
      <c r="D201" s="25"/>
      <c r="E201" s="25"/>
      <c r="F201" s="35"/>
      <c r="G201" s="35"/>
      <c r="H201" s="92"/>
      <c r="I201" s="92"/>
    </row>
    <row r="202" ht="15.75" customHeight="1">
      <c r="A202" s="28"/>
      <c r="B202" s="28"/>
      <c r="C202" s="25"/>
      <c r="D202" s="25"/>
      <c r="E202" s="25"/>
      <c r="F202" s="35"/>
      <c r="G202" s="35"/>
      <c r="H202" s="92"/>
      <c r="I202" s="92"/>
    </row>
    <row r="203" ht="15.75" customHeight="1">
      <c r="A203" s="28"/>
      <c r="B203" s="28"/>
      <c r="C203" s="25"/>
      <c r="D203" s="25"/>
      <c r="E203" s="25"/>
      <c r="F203" s="35"/>
      <c r="G203" s="35"/>
      <c r="H203" s="92"/>
      <c r="I203" s="92"/>
    </row>
    <row r="204" ht="15.75" customHeight="1">
      <c r="A204" s="28"/>
      <c r="B204" s="28"/>
      <c r="C204" s="25"/>
      <c r="D204" s="25"/>
      <c r="E204" s="25"/>
      <c r="F204" s="35"/>
      <c r="G204" s="35"/>
      <c r="H204" s="92"/>
      <c r="I204" s="92"/>
    </row>
    <row r="205" ht="15.75" customHeight="1">
      <c r="A205" s="28"/>
      <c r="B205" s="28"/>
      <c r="C205" s="25"/>
      <c r="D205" s="25"/>
      <c r="E205" s="25"/>
      <c r="F205" s="35"/>
      <c r="G205" s="35"/>
      <c r="H205" s="92"/>
      <c r="I205" s="92"/>
    </row>
    <row r="206" ht="15.75" customHeight="1">
      <c r="A206" s="28"/>
      <c r="B206" s="28"/>
      <c r="C206" s="25"/>
      <c r="D206" s="25"/>
      <c r="E206" s="25"/>
      <c r="F206" s="35"/>
      <c r="G206" s="35"/>
      <c r="H206" s="92"/>
      <c r="I206" s="92"/>
    </row>
    <row r="207" ht="15.75" customHeight="1">
      <c r="A207" s="28"/>
      <c r="B207" s="28"/>
      <c r="C207" s="25"/>
      <c r="D207" s="25"/>
      <c r="E207" s="25"/>
      <c r="F207" s="35"/>
      <c r="G207" s="35"/>
      <c r="H207" s="92"/>
      <c r="I207" s="92"/>
    </row>
    <row r="208" ht="15.75" customHeight="1">
      <c r="A208" s="28"/>
      <c r="B208" s="28"/>
      <c r="C208" s="25"/>
      <c r="D208" s="25"/>
      <c r="E208" s="25"/>
      <c r="F208" s="35"/>
      <c r="G208" s="35"/>
      <c r="H208" s="92"/>
      <c r="I208" s="92"/>
    </row>
    <row r="209" ht="15.75" customHeight="1">
      <c r="A209" s="28"/>
      <c r="B209" s="28"/>
      <c r="C209" s="25"/>
      <c r="D209" s="25"/>
      <c r="E209" s="25"/>
      <c r="F209" s="35"/>
      <c r="G209" s="35"/>
      <c r="H209" s="92"/>
      <c r="I209" s="92"/>
    </row>
    <row r="210" ht="15.75" customHeight="1">
      <c r="A210" s="28"/>
      <c r="B210" s="28"/>
      <c r="C210" s="25"/>
      <c r="D210" s="25"/>
      <c r="E210" s="25"/>
      <c r="F210" s="35"/>
      <c r="G210" s="35"/>
      <c r="H210" s="92"/>
      <c r="I210" s="92"/>
    </row>
    <row r="211" ht="15.75" customHeight="1">
      <c r="A211" s="28"/>
      <c r="B211" s="28"/>
      <c r="C211" s="25"/>
      <c r="D211" s="25"/>
      <c r="E211" s="25"/>
      <c r="F211" s="35"/>
      <c r="G211" s="35"/>
      <c r="H211" s="92"/>
      <c r="I211" s="92"/>
    </row>
    <row r="212" ht="15.75" customHeight="1">
      <c r="A212" s="28"/>
      <c r="B212" s="28"/>
      <c r="C212" s="25"/>
      <c r="D212" s="25"/>
      <c r="E212" s="25"/>
      <c r="F212" s="35"/>
      <c r="G212" s="35"/>
      <c r="H212" s="92"/>
      <c r="I212" s="92"/>
    </row>
    <row r="213" ht="15.75" customHeight="1">
      <c r="A213" s="28"/>
      <c r="B213" s="28"/>
      <c r="C213" s="25"/>
      <c r="D213" s="25"/>
      <c r="E213" s="25"/>
      <c r="F213" s="35"/>
      <c r="G213" s="35"/>
      <c r="H213" s="92"/>
      <c r="I213" s="92"/>
    </row>
    <row r="214" ht="15.75" customHeight="1">
      <c r="A214" s="28"/>
      <c r="B214" s="28"/>
      <c r="C214" s="25"/>
      <c r="D214" s="25"/>
      <c r="E214" s="25"/>
      <c r="F214" s="35"/>
      <c r="G214" s="35"/>
      <c r="H214" s="92"/>
      <c r="I214" s="92"/>
    </row>
    <row r="215" ht="15.75" customHeight="1">
      <c r="A215" s="28"/>
      <c r="B215" s="28"/>
      <c r="C215" s="25"/>
      <c r="D215" s="25"/>
      <c r="E215" s="25"/>
      <c r="F215" s="35"/>
      <c r="G215" s="35"/>
      <c r="H215" s="92"/>
      <c r="I215" s="92"/>
    </row>
    <row r="216" ht="15.75" customHeight="1">
      <c r="A216" s="28"/>
      <c r="B216" s="28"/>
      <c r="C216" s="25"/>
      <c r="D216" s="25"/>
      <c r="E216" s="25"/>
      <c r="F216" s="35"/>
      <c r="G216" s="35"/>
      <c r="H216" s="92"/>
      <c r="I216" s="92"/>
    </row>
    <row r="217" ht="15.75" customHeight="1">
      <c r="A217" s="28"/>
      <c r="B217" s="28"/>
      <c r="C217" s="25"/>
      <c r="D217" s="25"/>
      <c r="E217" s="25"/>
      <c r="F217" s="35"/>
      <c r="G217" s="35"/>
      <c r="H217" s="92"/>
      <c r="I217" s="92"/>
    </row>
    <row r="218" ht="15.75" customHeight="1">
      <c r="A218" s="28"/>
      <c r="B218" s="28"/>
      <c r="C218" s="25"/>
      <c r="D218" s="25"/>
      <c r="E218" s="25"/>
      <c r="F218" s="35"/>
      <c r="G218" s="35"/>
      <c r="H218" s="92"/>
      <c r="I218" s="92"/>
    </row>
    <row r="219" ht="15.75" customHeight="1">
      <c r="A219" s="28"/>
      <c r="B219" s="28"/>
      <c r="C219" s="25"/>
      <c r="D219" s="25"/>
      <c r="E219" s="25"/>
      <c r="F219" s="35"/>
      <c r="G219" s="35"/>
      <c r="H219" s="92"/>
      <c r="I219" s="92"/>
    </row>
    <row r="220" ht="15.75" customHeight="1">
      <c r="A220" s="28"/>
      <c r="B220" s="28"/>
      <c r="C220" s="25"/>
      <c r="D220" s="25"/>
      <c r="E220" s="25"/>
      <c r="F220" s="35"/>
      <c r="G220" s="35"/>
      <c r="H220" s="92"/>
      <c r="I220" s="92"/>
    </row>
    <row r="221" ht="15.75" customHeight="1">
      <c r="A221" s="28"/>
      <c r="B221" s="28"/>
      <c r="C221" s="25"/>
      <c r="D221" s="25"/>
      <c r="E221" s="25"/>
      <c r="F221" s="35"/>
      <c r="G221" s="35"/>
      <c r="H221" s="92"/>
      <c r="I221" s="92"/>
    </row>
    <row r="222" ht="15.75" customHeight="1">
      <c r="A222" s="28"/>
      <c r="B222" s="28"/>
      <c r="C222" s="25"/>
      <c r="D222" s="25"/>
      <c r="E222" s="25"/>
      <c r="F222" s="35"/>
      <c r="G222" s="35"/>
      <c r="H222" s="92"/>
      <c r="I222" s="92"/>
    </row>
    <row r="223" ht="15.75" customHeight="1">
      <c r="A223" s="28"/>
      <c r="B223" s="28"/>
      <c r="C223" s="25"/>
      <c r="D223" s="25"/>
      <c r="E223" s="25"/>
      <c r="F223" s="35"/>
      <c r="G223" s="35"/>
      <c r="H223" s="92"/>
      <c r="I223" s="92"/>
    </row>
    <row r="224" ht="15.75" customHeight="1">
      <c r="A224" s="28"/>
      <c r="B224" s="28"/>
      <c r="C224" s="25"/>
      <c r="D224" s="25"/>
      <c r="E224" s="25"/>
      <c r="F224" s="35"/>
      <c r="G224" s="35"/>
      <c r="H224" s="92"/>
      <c r="I224" s="92"/>
    </row>
    <row r="225" ht="15.75" customHeight="1">
      <c r="A225" s="28"/>
      <c r="B225" s="28"/>
      <c r="C225" s="25"/>
      <c r="D225" s="25"/>
      <c r="E225" s="25"/>
      <c r="F225" s="35"/>
      <c r="G225" s="35"/>
      <c r="H225" s="92"/>
      <c r="I225" s="92"/>
    </row>
    <row r="226" ht="15.75" customHeight="1">
      <c r="A226" s="28"/>
      <c r="B226" s="28"/>
      <c r="C226" s="25"/>
      <c r="D226" s="25"/>
      <c r="E226" s="25"/>
      <c r="F226" s="35"/>
      <c r="G226" s="35"/>
      <c r="H226" s="92"/>
      <c r="I226" s="92"/>
    </row>
    <row r="227" ht="15.75" customHeight="1">
      <c r="A227" s="28"/>
      <c r="B227" s="28"/>
      <c r="C227" s="25"/>
      <c r="D227" s="25"/>
      <c r="E227" s="25"/>
      <c r="F227" s="35"/>
      <c r="G227" s="35"/>
      <c r="H227" s="92"/>
      <c r="I227" s="92"/>
    </row>
    <row r="228" ht="15.75" customHeight="1">
      <c r="A228" s="28"/>
      <c r="B228" s="28"/>
      <c r="C228" s="25"/>
      <c r="D228" s="25"/>
      <c r="E228" s="25"/>
      <c r="F228" s="35"/>
      <c r="G228" s="35"/>
      <c r="H228" s="92"/>
      <c r="I228" s="92"/>
    </row>
    <row r="229" ht="15.75" customHeight="1">
      <c r="A229" s="28"/>
      <c r="B229" s="28"/>
      <c r="C229" s="25"/>
      <c r="D229" s="25"/>
      <c r="E229" s="25"/>
      <c r="F229" s="35"/>
      <c r="G229" s="35"/>
      <c r="H229" s="92"/>
      <c r="I229" s="92"/>
    </row>
    <row r="230" ht="15.75" customHeight="1">
      <c r="A230" s="28"/>
      <c r="B230" s="28"/>
      <c r="C230" s="25"/>
      <c r="D230" s="25"/>
      <c r="E230" s="25"/>
      <c r="F230" s="35"/>
      <c r="G230" s="35"/>
      <c r="H230" s="92"/>
      <c r="I230" s="92"/>
    </row>
    <row r="231" ht="15.75" customHeight="1">
      <c r="A231" s="28"/>
      <c r="B231" s="28"/>
      <c r="C231" s="25"/>
      <c r="D231" s="25"/>
      <c r="E231" s="25"/>
      <c r="F231" s="35"/>
      <c r="G231" s="35"/>
      <c r="H231" s="92"/>
      <c r="I231" s="92"/>
    </row>
    <row r="232" ht="15.75" customHeight="1">
      <c r="A232" s="28"/>
      <c r="B232" s="28"/>
      <c r="C232" s="25"/>
      <c r="D232" s="25"/>
      <c r="E232" s="25"/>
      <c r="F232" s="35"/>
      <c r="G232" s="35"/>
      <c r="H232" s="92"/>
      <c r="I232" s="92"/>
    </row>
    <row r="233" ht="15.75" customHeight="1">
      <c r="A233" s="28"/>
      <c r="B233" s="28"/>
      <c r="C233" s="25"/>
      <c r="D233" s="25"/>
      <c r="E233" s="25"/>
      <c r="F233" s="35"/>
      <c r="G233" s="35"/>
      <c r="H233" s="92"/>
      <c r="I233" s="92"/>
    </row>
    <row r="234" ht="15.75" customHeight="1">
      <c r="A234" s="28"/>
      <c r="B234" s="28"/>
      <c r="C234" s="25"/>
      <c r="D234" s="25"/>
      <c r="E234" s="25"/>
      <c r="F234" s="35"/>
      <c r="G234" s="35"/>
      <c r="H234" s="92"/>
      <c r="I234" s="92"/>
    </row>
    <row r="235" ht="15.75" customHeight="1">
      <c r="A235" s="28"/>
      <c r="B235" s="28"/>
      <c r="C235" s="25"/>
      <c r="D235" s="25"/>
      <c r="E235" s="25"/>
      <c r="F235" s="35"/>
      <c r="G235" s="35"/>
      <c r="H235" s="92"/>
      <c r="I235" s="92"/>
    </row>
    <row r="236" ht="15.75" customHeight="1">
      <c r="A236" s="28"/>
      <c r="B236" s="28"/>
      <c r="C236" s="25"/>
      <c r="D236" s="25"/>
      <c r="E236" s="25"/>
      <c r="F236" s="35"/>
      <c r="G236" s="35"/>
      <c r="H236" s="92"/>
      <c r="I236" s="92"/>
    </row>
    <row r="237" ht="15.75" customHeight="1">
      <c r="A237" s="28"/>
      <c r="B237" s="28"/>
      <c r="C237" s="25"/>
      <c r="D237" s="25"/>
      <c r="E237" s="25"/>
      <c r="F237" s="35"/>
      <c r="G237" s="35"/>
      <c r="H237" s="92"/>
      <c r="I237" s="92"/>
    </row>
    <row r="238" ht="15.75" customHeight="1">
      <c r="A238" s="28"/>
      <c r="B238" s="28"/>
      <c r="C238" s="25"/>
      <c r="D238" s="25"/>
      <c r="E238" s="25"/>
      <c r="F238" s="35"/>
      <c r="G238" s="35"/>
      <c r="H238" s="92"/>
      <c r="I238" s="92"/>
    </row>
    <row r="239" ht="15.75" customHeight="1">
      <c r="A239" s="28"/>
      <c r="B239" s="28"/>
      <c r="C239" s="25"/>
      <c r="D239" s="25"/>
      <c r="E239" s="25"/>
      <c r="F239" s="35"/>
      <c r="G239" s="35"/>
      <c r="H239" s="92"/>
      <c r="I239" s="92"/>
    </row>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F2:F12 F17:F26 F28:F1000 G2:I1000">
    <cfRule type="beginsWith" dxfId="0" priority="1" operator="beginsWith" text="MET">
      <formula>LEFT((F2),LEN("MET"))=("MET")</formula>
    </cfRule>
  </conditionalFormatting>
  <conditionalFormatting sqref="F2:F12 F17:F26 F28:F1000 G2:I1000">
    <cfRule type="beginsWith" dxfId="1" priority="2" operator="beginsWith" text="UNMET">
      <formula>LEFT((F2),LEN("UNMET"))=("UNMET")</formula>
    </cfRule>
  </conditionalFormatting>
  <conditionalFormatting sqref="F2:F12 F17:F26 F28:F1000 G2:I1000">
    <cfRule type="beginsWith" dxfId="2" priority="3" operator="beginsWith" text="WIP">
      <formula>LEFT((F2),LEN("WIP"))=("WIP")</formula>
    </cfRule>
  </conditionalFormatting>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3.5"/>
    <col customWidth="1" min="2" max="2" width="40.25"/>
    <col customWidth="1" min="3" max="3" width="24.88"/>
    <col customWidth="1" min="4" max="4" width="11.5"/>
    <col customWidth="1" min="5" max="5" width="16.25"/>
    <col customWidth="1" min="6" max="6" width="16.13"/>
    <col customWidth="1" min="7" max="7" width="14.25"/>
    <col customWidth="1" min="8" max="8" width="18.0"/>
    <col customWidth="1" min="9" max="9" width="14.75"/>
    <col customWidth="1" min="10" max="10" width="14.88"/>
    <col customWidth="1" min="11" max="11" width="8.63"/>
    <col customWidth="1" min="12" max="12" width="5.5"/>
    <col customWidth="1" min="13" max="13" width="4.13"/>
  </cols>
  <sheetData>
    <row r="1">
      <c r="A1" s="97" t="s">
        <v>165</v>
      </c>
      <c r="B1" s="97" t="s">
        <v>166</v>
      </c>
      <c r="C1" s="97" t="s">
        <v>167</v>
      </c>
      <c r="D1" s="97" t="s">
        <v>168</v>
      </c>
      <c r="E1" s="97" t="s">
        <v>169</v>
      </c>
      <c r="F1" s="97" t="s">
        <v>170</v>
      </c>
      <c r="G1" s="97" t="s">
        <v>171</v>
      </c>
      <c r="H1" s="97" t="s">
        <v>172</v>
      </c>
      <c r="I1" s="97" t="s">
        <v>173</v>
      </c>
      <c r="J1" s="97" t="s">
        <v>174</v>
      </c>
      <c r="K1" s="97" t="s">
        <v>175</v>
      </c>
      <c r="L1" s="97" t="s">
        <v>176</v>
      </c>
      <c r="M1" s="98"/>
    </row>
    <row r="2">
      <c r="A2" s="98" t="s">
        <v>177</v>
      </c>
      <c r="B2" s="99" t="s">
        <v>178</v>
      </c>
      <c r="C2" s="98" t="s">
        <v>179</v>
      </c>
      <c r="D2" s="53" t="s">
        <v>180</v>
      </c>
      <c r="E2" s="53" t="s">
        <v>181</v>
      </c>
      <c r="F2" s="53" t="s">
        <v>182</v>
      </c>
      <c r="G2" s="53" t="s">
        <v>183</v>
      </c>
      <c r="H2" s="53" t="s">
        <v>184</v>
      </c>
      <c r="I2" s="53" t="s">
        <v>185</v>
      </c>
      <c r="J2" s="53" t="s">
        <v>186</v>
      </c>
      <c r="K2" s="53" t="s">
        <v>187</v>
      </c>
      <c r="L2" s="100"/>
      <c r="M2" s="53"/>
    </row>
    <row r="3">
      <c r="A3" s="101" t="s">
        <v>188</v>
      </c>
      <c r="B3" s="99" t="s">
        <v>189</v>
      </c>
      <c r="C3" s="101" t="s">
        <v>190</v>
      </c>
      <c r="D3" s="53" t="s">
        <v>191</v>
      </c>
      <c r="E3" s="53" t="s">
        <v>192</v>
      </c>
      <c r="F3" s="53" t="s">
        <v>193</v>
      </c>
      <c r="G3" s="53" t="s">
        <v>194</v>
      </c>
      <c r="H3" s="53" t="s">
        <v>195</v>
      </c>
      <c r="I3" s="53" t="s">
        <v>196</v>
      </c>
      <c r="J3" s="53" t="s">
        <v>197</v>
      </c>
      <c r="K3" s="53" t="s">
        <v>198</v>
      </c>
      <c r="L3" s="100"/>
      <c r="M3" s="100"/>
    </row>
    <row r="4">
      <c r="A4" s="101" t="s">
        <v>199</v>
      </c>
      <c r="B4" s="99" t="s">
        <v>200</v>
      </c>
      <c r="C4" s="101" t="s">
        <v>201</v>
      </c>
      <c r="D4" s="53" t="s">
        <v>202</v>
      </c>
      <c r="E4" s="53" t="s">
        <v>203</v>
      </c>
      <c r="F4" s="53" t="s">
        <v>204</v>
      </c>
      <c r="G4" s="53" t="s">
        <v>205</v>
      </c>
      <c r="H4" s="53" t="s">
        <v>206</v>
      </c>
      <c r="I4" s="53" t="s">
        <v>185</v>
      </c>
      <c r="J4" s="53" t="s">
        <v>207</v>
      </c>
      <c r="K4" s="53" t="s">
        <v>208</v>
      </c>
      <c r="L4" s="100"/>
      <c r="M4" s="100"/>
    </row>
    <row r="5">
      <c r="A5" s="101" t="s">
        <v>209</v>
      </c>
      <c r="B5" s="99" t="s">
        <v>210</v>
      </c>
      <c r="C5" s="101" t="s">
        <v>211</v>
      </c>
      <c r="D5" s="53" t="s">
        <v>202</v>
      </c>
      <c r="E5" s="53" t="s">
        <v>212</v>
      </c>
      <c r="F5" s="53" t="s">
        <v>213</v>
      </c>
      <c r="G5" s="53" t="s">
        <v>214</v>
      </c>
      <c r="H5" s="53" t="s">
        <v>215</v>
      </c>
      <c r="I5" s="53" t="s">
        <v>185</v>
      </c>
      <c r="J5" s="53" t="s">
        <v>216</v>
      </c>
      <c r="K5" s="53" t="s">
        <v>217</v>
      </c>
      <c r="L5" s="100"/>
      <c r="M5" s="100"/>
    </row>
    <row r="6">
      <c r="A6" s="101" t="s">
        <v>218</v>
      </c>
      <c r="B6" s="99" t="s">
        <v>219</v>
      </c>
      <c r="C6" s="101" t="s">
        <v>220</v>
      </c>
      <c r="D6" s="53" t="s">
        <v>202</v>
      </c>
      <c r="E6" s="53" t="s">
        <v>221</v>
      </c>
      <c r="F6" s="53" t="s">
        <v>222</v>
      </c>
      <c r="G6" s="53" t="s">
        <v>223</v>
      </c>
      <c r="H6" s="53" t="s">
        <v>224</v>
      </c>
      <c r="I6" s="53" t="s">
        <v>196</v>
      </c>
      <c r="J6" s="53" t="s">
        <v>225</v>
      </c>
      <c r="K6" s="53" t="s">
        <v>208</v>
      </c>
      <c r="L6" s="100"/>
      <c r="M6" s="100"/>
    </row>
    <row r="7">
      <c r="A7" s="101" t="s">
        <v>226</v>
      </c>
      <c r="B7" s="99" t="s">
        <v>227</v>
      </c>
      <c r="C7" s="101" t="s">
        <v>228</v>
      </c>
      <c r="D7" s="53" t="s">
        <v>191</v>
      </c>
      <c r="E7" s="53" t="s">
        <v>229</v>
      </c>
      <c r="F7" s="53" t="s">
        <v>230</v>
      </c>
      <c r="G7" s="53" t="s">
        <v>231</v>
      </c>
      <c r="H7" s="53" t="s">
        <v>232</v>
      </c>
      <c r="I7" s="53" t="s">
        <v>233</v>
      </c>
      <c r="J7" s="53" t="s">
        <v>234</v>
      </c>
      <c r="K7" s="53" t="s">
        <v>235</v>
      </c>
      <c r="L7" s="100"/>
      <c r="M7" s="100"/>
    </row>
    <row r="8" ht="14.25" customHeight="1">
      <c r="A8" s="102"/>
      <c r="B8" s="102"/>
      <c r="C8" s="98"/>
      <c r="D8" s="102"/>
      <c r="E8" s="102"/>
      <c r="F8" s="102"/>
      <c r="G8" s="102"/>
      <c r="H8" s="102"/>
      <c r="I8" s="102"/>
      <c r="J8" s="102"/>
      <c r="K8" s="102"/>
      <c r="L8" s="102"/>
      <c r="M8" s="102"/>
    </row>
  </sheetData>
  <printOptions/>
  <pageMargins bottom="0.75" footer="0.0" header="0.0" left="0.7" right="0.7" top="0.75"/>
  <pageSetup paperSize="8"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0"/>
    <col customWidth="1" min="2" max="2" width="11.75"/>
    <col customWidth="1" min="3" max="3" width="64.5"/>
    <col customWidth="1" min="4" max="6" width="7.63"/>
    <col customWidth="1" min="7" max="7" width="63.0"/>
    <col customWidth="1" min="8" max="8" width="13.38"/>
    <col customWidth="1" min="9" max="9" width="7.63"/>
  </cols>
  <sheetData>
    <row r="1" ht="14.25" customHeight="1">
      <c r="A1" s="103" t="s">
        <v>143</v>
      </c>
      <c r="B1" s="104" t="s">
        <v>236</v>
      </c>
      <c r="C1" s="105" t="s">
        <v>237</v>
      </c>
      <c r="G1" s="106" t="s">
        <v>238</v>
      </c>
      <c r="H1" s="107"/>
    </row>
    <row r="2" ht="14.25" customHeight="1">
      <c r="A2" s="108">
        <v>0.0</v>
      </c>
      <c r="B2" s="108">
        <v>0.0</v>
      </c>
      <c r="C2" s="109" t="s">
        <v>239</v>
      </c>
      <c r="G2" s="110" t="s">
        <v>240</v>
      </c>
      <c r="H2" s="110" t="s">
        <v>241</v>
      </c>
    </row>
    <row r="3" ht="14.25" customHeight="1">
      <c r="A3" s="108">
        <v>0.0</v>
      </c>
      <c r="B3" s="108">
        <f t="shared" ref="B3:B16" si="1">B2+1</f>
        <v>1</v>
      </c>
      <c r="C3" s="109" t="s">
        <v>242</v>
      </c>
      <c r="G3" s="111" t="s">
        <v>243</v>
      </c>
      <c r="H3" s="107"/>
    </row>
    <row r="4" ht="14.25" customHeight="1">
      <c r="A4" s="108">
        <v>0.0</v>
      </c>
      <c r="B4" s="108">
        <f t="shared" si="1"/>
        <v>2</v>
      </c>
      <c r="C4" s="109" t="s">
        <v>242</v>
      </c>
      <c r="G4" s="112" t="s">
        <v>242</v>
      </c>
      <c r="H4" s="113">
        <v>7.0</v>
      </c>
    </row>
    <row r="5" ht="14.25" customHeight="1">
      <c r="A5" s="108">
        <v>0.0</v>
      </c>
      <c r="B5" s="108">
        <f t="shared" si="1"/>
        <v>3</v>
      </c>
      <c r="C5" s="109" t="s">
        <v>242</v>
      </c>
      <c r="G5" s="112" t="s">
        <v>244</v>
      </c>
      <c r="H5" s="113">
        <v>1.0</v>
      </c>
    </row>
    <row r="6" ht="14.25" customHeight="1">
      <c r="A6" s="108">
        <v>0.0</v>
      </c>
      <c r="B6" s="108">
        <f t="shared" si="1"/>
        <v>4</v>
      </c>
      <c r="C6" s="109" t="s">
        <v>242</v>
      </c>
      <c r="G6" s="112" t="s">
        <v>245</v>
      </c>
      <c r="H6" s="113">
        <v>1.0</v>
      </c>
    </row>
    <row r="7" ht="14.25" customHeight="1">
      <c r="A7" s="108">
        <v>0.0</v>
      </c>
      <c r="B7" s="108">
        <f t="shared" si="1"/>
        <v>5</v>
      </c>
      <c r="C7" s="109" t="s">
        <v>242</v>
      </c>
      <c r="G7" s="112" t="s">
        <v>246</v>
      </c>
      <c r="H7" s="113">
        <v>178.0</v>
      </c>
    </row>
    <row r="8" ht="14.25" customHeight="1">
      <c r="A8" s="108">
        <v>0.0</v>
      </c>
      <c r="B8" s="108">
        <f t="shared" si="1"/>
        <v>6</v>
      </c>
      <c r="C8" s="109" t="s">
        <v>242</v>
      </c>
      <c r="G8" s="112" t="s">
        <v>247</v>
      </c>
      <c r="H8" s="113">
        <v>44.0</v>
      </c>
    </row>
    <row r="9" ht="14.25" customHeight="1">
      <c r="A9" s="108">
        <v>0.0</v>
      </c>
      <c r="B9" s="108">
        <f t="shared" si="1"/>
        <v>7</v>
      </c>
      <c r="C9" s="109" t="s">
        <v>244</v>
      </c>
      <c r="G9" s="112" t="s">
        <v>248</v>
      </c>
      <c r="H9" s="113">
        <v>676.0</v>
      </c>
    </row>
    <row r="10" ht="14.25" customHeight="1">
      <c r="A10" s="108">
        <v>0.0</v>
      </c>
      <c r="B10" s="108">
        <f t="shared" si="1"/>
        <v>8</v>
      </c>
      <c r="C10" s="109" t="s">
        <v>245</v>
      </c>
      <c r="G10" s="111" t="s">
        <v>249</v>
      </c>
      <c r="H10" s="107"/>
    </row>
    <row r="11" ht="14.25" customHeight="1">
      <c r="A11" s="108">
        <v>0.0</v>
      </c>
      <c r="B11" s="108">
        <f t="shared" si="1"/>
        <v>9</v>
      </c>
      <c r="C11" s="109" t="s">
        <v>246</v>
      </c>
      <c r="G11" s="112" t="s">
        <v>250</v>
      </c>
      <c r="H11" s="113">
        <v>20.0</v>
      </c>
    </row>
    <row r="12" ht="14.25" customHeight="1">
      <c r="A12" s="108">
        <v>0.0</v>
      </c>
      <c r="B12" s="108">
        <f t="shared" si="1"/>
        <v>10</v>
      </c>
      <c r="C12" s="109" t="s">
        <v>246</v>
      </c>
      <c r="G12" s="112" t="s">
        <v>251</v>
      </c>
      <c r="H12" s="113">
        <v>40.0</v>
      </c>
    </row>
    <row r="13" ht="14.25" customHeight="1">
      <c r="A13" s="108">
        <v>0.0</v>
      </c>
      <c r="B13" s="108">
        <f t="shared" si="1"/>
        <v>11</v>
      </c>
      <c r="C13" s="109" t="s">
        <v>246</v>
      </c>
      <c r="G13" s="114" t="s">
        <v>252</v>
      </c>
      <c r="H13" s="113">
        <v>100.0</v>
      </c>
    </row>
    <row r="14" ht="14.25" customHeight="1">
      <c r="A14" s="108">
        <v>0.0</v>
      </c>
      <c r="B14" s="108">
        <f t="shared" si="1"/>
        <v>12</v>
      </c>
      <c r="C14" s="109" t="s">
        <v>246</v>
      </c>
      <c r="G14" s="112" t="s">
        <v>253</v>
      </c>
      <c r="H14" s="113">
        <v>20.0</v>
      </c>
    </row>
    <row r="15" ht="14.25" customHeight="1">
      <c r="A15" s="108">
        <v>0.0</v>
      </c>
      <c r="B15" s="108">
        <f t="shared" si="1"/>
        <v>13</v>
      </c>
      <c r="C15" s="109" t="s">
        <v>246</v>
      </c>
      <c r="G15" s="112" t="s">
        <v>254</v>
      </c>
      <c r="H15" s="113">
        <v>150.0</v>
      </c>
    </row>
    <row r="16" ht="14.25" customHeight="1">
      <c r="A16" s="108">
        <v>0.0</v>
      </c>
      <c r="B16" s="108">
        <f t="shared" si="1"/>
        <v>14</v>
      </c>
      <c r="C16" s="109" t="s">
        <v>246</v>
      </c>
      <c r="G16" s="112" t="s">
        <v>255</v>
      </c>
      <c r="H16" s="113">
        <v>15.0</v>
      </c>
    </row>
    <row r="17" ht="14.25" customHeight="1">
      <c r="A17" s="108">
        <v>0.0</v>
      </c>
      <c r="B17" s="108" t="s">
        <v>256</v>
      </c>
      <c r="C17" s="109" t="s">
        <v>246</v>
      </c>
      <c r="G17" s="112" t="s">
        <v>257</v>
      </c>
      <c r="H17" s="113">
        <v>150.0</v>
      </c>
    </row>
    <row r="18" ht="14.25" customHeight="1">
      <c r="A18" s="108">
        <v>0.0</v>
      </c>
      <c r="B18" s="108">
        <v>187.0</v>
      </c>
      <c r="C18" s="109" t="s">
        <v>247</v>
      </c>
      <c r="G18" s="112" t="s">
        <v>258</v>
      </c>
      <c r="H18" s="113">
        <v>90.0</v>
      </c>
    </row>
    <row r="19" ht="14.25" customHeight="1">
      <c r="A19" s="108">
        <v>0.0</v>
      </c>
      <c r="B19" s="108">
        <v>190.0</v>
      </c>
      <c r="C19" s="109" t="s">
        <v>247</v>
      </c>
      <c r="G19" s="112" t="s">
        <v>259</v>
      </c>
      <c r="H19" s="113">
        <v>120.0</v>
      </c>
    </row>
    <row r="20" ht="14.25" customHeight="1">
      <c r="A20" s="108">
        <v>0.0</v>
      </c>
      <c r="B20" s="108">
        <v>191.0</v>
      </c>
      <c r="C20" s="109" t="s">
        <v>247</v>
      </c>
      <c r="G20" s="112" t="s">
        <v>260</v>
      </c>
      <c r="H20" s="113">
        <v>735.0</v>
      </c>
    </row>
    <row r="21" ht="14.25" customHeight="1">
      <c r="A21" s="108">
        <v>0.0</v>
      </c>
      <c r="B21" s="108">
        <v>192.0</v>
      </c>
      <c r="C21" s="109" t="s">
        <v>247</v>
      </c>
      <c r="G21" s="111" t="s">
        <v>261</v>
      </c>
      <c r="H21" s="107"/>
    </row>
    <row r="22" ht="14.25" customHeight="1">
      <c r="A22" s="108">
        <v>0.0</v>
      </c>
      <c r="B22" s="108">
        <v>193.0</v>
      </c>
      <c r="C22" s="109" t="s">
        <v>247</v>
      </c>
      <c r="G22" s="112" t="s">
        <v>262</v>
      </c>
      <c r="H22" s="113">
        <v>30.0</v>
      </c>
    </row>
    <row r="23" ht="14.25" customHeight="1">
      <c r="A23" s="108">
        <v>0.0</v>
      </c>
      <c r="B23" s="108" t="s">
        <v>263</v>
      </c>
      <c r="C23" s="109" t="s">
        <v>247</v>
      </c>
      <c r="G23" s="112" t="s">
        <v>253</v>
      </c>
      <c r="H23" s="113">
        <v>20.0</v>
      </c>
    </row>
    <row r="24" ht="14.25" customHeight="1">
      <c r="A24" s="108">
        <v>0.0</v>
      </c>
      <c r="B24" s="108">
        <v>231.0</v>
      </c>
      <c r="C24" s="109" t="s">
        <v>248</v>
      </c>
      <c r="G24" s="112" t="s">
        <v>254</v>
      </c>
      <c r="H24" s="113">
        <v>150.0</v>
      </c>
    </row>
    <row r="25" ht="14.25" customHeight="1">
      <c r="A25" s="108">
        <v>0.0</v>
      </c>
      <c r="B25" s="108">
        <f t="shared" ref="B25:B32" si="2">B24+1</f>
        <v>232</v>
      </c>
      <c r="C25" s="109" t="s">
        <v>248</v>
      </c>
      <c r="G25" s="112" t="s">
        <v>255</v>
      </c>
      <c r="H25" s="113">
        <v>15.0</v>
      </c>
    </row>
    <row r="26" ht="14.25" customHeight="1">
      <c r="A26" s="108">
        <v>0.0</v>
      </c>
      <c r="B26" s="108">
        <f t="shared" si="2"/>
        <v>233</v>
      </c>
      <c r="C26" s="109" t="s">
        <v>248</v>
      </c>
      <c r="G26" s="112" t="s">
        <v>257</v>
      </c>
      <c r="H26" s="113">
        <v>150.0</v>
      </c>
    </row>
    <row r="27" ht="14.25" customHeight="1">
      <c r="A27" s="108">
        <v>0.0</v>
      </c>
      <c r="B27" s="108">
        <f t="shared" si="2"/>
        <v>234</v>
      </c>
      <c r="C27" s="109" t="s">
        <v>248</v>
      </c>
      <c r="G27" s="112" t="s">
        <v>258</v>
      </c>
      <c r="H27" s="113">
        <v>90.0</v>
      </c>
    </row>
    <row r="28" ht="14.25" customHeight="1">
      <c r="A28" s="108">
        <v>0.0</v>
      </c>
      <c r="B28" s="108">
        <f t="shared" si="2"/>
        <v>235</v>
      </c>
      <c r="C28" s="109" t="s">
        <v>248</v>
      </c>
      <c r="G28" s="112" t="s">
        <v>259</v>
      </c>
      <c r="H28" s="113">
        <v>150.0</v>
      </c>
    </row>
    <row r="29" ht="14.25" customHeight="1">
      <c r="A29" s="108">
        <v>0.0</v>
      </c>
      <c r="B29" s="108">
        <f t="shared" si="2"/>
        <v>236</v>
      </c>
      <c r="C29" s="109" t="s">
        <v>248</v>
      </c>
      <c r="G29" s="112" t="s">
        <v>264</v>
      </c>
      <c r="H29" s="113">
        <v>45.0</v>
      </c>
    </row>
    <row r="30" ht="14.25" customHeight="1">
      <c r="A30" s="108">
        <v>0.0</v>
      </c>
      <c r="B30" s="108">
        <f t="shared" si="2"/>
        <v>237</v>
      </c>
      <c r="C30" s="109" t="s">
        <v>248</v>
      </c>
      <c r="G30" s="112" t="s">
        <v>260</v>
      </c>
      <c r="H30" s="113">
        <v>830.0</v>
      </c>
    </row>
    <row r="31" ht="14.25" customHeight="1">
      <c r="A31" s="108">
        <v>0.0</v>
      </c>
      <c r="B31" s="108">
        <f t="shared" si="2"/>
        <v>238</v>
      </c>
      <c r="C31" s="109" t="s">
        <v>248</v>
      </c>
      <c r="G31" s="115" t="s">
        <v>265</v>
      </c>
      <c r="H31" s="115"/>
    </row>
    <row r="32" ht="14.25" customHeight="1">
      <c r="A32" s="108">
        <v>0.0</v>
      </c>
      <c r="B32" s="108">
        <f t="shared" si="2"/>
        <v>239</v>
      </c>
      <c r="C32" s="109" t="s">
        <v>248</v>
      </c>
      <c r="G32" s="112" t="s">
        <v>266</v>
      </c>
      <c r="H32" s="113">
        <v>90.0</v>
      </c>
    </row>
    <row r="33" ht="14.25" customHeight="1">
      <c r="A33" s="108">
        <v>0.0</v>
      </c>
      <c r="B33" s="108" t="s">
        <v>267</v>
      </c>
      <c r="C33" s="109" t="s">
        <v>248</v>
      </c>
      <c r="G33" s="112" t="s">
        <v>268</v>
      </c>
      <c r="H33" s="113">
        <v>30.0</v>
      </c>
    </row>
    <row r="34" ht="14.25" customHeight="1">
      <c r="A34" s="108">
        <v>1.0</v>
      </c>
      <c r="B34" s="108">
        <v>907.0</v>
      </c>
      <c r="C34" s="109" t="s">
        <v>250</v>
      </c>
      <c r="G34" s="112" t="s">
        <v>269</v>
      </c>
      <c r="H34" s="113">
        <v>15.0</v>
      </c>
    </row>
    <row r="35" ht="14.25" customHeight="1">
      <c r="A35" s="108">
        <v>1.0</v>
      </c>
      <c r="B35" s="108">
        <f t="shared" ref="B35:B54" si="3">B34+1</f>
        <v>908</v>
      </c>
      <c r="C35" s="109" t="s">
        <v>250</v>
      </c>
      <c r="G35" s="112" t="s">
        <v>270</v>
      </c>
      <c r="H35" s="113">
        <v>15.0</v>
      </c>
    </row>
    <row r="36" ht="14.25" customHeight="1">
      <c r="A36" s="108">
        <v>1.0</v>
      </c>
      <c r="B36" s="108">
        <f t="shared" si="3"/>
        <v>909</v>
      </c>
      <c r="C36" s="109" t="s">
        <v>250</v>
      </c>
      <c r="G36" s="112" t="s">
        <v>271</v>
      </c>
      <c r="H36" s="113">
        <v>60.0</v>
      </c>
    </row>
    <row r="37" ht="14.25" customHeight="1">
      <c r="A37" s="108">
        <v>1.0</v>
      </c>
      <c r="B37" s="108">
        <f t="shared" si="3"/>
        <v>910</v>
      </c>
      <c r="C37" s="109" t="s">
        <v>250</v>
      </c>
      <c r="G37" s="116"/>
      <c r="H37" s="116"/>
    </row>
    <row r="38" ht="14.25" customHeight="1">
      <c r="A38" s="108">
        <v>1.0</v>
      </c>
      <c r="B38" s="108">
        <f t="shared" si="3"/>
        <v>911</v>
      </c>
      <c r="C38" s="109" t="s">
        <v>250</v>
      </c>
      <c r="G38" s="116"/>
      <c r="H38" s="116"/>
    </row>
    <row r="39" ht="14.25" customHeight="1">
      <c r="A39" s="108">
        <v>1.0</v>
      </c>
      <c r="B39" s="108">
        <f t="shared" si="3"/>
        <v>912</v>
      </c>
      <c r="C39" s="109" t="s">
        <v>250</v>
      </c>
      <c r="G39" s="116"/>
      <c r="H39" s="116"/>
    </row>
    <row r="40" ht="14.25" customHeight="1">
      <c r="A40" s="108">
        <v>1.0</v>
      </c>
      <c r="B40" s="108">
        <f t="shared" si="3"/>
        <v>913</v>
      </c>
      <c r="C40" s="109" t="s">
        <v>250</v>
      </c>
      <c r="G40" s="116"/>
      <c r="H40" s="116"/>
    </row>
    <row r="41" ht="14.25" customHeight="1">
      <c r="A41" s="108">
        <v>1.0</v>
      </c>
      <c r="B41" s="108">
        <f t="shared" si="3"/>
        <v>914</v>
      </c>
      <c r="C41" s="109" t="s">
        <v>250</v>
      </c>
      <c r="G41" s="116"/>
      <c r="H41" s="116"/>
    </row>
    <row r="42" ht="14.25" customHeight="1">
      <c r="A42" s="108">
        <v>1.0</v>
      </c>
      <c r="B42" s="108">
        <f t="shared" si="3"/>
        <v>915</v>
      </c>
      <c r="C42" s="109" t="s">
        <v>250</v>
      </c>
      <c r="G42" s="116"/>
      <c r="H42" s="116"/>
    </row>
    <row r="43" ht="14.25" customHeight="1">
      <c r="A43" s="108">
        <v>1.0</v>
      </c>
      <c r="B43" s="108">
        <f t="shared" si="3"/>
        <v>916</v>
      </c>
      <c r="C43" s="109" t="s">
        <v>250</v>
      </c>
      <c r="G43" s="116"/>
      <c r="H43" s="116"/>
    </row>
    <row r="44" ht="14.25" customHeight="1">
      <c r="A44" s="108">
        <v>1.0</v>
      </c>
      <c r="B44" s="108">
        <f t="shared" si="3"/>
        <v>917</v>
      </c>
      <c r="C44" s="109" t="s">
        <v>250</v>
      </c>
      <c r="G44" s="116"/>
      <c r="H44" s="116"/>
    </row>
    <row r="45" ht="14.25" customHeight="1">
      <c r="A45" s="108">
        <v>1.0</v>
      </c>
      <c r="B45" s="108">
        <f t="shared" si="3"/>
        <v>918</v>
      </c>
      <c r="C45" s="109" t="s">
        <v>250</v>
      </c>
      <c r="G45" s="116"/>
      <c r="H45" s="116"/>
    </row>
    <row r="46" ht="14.25" customHeight="1">
      <c r="A46" s="108">
        <v>1.0</v>
      </c>
      <c r="B46" s="108">
        <f t="shared" si="3"/>
        <v>919</v>
      </c>
      <c r="C46" s="109" t="s">
        <v>250</v>
      </c>
      <c r="G46" s="116"/>
      <c r="H46" s="116"/>
    </row>
    <row r="47" ht="14.25" customHeight="1">
      <c r="A47" s="108">
        <v>1.0</v>
      </c>
      <c r="B47" s="108">
        <f t="shared" si="3"/>
        <v>920</v>
      </c>
      <c r="C47" s="109" t="s">
        <v>250</v>
      </c>
      <c r="G47" s="116"/>
      <c r="H47" s="116"/>
    </row>
    <row r="48" ht="14.25" customHeight="1">
      <c r="A48" s="108">
        <v>1.0</v>
      </c>
      <c r="B48" s="108">
        <f t="shared" si="3"/>
        <v>921</v>
      </c>
      <c r="C48" s="109" t="s">
        <v>250</v>
      </c>
      <c r="G48" s="116"/>
      <c r="H48" s="116"/>
    </row>
    <row r="49" ht="14.25" customHeight="1">
      <c r="A49" s="108">
        <v>1.0</v>
      </c>
      <c r="B49" s="108">
        <f t="shared" si="3"/>
        <v>922</v>
      </c>
      <c r="C49" s="109" t="s">
        <v>250</v>
      </c>
      <c r="G49" s="116"/>
      <c r="H49" s="116"/>
    </row>
    <row r="50" ht="14.25" customHeight="1">
      <c r="A50" s="108">
        <v>1.0</v>
      </c>
      <c r="B50" s="108">
        <f t="shared" si="3"/>
        <v>923</v>
      </c>
      <c r="C50" s="109" t="s">
        <v>250</v>
      </c>
      <c r="G50" s="116"/>
      <c r="H50" s="116"/>
    </row>
    <row r="51" ht="14.25" customHeight="1">
      <c r="A51" s="108">
        <v>1.0</v>
      </c>
      <c r="B51" s="108">
        <f t="shared" si="3"/>
        <v>924</v>
      </c>
      <c r="C51" s="109" t="s">
        <v>250</v>
      </c>
      <c r="G51" s="116"/>
      <c r="H51" s="116"/>
    </row>
    <row r="52" ht="14.25" customHeight="1">
      <c r="A52" s="108">
        <v>1.0</v>
      </c>
      <c r="B52" s="108">
        <f t="shared" si="3"/>
        <v>925</v>
      </c>
      <c r="C52" s="109" t="s">
        <v>250</v>
      </c>
      <c r="G52" s="116"/>
      <c r="H52" s="116"/>
    </row>
    <row r="53" ht="14.25" customHeight="1">
      <c r="A53" s="108">
        <v>1.0</v>
      </c>
      <c r="B53" s="108">
        <f t="shared" si="3"/>
        <v>926</v>
      </c>
      <c r="C53" s="109" t="s">
        <v>250</v>
      </c>
      <c r="G53" s="116"/>
      <c r="H53" s="116"/>
    </row>
    <row r="54" ht="14.25" customHeight="1">
      <c r="A54" s="108">
        <v>1.0</v>
      </c>
      <c r="B54" s="108">
        <f t="shared" si="3"/>
        <v>927</v>
      </c>
      <c r="C54" s="109" t="s">
        <v>251</v>
      </c>
      <c r="G54" s="116"/>
      <c r="H54" s="116"/>
    </row>
    <row r="55" ht="14.25" customHeight="1">
      <c r="A55" s="108">
        <v>1.0</v>
      </c>
      <c r="B55" s="108">
        <v>928.0</v>
      </c>
      <c r="C55" s="109" t="s">
        <v>251</v>
      </c>
      <c r="G55" s="116"/>
      <c r="H55" s="116"/>
    </row>
    <row r="56" ht="14.25" customHeight="1">
      <c r="A56" s="108">
        <v>1.0</v>
      </c>
      <c r="B56" s="108">
        <v>929.0</v>
      </c>
      <c r="C56" s="109" t="s">
        <v>251</v>
      </c>
      <c r="G56" s="116"/>
      <c r="H56" s="116"/>
    </row>
    <row r="57" ht="14.25" customHeight="1">
      <c r="A57" s="108">
        <v>1.0</v>
      </c>
      <c r="B57" s="108">
        <f t="shared" ref="B57:B66" si="4">B56+1</f>
        <v>930</v>
      </c>
      <c r="C57" s="109" t="s">
        <v>251</v>
      </c>
      <c r="G57" s="116"/>
      <c r="H57" s="116"/>
    </row>
    <row r="58" ht="14.25" customHeight="1">
      <c r="A58" s="108">
        <v>1.0</v>
      </c>
      <c r="B58" s="108">
        <f t="shared" si="4"/>
        <v>931</v>
      </c>
      <c r="C58" s="109" t="s">
        <v>251</v>
      </c>
      <c r="G58" s="116"/>
      <c r="H58" s="116"/>
    </row>
    <row r="59" ht="14.25" customHeight="1">
      <c r="A59" s="108">
        <v>1.0</v>
      </c>
      <c r="B59" s="108">
        <f t="shared" si="4"/>
        <v>932</v>
      </c>
      <c r="C59" s="109" t="s">
        <v>251</v>
      </c>
      <c r="G59" s="116"/>
      <c r="H59" s="116"/>
    </row>
    <row r="60" ht="14.25" customHeight="1">
      <c r="A60" s="108">
        <v>1.0</v>
      </c>
      <c r="B60" s="108">
        <f t="shared" si="4"/>
        <v>933</v>
      </c>
      <c r="C60" s="109" t="s">
        <v>251</v>
      </c>
      <c r="G60" s="116"/>
      <c r="H60" s="116"/>
    </row>
    <row r="61" ht="14.25" customHeight="1">
      <c r="A61" s="108">
        <v>1.0</v>
      </c>
      <c r="B61" s="108">
        <f t="shared" si="4"/>
        <v>934</v>
      </c>
      <c r="C61" s="109" t="s">
        <v>251</v>
      </c>
      <c r="G61" s="116"/>
      <c r="H61" s="116"/>
    </row>
    <row r="62" ht="14.25" customHeight="1">
      <c r="A62" s="108">
        <v>1.0</v>
      </c>
      <c r="B62" s="108">
        <f t="shared" si="4"/>
        <v>935</v>
      </c>
      <c r="C62" s="109" t="s">
        <v>251</v>
      </c>
      <c r="G62" s="116"/>
      <c r="H62" s="116"/>
    </row>
    <row r="63" ht="14.25" customHeight="1">
      <c r="A63" s="108">
        <v>1.0</v>
      </c>
      <c r="B63" s="108">
        <f t="shared" si="4"/>
        <v>936</v>
      </c>
      <c r="C63" s="109" t="s">
        <v>251</v>
      </c>
      <c r="G63" s="116"/>
      <c r="H63" s="116"/>
    </row>
    <row r="64" ht="14.25" customHeight="1">
      <c r="A64" s="108">
        <v>1.0</v>
      </c>
      <c r="B64" s="108">
        <f t="shared" si="4"/>
        <v>937</v>
      </c>
      <c r="C64" s="109" t="s">
        <v>251</v>
      </c>
      <c r="G64" s="116"/>
      <c r="H64" s="116"/>
    </row>
    <row r="65" ht="14.25" customHeight="1">
      <c r="A65" s="108">
        <v>1.0</v>
      </c>
      <c r="B65" s="108">
        <f t="shared" si="4"/>
        <v>938</v>
      </c>
      <c r="C65" s="109" t="s">
        <v>251</v>
      </c>
      <c r="G65" s="116"/>
      <c r="H65" s="116"/>
    </row>
    <row r="66" ht="14.25" customHeight="1">
      <c r="A66" s="108">
        <v>1.0</v>
      </c>
      <c r="B66" s="108">
        <f t="shared" si="4"/>
        <v>939</v>
      </c>
      <c r="C66" s="109" t="s">
        <v>251</v>
      </c>
      <c r="G66" s="116"/>
      <c r="H66" s="116"/>
    </row>
    <row r="67" ht="14.25" customHeight="1">
      <c r="A67" s="108">
        <v>1.0</v>
      </c>
      <c r="B67" s="108" t="s">
        <v>272</v>
      </c>
      <c r="C67" s="109" t="s">
        <v>251</v>
      </c>
      <c r="G67" s="116"/>
      <c r="H67" s="116"/>
    </row>
    <row r="68" ht="14.25" customHeight="1">
      <c r="A68" s="108">
        <v>1.0</v>
      </c>
      <c r="B68" s="108">
        <v>967.0</v>
      </c>
      <c r="C68" s="117" t="s">
        <v>252</v>
      </c>
      <c r="G68" s="116"/>
      <c r="H68" s="116"/>
    </row>
    <row r="69" ht="14.25" customHeight="1">
      <c r="A69" s="108">
        <v>1.0</v>
      </c>
      <c r="B69" s="108">
        <f t="shared" ref="B69:B78" si="5">B68+1</f>
        <v>968</v>
      </c>
      <c r="C69" s="117" t="s">
        <v>252</v>
      </c>
      <c r="G69" s="116"/>
      <c r="H69" s="116"/>
    </row>
    <row r="70" ht="14.25" customHeight="1">
      <c r="A70" s="108">
        <v>1.0</v>
      </c>
      <c r="B70" s="108">
        <f t="shared" si="5"/>
        <v>969</v>
      </c>
      <c r="C70" s="117" t="s">
        <v>252</v>
      </c>
      <c r="G70" s="116"/>
      <c r="H70" s="116"/>
    </row>
    <row r="71" ht="14.25" customHeight="1">
      <c r="A71" s="108">
        <v>1.0</v>
      </c>
      <c r="B71" s="108">
        <f t="shared" si="5"/>
        <v>970</v>
      </c>
      <c r="C71" s="117" t="s">
        <v>252</v>
      </c>
      <c r="G71" s="116"/>
      <c r="H71" s="116"/>
    </row>
    <row r="72" ht="14.25" customHeight="1">
      <c r="A72" s="108">
        <v>1.0</v>
      </c>
      <c r="B72" s="108">
        <f t="shared" si="5"/>
        <v>971</v>
      </c>
      <c r="C72" s="117" t="s">
        <v>252</v>
      </c>
      <c r="G72" s="116"/>
      <c r="H72" s="116"/>
    </row>
    <row r="73" ht="14.25" customHeight="1">
      <c r="A73" s="108">
        <v>1.0</v>
      </c>
      <c r="B73" s="108">
        <f t="shared" si="5"/>
        <v>972</v>
      </c>
      <c r="C73" s="117" t="s">
        <v>252</v>
      </c>
      <c r="G73" s="116"/>
      <c r="H73" s="116"/>
    </row>
    <row r="74" ht="14.25" customHeight="1">
      <c r="A74" s="108">
        <v>1.0</v>
      </c>
      <c r="B74" s="108">
        <f t="shared" si="5"/>
        <v>973</v>
      </c>
      <c r="C74" s="117" t="s">
        <v>252</v>
      </c>
      <c r="G74" s="116"/>
      <c r="H74" s="116"/>
    </row>
    <row r="75" ht="14.25" customHeight="1">
      <c r="A75" s="108">
        <v>1.0</v>
      </c>
      <c r="B75" s="108">
        <f t="shared" si="5"/>
        <v>974</v>
      </c>
      <c r="C75" s="117" t="s">
        <v>252</v>
      </c>
      <c r="G75" s="116"/>
      <c r="H75" s="116"/>
    </row>
    <row r="76" ht="14.25" customHeight="1">
      <c r="A76" s="108">
        <v>1.0</v>
      </c>
      <c r="B76" s="108">
        <f t="shared" si="5"/>
        <v>975</v>
      </c>
      <c r="C76" s="117" t="s">
        <v>252</v>
      </c>
      <c r="G76" s="116"/>
      <c r="H76" s="116"/>
    </row>
    <row r="77" ht="14.25" customHeight="1">
      <c r="A77" s="108">
        <v>1.0</v>
      </c>
      <c r="B77" s="108">
        <f t="shared" si="5"/>
        <v>976</v>
      </c>
      <c r="C77" s="117" t="s">
        <v>252</v>
      </c>
      <c r="G77" s="116"/>
      <c r="H77" s="116"/>
    </row>
    <row r="78" ht="14.25" customHeight="1">
      <c r="A78" s="108">
        <v>1.0</v>
      </c>
      <c r="B78" s="108">
        <f t="shared" si="5"/>
        <v>977</v>
      </c>
      <c r="C78" s="117" t="s">
        <v>252</v>
      </c>
      <c r="G78" s="116"/>
      <c r="H78" s="116"/>
    </row>
    <row r="79" ht="14.25" customHeight="1">
      <c r="A79" s="108">
        <v>1.0</v>
      </c>
      <c r="B79" s="108">
        <v>978.0</v>
      </c>
      <c r="C79" s="117" t="s">
        <v>252</v>
      </c>
      <c r="G79" s="116"/>
      <c r="H79" s="116"/>
    </row>
    <row r="80" ht="14.25" customHeight="1">
      <c r="A80" s="108">
        <v>1.0</v>
      </c>
      <c r="B80" s="108">
        <v>979.0</v>
      </c>
      <c r="C80" s="117" t="s">
        <v>252</v>
      </c>
      <c r="G80" s="116"/>
      <c r="H80" s="116"/>
    </row>
    <row r="81" ht="14.25" customHeight="1">
      <c r="A81" s="108">
        <v>1.0</v>
      </c>
      <c r="B81" s="108" t="s">
        <v>273</v>
      </c>
      <c r="C81" s="117" t="s">
        <v>252</v>
      </c>
      <c r="G81" s="116"/>
      <c r="H81" s="116"/>
    </row>
    <row r="82" ht="14.25" customHeight="1">
      <c r="A82" s="108">
        <v>1.0</v>
      </c>
      <c r="B82" s="108">
        <v>1067.0</v>
      </c>
      <c r="C82" s="109" t="s">
        <v>253</v>
      </c>
      <c r="G82" s="116"/>
      <c r="H82" s="116"/>
    </row>
    <row r="83" ht="14.25" customHeight="1">
      <c r="A83" s="108">
        <v>1.0</v>
      </c>
      <c r="B83" s="108">
        <f t="shared" ref="B83:B90" si="6">B82+1</f>
        <v>1068</v>
      </c>
      <c r="C83" s="109" t="s">
        <v>253</v>
      </c>
      <c r="G83" s="116"/>
      <c r="H83" s="116"/>
    </row>
    <row r="84" ht="14.25" customHeight="1">
      <c r="A84" s="108">
        <v>1.0</v>
      </c>
      <c r="B84" s="108">
        <f t="shared" si="6"/>
        <v>1069</v>
      </c>
      <c r="C84" s="109" t="s">
        <v>253</v>
      </c>
      <c r="G84" s="116"/>
      <c r="H84" s="116"/>
    </row>
    <row r="85" ht="14.25" customHeight="1">
      <c r="A85" s="108">
        <v>1.0</v>
      </c>
      <c r="B85" s="108">
        <f t="shared" si="6"/>
        <v>1070</v>
      </c>
      <c r="C85" s="109" t="s">
        <v>253</v>
      </c>
      <c r="G85" s="116"/>
      <c r="H85" s="116"/>
    </row>
    <row r="86" ht="14.25" customHeight="1">
      <c r="A86" s="108">
        <v>1.0</v>
      </c>
      <c r="B86" s="108">
        <f t="shared" si="6"/>
        <v>1071</v>
      </c>
      <c r="C86" s="109" t="s">
        <v>253</v>
      </c>
      <c r="G86" s="116"/>
      <c r="H86" s="116"/>
    </row>
    <row r="87" ht="14.25" customHeight="1">
      <c r="A87" s="108">
        <v>1.0</v>
      </c>
      <c r="B87" s="108">
        <f t="shared" si="6"/>
        <v>1072</v>
      </c>
      <c r="C87" s="109" t="s">
        <v>253</v>
      </c>
      <c r="G87" s="116"/>
      <c r="H87" s="116"/>
    </row>
    <row r="88" ht="14.25" customHeight="1">
      <c r="A88" s="108">
        <v>1.0</v>
      </c>
      <c r="B88" s="108">
        <f t="shared" si="6"/>
        <v>1073</v>
      </c>
      <c r="C88" s="109" t="s">
        <v>253</v>
      </c>
      <c r="G88" s="116"/>
      <c r="H88" s="116"/>
    </row>
    <row r="89" ht="14.25" customHeight="1">
      <c r="A89" s="108">
        <v>1.0</v>
      </c>
      <c r="B89" s="108">
        <f t="shared" si="6"/>
        <v>1074</v>
      </c>
      <c r="C89" s="109" t="s">
        <v>253</v>
      </c>
      <c r="G89" s="116"/>
      <c r="H89" s="116"/>
    </row>
    <row r="90" ht="14.25" customHeight="1">
      <c r="A90" s="108">
        <v>1.0</v>
      </c>
      <c r="B90" s="108">
        <f t="shared" si="6"/>
        <v>1075</v>
      </c>
      <c r="C90" s="109" t="s">
        <v>253</v>
      </c>
      <c r="G90" s="116"/>
      <c r="H90" s="116"/>
    </row>
    <row r="91" ht="14.25" customHeight="1">
      <c r="A91" s="108">
        <v>1.0</v>
      </c>
      <c r="B91" s="108">
        <v>1076.0</v>
      </c>
      <c r="C91" s="109" t="s">
        <v>253</v>
      </c>
      <c r="G91" s="116"/>
      <c r="H91" s="116"/>
    </row>
    <row r="92" ht="14.25" customHeight="1">
      <c r="A92" s="108">
        <v>1.0</v>
      </c>
      <c r="B92" s="108">
        <v>1077.0</v>
      </c>
      <c r="C92" s="109" t="s">
        <v>253</v>
      </c>
      <c r="G92" s="116"/>
      <c r="H92" s="116"/>
    </row>
    <row r="93" ht="14.25" customHeight="1">
      <c r="A93" s="108">
        <v>1.0</v>
      </c>
      <c r="B93" s="108">
        <f t="shared" ref="B93:B114" si="7">B92+1</f>
        <v>1078</v>
      </c>
      <c r="C93" s="109" t="s">
        <v>253</v>
      </c>
      <c r="G93" s="116"/>
      <c r="H93" s="116"/>
    </row>
    <row r="94" ht="14.25" customHeight="1">
      <c r="A94" s="108">
        <v>1.0</v>
      </c>
      <c r="B94" s="108">
        <f t="shared" si="7"/>
        <v>1079</v>
      </c>
      <c r="C94" s="109" t="s">
        <v>253</v>
      </c>
      <c r="G94" s="116"/>
      <c r="H94" s="116"/>
    </row>
    <row r="95" ht="14.25" customHeight="1">
      <c r="A95" s="108">
        <v>1.0</v>
      </c>
      <c r="B95" s="108">
        <f t="shared" si="7"/>
        <v>1080</v>
      </c>
      <c r="C95" s="109" t="s">
        <v>253</v>
      </c>
      <c r="G95" s="116"/>
      <c r="H95" s="116"/>
    </row>
    <row r="96" ht="14.25" customHeight="1">
      <c r="A96" s="108">
        <v>1.0</v>
      </c>
      <c r="B96" s="108">
        <f t="shared" si="7"/>
        <v>1081</v>
      </c>
      <c r="C96" s="109" t="s">
        <v>253</v>
      </c>
      <c r="G96" s="116"/>
      <c r="H96" s="116"/>
    </row>
    <row r="97" ht="14.25" customHeight="1">
      <c r="A97" s="108">
        <v>1.0</v>
      </c>
      <c r="B97" s="108">
        <f t="shared" si="7"/>
        <v>1082</v>
      </c>
      <c r="C97" s="109" t="s">
        <v>253</v>
      </c>
      <c r="G97" s="116"/>
      <c r="H97" s="116"/>
    </row>
    <row r="98" ht="14.25" customHeight="1">
      <c r="A98" s="108">
        <v>1.0</v>
      </c>
      <c r="B98" s="108">
        <f t="shared" si="7"/>
        <v>1083</v>
      </c>
      <c r="C98" s="109" t="s">
        <v>253</v>
      </c>
      <c r="G98" s="116"/>
      <c r="H98" s="116"/>
    </row>
    <row r="99" ht="14.25" customHeight="1">
      <c r="A99" s="108">
        <v>1.0</v>
      </c>
      <c r="B99" s="108">
        <f t="shared" si="7"/>
        <v>1084</v>
      </c>
      <c r="C99" s="109" t="s">
        <v>253</v>
      </c>
      <c r="G99" s="116"/>
      <c r="H99" s="116"/>
    </row>
    <row r="100" ht="14.25" customHeight="1">
      <c r="A100" s="108">
        <v>1.0</v>
      </c>
      <c r="B100" s="108">
        <f t="shared" si="7"/>
        <v>1085</v>
      </c>
      <c r="C100" s="109" t="s">
        <v>253</v>
      </c>
      <c r="G100" s="116"/>
      <c r="H100" s="116"/>
    </row>
    <row r="101" ht="14.25" customHeight="1">
      <c r="A101" s="108">
        <v>1.0</v>
      </c>
      <c r="B101" s="108">
        <f t="shared" si="7"/>
        <v>1086</v>
      </c>
      <c r="C101" s="109" t="s">
        <v>253</v>
      </c>
      <c r="G101" s="116"/>
      <c r="H101" s="116"/>
    </row>
    <row r="102" ht="14.25" customHeight="1">
      <c r="A102" s="108">
        <v>1.0</v>
      </c>
      <c r="B102" s="108">
        <f t="shared" si="7"/>
        <v>1087</v>
      </c>
      <c r="C102" s="109" t="s">
        <v>254</v>
      </c>
      <c r="G102" s="116"/>
      <c r="H102" s="116"/>
    </row>
    <row r="103" ht="14.25" customHeight="1">
      <c r="A103" s="108">
        <v>1.0</v>
      </c>
      <c r="B103" s="108">
        <f t="shared" si="7"/>
        <v>1088</v>
      </c>
      <c r="C103" s="109" t="s">
        <v>254</v>
      </c>
      <c r="G103" s="116"/>
      <c r="H103" s="116"/>
    </row>
    <row r="104" ht="14.25" customHeight="1">
      <c r="A104" s="108">
        <v>1.0</v>
      </c>
      <c r="B104" s="108">
        <f t="shared" si="7"/>
        <v>1089</v>
      </c>
      <c r="C104" s="109" t="s">
        <v>254</v>
      </c>
      <c r="G104" s="116"/>
      <c r="H104" s="116"/>
    </row>
    <row r="105" ht="14.25" customHeight="1">
      <c r="A105" s="108">
        <v>1.0</v>
      </c>
      <c r="B105" s="108">
        <f t="shared" si="7"/>
        <v>1090</v>
      </c>
      <c r="C105" s="109" t="s">
        <v>254</v>
      </c>
      <c r="G105" s="116"/>
      <c r="H105" s="116"/>
    </row>
    <row r="106" ht="14.25" customHeight="1">
      <c r="A106" s="108">
        <v>1.0</v>
      </c>
      <c r="B106" s="108">
        <f t="shared" si="7"/>
        <v>1091</v>
      </c>
      <c r="C106" s="109" t="s">
        <v>254</v>
      </c>
      <c r="G106" s="116"/>
      <c r="H106" s="116"/>
    </row>
    <row r="107" ht="14.25" customHeight="1">
      <c r="A107" s="108">
        <v>1.0</v>
      </c>
      <c r="B107" s="108">
        <f t="shared" si="7"/>
        <v>1092</v>
      </c>
      <c r="C107" s="109" t="s">
        <v>254</v>
      </c>
      <c r="G107" s="116"/>
      <c r="H107" s="116"/>
    </row>
    <row r="108" ht="14.25" customHeight="1">
      <c r="A108" s="108">
        <v>1.0</v>
      </c>
      <c r="B108" s="108">
        <f t="shared" si="7"/>
        <v>1093</v>
      </c>
      <c r="C108" s="109" t="s">
        <v>254</v>
      </c>
      <c r="G108" s="116"/>
      <c r="H108" s="116"/>
    </row>
    <row r="109" ht="14.25" customHeight="1">
      <c r="A109" s="108">
        <v>1.0</v>
      </c>
      <c r="B109" s="108">
        <f t="shared" si="7"/>
        <v>1094</v>
      </c>
      <c r="C109" s="109" t="s">
        <v>254</v>
      </c>
      <c r="G109" s="116"/>
      <c r="H109" s="116"/>
    </row>
    <row r="110" ht="14.25" customHeight="1">
      <c r="A110" s="108">
        <v>1.0</v>
      </c>
      <c r="B110" s="108">
        <f t="shared" si="7"/>
        <v>1095</v>
      </c>
      <c r="C110" s="109" t="s">
        <v>254</v>
      </c>
      <c r="G110" s="116"/>
      <c r="H110" s="116"/>
    </row>
    <row r="111" ht="14.25" customHeight="1">
      <c r="A111" s="108">
        <v>1.0</v>
      </c>
      <c r="B111" s="108">
        <f t="shared" si="7"/>
        <v>1096</v>
      </c>
      <c r="C111" s="109" t="s">
        <v>254</v>
      </c>
      <c r="G111" s="116"/>
      <c r="H111" s="116"/>
    </row>
    <row r="112" ht="14.25" customHeight="1">
      <c r="A112" s="108">
        <v>1.0</v>
      </c>
      <c r="B112" s="108">
        <f t="shared" si="7"/>
        <v>1097</v>
      </c>
      <c r="C112" s="109" t="s">
        <v>254</v>
      </c>
      <c r="G112" s="116"/>
      <c r="H112" s="116"/>
    </row>
    <row r="113" ht="14.25" customHeight="1">
      <c r="A113" s="108">
        <v>1.0</v>
      </c>
      <c r="B113" s="108">
        <f t="shared" si="7"/>
        <v>1098</v>
      </c>
      <c r="C113" s="109" t="s">
        <v>254</v>
      </c>
      <c r="G113" s="116"/>
      <c r="H113" s="116"/>
    </row>
    <row r="114" ht="14.25" customHeight="1">
      <c r="A114" s="108">
        <v>1.0</v>
      </c>
      <c r="B114" s="108">
        <f t="shared" si="7"/>
        <v>1099</v>
      </c>
      <c r="C114" s="109" t="s">
        <v>254</v>
      </c>
      <c r="G114" s="116"/>
      <c r="H114" s="116"/>
    </row>
    <row r="115" ht="14.25" customHeight="1">
      <c r="A115" s="108">
        <v>1.0</v>
      </c>
      <c r="B115" s="108" t="s">
        <v>274</v>
      </c>
      <c r="C115" s="109" t="s">
        <v>254</v>
      </c>
      <c r="G115" s="116"/>
      <c r="H115" s="116"/>
    </row>
    <row r="116" ht="14.25" customHeight="1">
      <c r="A116" s="108">
        <v>1.0</v>
      </c>
      <c r="B116" s="108">
        <v>1237.0</v>
      </c>
      <c r="C116" s="109" t="s">
        <v>255</v>
      </c>
      <c r="G116" s="116"/>
      <c r="H116" s="116"/>
    </row>
    <row r="117" ht="14.25" customHeight="1">
      <c r="A117" s="108">
        <v>1.0</v>
      </c>
      <c r="B117" s="108">
        <f t="shared" ref="B117:B122" si="8">B116+1</f>
        <v>1238</v>
      </c>
      <c r="C117" s="109" t="s">
        <v>255</v>
      </c>
      <c r="G117" s="116"/>
      <c r="H117" s="116"/>
    </row>
    <row r="118" ht="14.25" customHeight="1">
      <c r="A118" s="108">
        <v>1.0</v>
      </c>
      <c r="B118" s="108">
        <f t="shared" si="8"/>
        <v>1239</v>
      </c>
      <c r="C118" s="109" t="s">
        <v>255</v>
      </c>
      <c r="G118" s="116"/>
      <c r="H118" s="116"/>
    </row>
    <row r="119" ht="14.25" customHeight="1">
      <c r="A119" s="108">
        <v>1.0</v>
      </c>
      <c r="B119" s="108">
        <f t="shared" si="8"/>
        <v>1240</v>
      </c>
      <c r="C119" s="109" t="s">
        <v>255</v>
      </c>
      <c r="G119" s="116"/>
      <c r="H119" s="116"/>
    </row>
    <row r="120" ht="14.25" customHeight="1">
      <c r="A120" s="108">
        <v>1.0</v>
      </c>
      <c r="B120" s="108">
        <f t="shared" si="8"/>
        <v>1241</v>
      </c>
      <c r="C120" s="109" t="s">
        <v>255</v>
      </c>
      <c r="G120" s="116"/>
      <c r="H120" s="116"/>
    </row>
    <row r="121" ht="14.25" customHeight="1">
      <c r="A121" s="108">
        <v>1.0</v>
      </c>
      <c r="B121" s="108">
        <f t="shared" si="8"/>
        <v>1242</v>
      </c>
      <c r="C121" s="109" t="s">
        <v>255</v>
      </c>
      <c r="G121" s="116"/>
      <c r="H121" s="116"/>
    </row>
    <row r="122" ht="14.25" customHeight="1">
      <c r="A122" s="108">
        <v>1.0</v>
      </c>
      <c r="B122" s="108">
        <f t="shared" si="8"/>
        <v>1243</v>
      </c>
      <c r="C122" s="109" t="s">
        <v>255</v>
      </c>
      <c r="G122" s="116"/>
      <c r="H122" s="116"/>
    </row>
    <row r="123" ht="14.25" customHeight="1">
      <c r="A123" s="108">
        <v>1.0</v>
      </c>
      <c r="B123" s="108">
        <v>1244.0</v>
      </c>
      <c r="C123" s="109" t="s">
        <v>255</v>
      </c>
      <c r="G123" s="116"/>
      <c r="H123" s="116"/>
    </row>
    <row r="124" ht="14.25" customHeight="1">
      <c r="A124" s="108">
        <v>1.0</v>
      </c>
      <c r="B124" s="108">
        <v>1245.0</v>
      </c>
      <c r="C124" s="109" t="s">
        <v>255</v>
      </c>
      <c r="G124" s="116"/>
      <c r="H124" s="116"/>
    </row>
    <row r="125" ht="14.25" customHeight="1">
      <c r="A125" s="108">
        <v>1.0</v>
      </c>
      <c r="B125" s="108">
        <f t="shared" ref="B125:B138" si="9">B124+1</f>
        <v>1246</v>
      </c>
      <c r="C125" s="109" t="s">
        <v>255</v>
      </c>
      <c r="G125" s="116"/>
      <c r="H125" s="116"/>
    </row>
    <row r="126" ht="14.25" customHeight="1">
      <c r="A126" s="108">
        <v>1.0</v>
      </c>
      <c r="B126" s="108">
        <f t="shared" si="9"/>
        <v>1247</v>
      </c>
      <c r="C126" s="109" t="s">
        <v>255</v>
      </c>
      <c r="G126" s="116"/>
      <c r="H126" s="116"/>
    </row>
    <row r="127" ht="14.25" customHeight="1">
      <c r="A127" s="108">
        <v>1.0</v>
      </c>
      <c r="B127" s="108">
        <f t="shared" si="9"/>
        <v>1248</v>
      </c>
      <c r="C127" s="109" t="s">
        <v>255</v>
      </c>
      <c r="G127" s="116"/>
      <c r="H127" s="116"/>
    </row>
    <row r="128" ht="14.25" customHeight="1">
      <c r="A128" s="108">
        <v>1.0</v>
      </c>
      <c r="B128" s="108">
        <f t="shared" si="9"/>
        <v>1249</v>
      </c>
      <c r="C128" s="109" t="s">
        <v>255</v>
      </c>
      <c r="G128" s="116"/>
      <c r="H128" s="116"/>
    </row>
    <row r="129" ht="14.25" customHeight="1">
      <c r="A129" s="108">
        <v>1.0</v>
      </c>
      <c r="B129" s="108">
        <f t="shared" si="9"/>
        <v>1250</v>
      </c>
      <c r="C129" s="109" t="s">
        <v>255</v>
      </c>
      <c r="G129" s="116"/>
      <c r="H129" s="116"/>
    </row>
    <row r="130" ht="14.25" customHeight="1">
      <c r="A130" s="108">
        <v>1.0</v>
      </c>
      <c r="B130" s="108">
        <f t="shared" si="9"/>
        <v>1251</v>
      </c>
      <c r="C130" s="109" t="s">
        <v>255</v>
      </c>
      <c r="G130" s="116"/>
      <c r="H130" s="116"/>
    </row>
    <row r="131" ht="14.25" customHeight="1">
      <c r="A131" s="108">
        <v>1.0</v>
      </c>
      <c r="B131" s="108">
        <f t="shared" si="9"/>
        <v>1252</v>
      </c>
      <c r="C131" s="109" t="s">
        <v>257</v>
      </c>
      <c r="G131" s="116"/>
      <c r="H131" s="116"/>
    </row>
    <row r="132" ht="14.25" customHeight="1">
      <c r="A132" s="108">
        <v>1.0</v>
      </c>
      <c r="B132" s="108">
        <f t="shared" si="9"/>
        <v>1253</v>
      </c>
      <c r="C132" s="109" t="s">
        <v>257</v>
      </c>
      <c r="G132" s="116"/>
      <c r="H132" s="116"/>
    </row>
    <row r="133" ht="14.25" customHeight="1">
      <c r="A133" s="108">
        <v>1.0</v>
      </c>
      <c r="B133" s="108">
        <f t="shared" si="9"/>
        <v>1254</v>
      </c>
      <c r="C133" s="109" t="s">
        <v>257</v>
      </c>
      <c r="G133" s="116"/>
      <c r="H133" s="116"/>
    </row>
    <row r="134" ht="14.25" customHeight="1">
      <c r="A134" s="108">
        <v>1.0</v>
      </c>
      <c r="B134" s="108">
        <f t="shared" si="9"/>
        <v>1255</v>
      </c>
      <c r="C134" s="109" t="s">
        <v>257</v>
      </c>
      <c r="G134" s="116"/>
      <c r="H134" s="116"/>
    </row>
    <row r="135" ht="14.25" customHeight="1">
      <c r="A135" s="108">
        <v>1.0</v>
      </c>
      <c r="B135" s="108">
        <f t="shared" si="9"/>
        <v>1256</v>
      </c>
      <c r="C135" s="109" t="s">
        <v>257</v>
      </c>
      <c r="G135" s="116"/>
      <c r="H135" s="116"/>
    </row>
    <row r="136" ht="14.25" customHeight="1">
      <c r="A136" s="108">
        <v>1.0</v>
      </c>
      <c r="B136" s="108">
        <f t="shared" si="9"/>
        <v>1257</v>
      </c>
      <c r="C136" s="109" t="s">
        <v>257</v>
      </c>
      <c r="G136" s="116"/>
      <c r="H136" s="116"/>
    </row>
    <row r="137" ht="14.25" customHeight="1">
      <c r="A137" s="108">
        <v>1.0</v>
      </c>
      <c r="B137" s="108">
        <f t="shared" si="9"/>
        <v>1258</v>
      </c>
      <c r="C137" s="109" t="s">
        <v>257</v>
      </c>
      <c r="G137" s="116"/>
      <c r="H137" s="116"/>
    </row>
    <row r="138" ht="14.25" customHeight="1">
      <c r="A138" s="108">
        <v>1.0</v>
      </c>
      <c r="B138" s="108">
        <f t="shared" si="9"/>
        <v>1259</v>
      </c>
      <c r="C138" s="109" t="s">
        <v>257</v>
      </c>
      <c r="G138" s="116"/>
      <c r="H138" s="116"/>
    </row>
    <row r="139" ht="14.25" customHeight="1">
      <c r="A139" s="108">
        <v>1.0</v>
      </c>
      <c r="B139" s="108" t="s">
        <v>275</v>
      </c>
      <c r="C139" s="109" t="s">
        <v>257</v>
      </c>
      <c r="G139" s="116"/>
      <c r="H139" s="116"/>
    </row>
    <row r="140" ht="14.25" customHeight="1">
      <c r="A140" s="108">
        <v>1.0</v>
      </c>
      <c r="B140" s="108">
        <v>1402.0</v>
      </c>
      <c r="C140" s="109" t="s">
        <v>258</v>
      </c>
      <c r="G140" s="116"/>
      <c r="H140" s="116"/>
    </row>
    <row r="141" ht="14.25" customHeight="1">
      <c r="A141" s="108">
        <v>1.0</v>
      </c>
      <c r="B141" s="108">
        <f t="shared" ref="B141:B147" si="10">B140+1</f>
        <v>1403</v>
      </c>
      <c r="C141" s="109" t="s">
        <v>258</v>
      </c>
      <c r="G141" s="116"/>
      <c r="H141" s="116"/>
    </row>
    <row r="142" ht="14.25" customHeight="1">
      <c r="A142" s="108">
        <v>1.0</v>
      </c>
      <c r="B142" s="108">
        <f t="shared" si="10"/>
        <v>1404</v>
      </c>
      <c r="C142" s="109" t="s">
        <v>258</v>
      </c>
      <c r="G142" s="116"/>
      <c r="H142" s="116"/>
    </row>
    <row r="143" ht="14.25" customHeight="1">
      <c r="A143" s="108">
        <v>1.0</v>
      </c>
      <c r="B143" s="108">
        <f t="shared" si="10"/>
        <v>1405</v>
      </c>
      <c r="C143" s="109" t="s">
        <v>258</v>
      </c>
      <c r="G143" s="116"/>
      <c r="H143" s="116"/>
    </row>
    <row r="144" ht="14.25" customHeight="1">
      <c r="A144" s="108">
        <v>1.0</v>
      </c>
      <c r="B144" s="108">
        <f t="shared" si="10"/>
        <v>1406</v>
      </c>
      <c r="C144" s="109" t="s">
        <v>258</v>
      </c>
      <c r="G144" s="116"/>
      <c r="H144" s="116"/>
    </row>
    <row r="145" ht="14.25" customHeight="1">
      <c r="A145" s="108">
        <v>1.0</v>
      </c>
      <c r="B145" s="108">
        <f t="shared" si="10"/>
        <v>1407</v>
      </c>
      <c r="C145" s="109" t="s">
        <v>258</v>
      </c>
      <c r="G145" s="116"/>
      <c r="H145" s="116"/>
    </row>
    <row r="146" ht="14.25" customHeight="1">
      <c r="A146" s="108">
        <v>1.0</v>
      </c>
      <c r="B146" s="108">
        <f t="shared" si="10"/>
        <v>1408</v>
      </c>
      <c r="C146" s="109" t="s">
        <v>258</v>
      </c>
      <c r="G146" s="116"/>
      <c r="H146" s="116"/>
    </row>
    <row r="147" ht="14.25" customHeight="1">
      <c r="A147" s="108">
        <v>1.0</v>
      </c>
      <c r="B147" s="108">
        <f t="shared" si="10"/>
        <v>1409</v>
      </c>
      <c r="C147" s="109" t="s">
        <v>258</v>
      </c>
      <c r="G147" s="116"/>
      <c r="H147" s="116"/>
    </row>
    <row r="148" ht="14.25" customHeight="1">
      <c r="A148" s="108">
        <v>1.0</v>
      </c>
      <c r="B148" s="108" t="s">
        <v>276</v>
      </c>
      <c r="C148" s="109" t="s">
        <v>258</v>
      </c>
      <c r="G148" s="116"/>
      <c r="H148" s="116"/>
    </row>
    <row r="149" ht="14.25" customHeight="1">
      <c r="A149" s="108">
        <v>1.0</v>
      </c>
      <c r="B149" s="108">
        <v>1492.0</v>
      </c>
      <c r="C149" s="109" t="s">
        <v>259</v>
      </c>
      <c r="G149" s="116"/>
      <c r="H149" s="116"/>
    </row>
    <row r="150" ht="14.25" customHeight="1">
      <c r="A150" s="108">
        <v>1.0</v>
      </c>
      <c r="B150" s="108">
        <f t="shared" ref="B150:B156" si="11">B149+1</f>
        <v>1493</v>
      </c>
      <c r="C150" s="109" t="s">
        <v>259</v>
      </c>
      <c r="G150" s="116"/>
      <c r="H150" s="116"/>
    </row>
    <row r="151" ht="14.25" customHeight="1">
      <c r="A151" s="108">
        <v>1.0</v>
      </c>
      <c r="B151" s="108">
        <f t="shared" si="11"/>
        <v>1494</v>
      </c>
      <c r="C151" s="109" t="s">
        <v>259</v>
      </c>
      <c r="G151" s="116"/>
      <c r="H151" s="116"/>
    </row>
    <row r="152" ht="14.25" customHeight="1">
      <c r="A152" s="108">
        <v>1.0</v>
      </c>
      <c r="B152" s="108">
        <f t="shared" si="11"/>
        <v>1495</v>
      </c>
      <c r="C152" s="109" t="s">
        <v>259</v>
      </c>
      <c r="G152" s="116"/>
      <c r="H152" s="116"/>
    </row>
    <row r="153" ht="14.25" customHeight="1">
      <c r="A153" s="108">
        <v>1.0</v>
      </c>
      <c r="B153" s="108">
        <f t="shared" si="11"/>
        <v>1496</v>
      </c>
      <c r="C153" s="109" t="s">
        <v>259</v>
      </c>
      <c r="G153" s="116"/>
      <c r="H153" s="116"/>
    </row>
    <row r="154" ht="14.25" customHeight="1">
      <c r="A154" s="108">
        <v>1.0</v>
      </c>
      <c r="B154" s="108">
        <f t="shared" si="11"/>
        <v>1497</v>
      </c>
      <c r="C154" s="109" t="s">
        <v>259</v>
      </c>
      <c r="G154" s="116"/>
      <c r="H154" s="116"/>
    </row>
    <row r="155" ht="14.25" customHeight="1">
      <c r="A155" s="108">
        <v>1.0</v>
      </c>
      <c r="B155" s="108">
        <f t="shared" si="11"/>
        <v>1498</v>
      </c>
      <c r="C155" s="109" t="s">
        <v>259</v>
      </c>
      <c r="G155" s="116"/>
      <c r="H155" s="116"/>
    </row>
    <row r="156" ht="14.25" customHeight="1">
      <c r="A156" s="108">
        <v>1.0</v>
      </c>
      <c r="B156" s="108">
        <f t="shared" si="11"/>
        <v>1499</v>
      </c>
      <c r="C156" s="109" t="s">
        <v>259</v>
      </c>
      <c r="G156" s="116"/>
      <c r="H156" s="116"/>
    </row>
    <row r="157" ht="14.25" customHeight="1">
      <c r="A157" s="108">
        <v>1.0</v>
      </c>
      <c r="B157" s="108" t="s">
        <v>277</v>
      </c>
      <c r="C157" s="109" t="s">
        <v>259</v>
      </c>
      <c r="G157" s="116"/>
      <c r="H157" s="116"/>
    </row>
    <row r="158" ht="14.25" customHeight="1">
      <c r="A158" s="108">
        <v>1.0</v>
      </c>
      <c r="B158" s="108">
        <v>1612.0</v>
      </c>
      <c r="C158" s="109" t="s">
        <v>260</v>
      </c>
      <c r="G158" s="116"/>
      <c r="H158" s="116"/>
    </row>
    <row r="159" ht="14.25" customHeight="1">
      <c r="A159" s="108">
        <v>1.0</v>
      </c>
      <c r="B159" s="108">
        <f t="shared" ref="B159:B165" si="12">B158+1</f>
        <v>1613</v>
      </c>
      <c r="C159" s="109" t="s">
        <v>260</v>
      </c>
      <c r="G159" s="116"/>
      <c r="H159" s="116"/>
    </row>
    <row r="160" ht="14.25" customHeight="1">
      <c r="A160" s="108">
        <v>1.0</v>
      </c>
      <c r="B160" s="108">
        <f t="shared" si="12"/>
        <v>1614</v>
      </c>
      <c r="C160" s="109" t="s">
        <v>260</v>
      </c>
      <c r="G160" s="116"/>
      <c r="H160" s="116"/>
    </row>
    <row r="161" ht="14.25" customHeight="1">
      <c r="A161" s="108">
        <v>1.0</v>
      </c>
      <c r="B161" s="108">
        <f t="shared" si="12"/>
        <v>1615</v>
      </c>
      <c r="C161" s="109" t="s">
        <v>260</v>
      </c>
      <c r="G161" s="116"/>
      <c r="H161" s="116"/>
    </row>
    <row r="162" ht="14.25" customHeight="1">
      <c r="A162" s="108">
        <v>1.0</v>
      </c>
      <c r="B162" s="108">
        <f t="shared" si="12"/>
        <v>1616</v>
      </c>
      <c r="C162" s="109" t="s">
        <v>260</v>
      </c>
      <c r="G162" s="116"/>
      <c r="H162" s="116"/>
    </row>
    <row r="163" ht="14.25" customHeight="1">
      <c r="A163" s="108">
        <v>1.0</v>
      </c>
      <c r="B163" s="108">
        <f t="shared" si="12"/>
        <v>1617</v>
      </c>
      <c r="C163" s="109" t="s">
        <v>260</v>
      </c>
      <c r="G163" s="116"/>
      <c r="H163" s="116"/>
    </row>
    <row r="164" ht="14.25" customHeight="1">
      <c r="A164" s="108">
        <v>1.0</v>
      </c>
      <c r="B164" s="108">
        <f t="shared" si="12"/>
        <v>1618</v>
      </c>
      <c r="C164" s="109" t="s">
        <v>260</v>
      </c>
      <c r="G164" s="116"/>
      <c r="H164" s="116"/>
    </row>
    <row r="165" ht="14.25" customHeight="1">
      <c r="A165" s="108">
        <v>1.0</v>
      </c>
      <c r="B165" s="108">
        <f t="shared" si="12"/>
        <v>1619</v>
      </c>
      <c r="C165" s="109" t="s">
        <v>260</v>
      </c>
      <c r="G165" s="116"/>
      <c r="H165" s="116"/>
    </row>
    <row r="166" ht="14.25" customHeight="1">
      <c r="A166" s="108">
        <v>1.0</v>
      </c>
      <c r="B166" s="108" t="s">
        <v>278</v>
      </c>
      <c r="C166" s="109" t="s">
        <v>260</v>
      </c>
      <c r="G166" s="116"/>
      <c r="H166" s="116"/>
    </row>
    <row r="167" ht="14.25" customHeight="1">
      <c r="A167" s="108">
        <v>2.0</v>
      </c>
      <c r="B167" s="108">
        <v>2347.0</v>
      </c>
      <c r="C167" s="109" t="s">
        <v>262</v>
      </c>
      <c r="G167" s="116"/>
      <c r="H167" s="116"/>
    </row>
    <row r="168" ht="14.25" customHeight="1">
      <c r="A168" s="108">
        <v>2.0</v>
      </c>
      <c r="B168" s="108">
        <f t="shared" ref="B168:B174" si="13">B167+1</f>
        <v>2348</v>
      </c>
      <c r="C168" s="109" t="s">
        <v>262</v>
      </c>
      <c r="G168" s="116"/>
      <c r="H168" s="116"/>
    </row>
    <row r="169" ht="14.25" customHeight="1">
      <c r="A169" s="108">
        <v>2.0</v>
      </c>
      <c r="B169" s="108">
        <f t="shared" si="13"/>
        <v>2349</v>
      </c>
      <c r="C169" s="109" t="s">
        <v>262</v>
      </c>
      <c r="G169" s="116"/>
      <c r="H169" s="116"/>
    </row>
    <row r="170" ht="14.25" customHeight="1">
      <c r="A170" s="108">
        <v>2.0</v>
      </c>
      <c r="B170" s="108">
        <f t="shared" si="13"/>
        <v>2350</v>
      </c>
      <c r="C170" s="109" t="s">
        <v>262</v>
      </c>
      <c r="G170" s="116"/>
      <c r="H170" s="116"/>
    </row>
    <row r="171" ht="14.25" customHeight="1">
      <c r="A171" s="108">
        <v>2.0</v>
      </c>
      <c r="B171" s="108">
        <f t="shared" si="13"/>
        <v>2351</v>
      </c>
      <c r="C171" s="109" t="s">
        <v>262</v>
      </c>
      <c r="G171" s="116"/>
      <c r="H171" s="116"/>
    </row>
    <row r="172" ht="14.25" customHeight="1">
      <c r="A172" s="108">
        <v>2.0</v>
      </c>
      <c r="B172" s="108">
        <f t="shared" si="13"/>
        <v>2352</v>
      </c>
      <c r="C172" s="109" t="s">
        <v>262</v>
      </c>
      <c r="G172" s="116"/>
      <c r="H172" s="116"/>
    </row>
    <row r="173" ht="14.25" customHeight="1">
      <c r="A173" s="108">
        <v>2.0</v>
      </c>
      <c r="B173" s="108">
        <f t="shared" si="13"/>
        <v>2353</v>
      </c>
      <c r="C173" s="109" t="s">
        <v>262</v>
      </c>
      <c r="G173" s="116"/>
      <c r="H173" s="116"/>
    </row>
    <row r="174" ht="14.25" customHeight="1">
      <c r="A174" s="108">
        <v>2.0</v>
      </c>
      <c r="B174" s="108">
        <f t="shared" si="13"/>
        <v>2354</v>
      </c>
      <c r="C174" s="109" t="s">
        <v>262</v>
      </c>
      <c r="G174" s="116"/>
      <c r="H174" s="116"/>
    </row>
    <row r="175" ht="14.25" customHeight="1">
      <c r="A175" s="108">
        <v>2.0</v>
      </c>
      <c r="B175" s="108" t="s">
        <v>279</v>
      </c>
      <c r="C175" s="109" t="s">
        <v>262</v>
      </c>
      <c r="G175" s="116"/>
      <c r="H175" s="116"/>
    </row>
    <row r="176" ht="14.25" customHeight="1">
      <c r="A176" s="108">
        <v>2.0</v>
      </c>
      <c r="B176" s="108">
        <v>2377.0</v>
      </c>
      <c r="C176" s="109" t="s">
        <v>253</v>
      </c>
      <c r="G176" s="116"/>
      <c r="H176" s="116"/>
    </row>
    <row r="177" ht="14.25" customHeight="1">
      <c r="A177" s="108">
        <v>2.0</v>
      </c>
      <c r="B177" s="108">
        <f t="shared" ref="B177:B208" si="14">B176+1</f>
        <v>2378</v>
      </c>
      <c r="C177" s="109" t="s">
        <v>253</v>
      </c>
      <c r="G177" s="116"/>
      <c r="H177" s="116"/>
    </row>
    <row r="178" ht="14.25" customHeight="1">
      <c r="A178" s="108">
        <v>2.0</v>
      </c>
      <c r="B178" s="108">
        <f t="shared" si="14"/>
        <v>2379</v>
      </c>
      <c r="C178" s="109" t="s">
        <v>253</v>
      </c>
      <c r="G178" s="116"/>
      <c r="H178" s="116"/>
    </row>
    <row r="179" ht="14.25" customHeight="1">
      <c r="A179" s="108">
        <v>2.0</v>
      </c>
      <c r="B179" s="108">
        <f t="shared" si="14"/>
        <v>2380</v>
      </c>
      <c r="C179" s="109" t="s">
        <v>253</v>
      </c>
      <c r="G179" s="116"/>
      <c r="H179" s="116"/>
    </row>
    <row r="180" ht="14.25" customHeight="1">
      <c r="A180" s="108">
        <v>2.0</v>
      </c>
      <c r="B180" s="108">
        <f t="shared" si="14"/>
        <v>2381</v>
      </c>
      <c r="C180" s="109" t="s">
        <v>253</v>
      </c>
      <c r="G180" s="116"/>
      <c r="H180" s="116"/>
    </row>
    <row r="181" ht="14.25" customHeight="1">
      <c r="A181" s="108">
        <v>2.0</v>
      </c>
      <c r="B181" s="108">
        <f t="shared" si="14"/>
        <v>2382</v>
      </c>
      <c r="C181" s="109" t="s">
        <v>253</v>
      </c>
      <c r="G181" s="116"/>
      <c r="H181" s="116"/>
    </row>
    <row r="182" ht="14.25" customHeight="1">
      <c r="A182" s="108">
        <v>2.0</v>
      </c>
      <c r="B182" s="108">
        <f t="shared" si="14"/>
        <v>2383</v>
      </c>
      <c r="C182" s="109" t="s">
        <v>253</v>
      </c>
      <c r="G182" s="116"/>
      <c r="H182" s="116"/>
    </row>
    <row r="183" ht="14.25" customHeight="1">
      <c r="A183" s="108">
        <v>2.0</v>
      </c>
      <c r="B183" s="108">
        <f t="shared" si="14"/>
        <v>2384</v>
      </c>
      <c r="C183" s="109" t="s">
        <v>253</v>
      </c>
      <c r="G183" s="116"/>
      <c r="H183" s="116"/>
    </row>
    <row r="184" ht="14.25" customHeight="1">
      <c r="A184" s="108">
        <v>2.0</v>
      </c>
      <c r="B184" s="108">
        <f t="shared" si="14"/>
        <v>2385</v>
      </c>
      <c r="C184" s="109" t="s">
        <v>253</v>
      </c>
      <c r="G184" s="116"/>
      <c r="H184" s="116"/>
    </row>
    <row r="185" ht="14.25" customHeight="1">
      <c r="A185" s="108">
        <v>2.0</v>
      </c>
      <c r="B185" s="108">
        <f t="shared" si="14"/>
        <v>2386</v>
      </c>
      <c r="C185" s="109" t="s">
        <v>253</v>
      </c>
      <c r="G185" s="116"/>
      <c r="H185" s="116"/>
    </row>
    <row r="186" ht="14.25" customHeight="1">
      <c r="A186" s="108">
        <v>2.0</v>
      </c>
      <c r="B186" s="108">
        <f t="shared" si="14"/>
        <v>2387</v>
      </c>
      <c r="C186" s="109" t="s">
        <v>253</v>
      </c>
      <c r="G186" s="116"/>
      <c r="H186" s="116"/>
    </row>
    <row r="187" ht="14.25" customHeight="1">
      <c r="A187" s="108">
        <v>2.0</v>
      </c>
      <c r="B187" s="108">
        <f t="shared" si="14"/>
        <v>2388</v>
      </c>
      <c r="C187" s="109" t="s">
        <v>253</v>
      </c>
      <c r="G187" s="116"/>
      <c r="H187" s="116"/>
    </row>
    <row r="188" ht="14.25" customHeight="1">
      <c r="A188" s="108">
        <v>2.0</v>
      </c>
      <c r="B188" s="108">
        <f t="shared" si="14"/>
        <v>2389</v>
      </c>
      <c r="C188" s="109" t="s">
        <v>253</v>
      </c>
      <c r="G188" s="116"/>
      <c r="H188" s="116"/>
    </row>
    <row r="189" ht="14.25" customHeight="1">
      <c r="A189" s="108">
        <v>2.0</v>
      </c>
      <c r="B189" s="108">
        <f t="shared" si="14"/>
        <v>2390</v>
      </c>
      <c r="C189" s="109" t="s">
        <v>253</v>
      </c>
      <c r="G189" s="116"/>
      <c r="H189" s="116"/>
    </row>
    <row r="190" ht="14.25" customHeight="1">
      <c r="A190" s="108">
        <v>2.0</v>
      </c>
      <c r="B190" s="108">
        <f t="shared" si="14"/>
        <v>2391</v>
      </c>
      <c r="C190" s="109" t="s">
        <v>253</v>
      </c>
      <c r="G190" s="116"/>
      <c r="H190" s="116"/>
    </row>
    <row r="191" ht="14.25" customHeight="1">
      <c r="A191" s="108">
        <v>2.0</v>
      </c>
      <c r="B191" s="108">
        <f t="shared" si="14"/>
        <v>2392</v>
      </c>
      <c r="C191" s="109" t="s">
        <v>253</v>
      </c>
      <c r="G191" s="116"/>
      <c r="H191" s="116"/>
    </row>
    <row r="192" ht="14.25" customHeight="1">
      <c r="A192" s="108">
        <v>2.0</v>
      </c>
      <c r="B192" s="108">
        <f t="shared" si="14"/>
        <v>2393</v>
      </c>
      <c r="C192" s="109" t="s">
        <v>253</v>
      </c>
      <c r="G192" s="116"/>
      <c r="H192" s="116"/>
    </row>
    <row r="193" ht="14.25" customHeight="1">
      <c r="A193" s="108">
        <v>2.0</v>
      </c>
      <c r="B193" s="108">
        <f t="shared" si="14"/>
        <v>2394</v>
      </c>
      <c r="C193" s="109" t="s">
        <v>253</v>
      </c>
      <c r="G193" s="116"/>
      <c r="H193" s="116"/>
    </row>
    <row r="194" ht="14.25" customHeight="1">
      <c r="A194" s="108">
        <v>2.0</v>
      </c>
      <c r="B194" s="108">
        <f t="shared" si="14"/>
        <v>2395</v>
      </c>
      <c r="C194" s="109" t="s">
        <v>253</v>
      </c>
      <c r="G194" s="116"/>
      <c r="H194" s="116"/>
    </row>
    <row r="195" ht="14.25" customHeight="1">
      <c r="A195" s="108">
        <v>2.0</v>
      </c>
      <c r="B195" s="108">
        <f t="shared" si="14"/>
        <v>2396</v>
      </c>
      <c r="C195" s="109" t="s">
        <v>253</v>
      </c>
      <c r="G195" s="116"/>
      <c r="H195" s="116"/>
    </row>
    <row r="196" ht="14.25" customHeight="1">
      <c r="A196" s="108">
        <v>2.0</v>
      </c>
      <c r="B196" s="108">
        <f t="shared" si="14"/>
        <v>2397</v>
      </c>
      <c r="C196" s="109" t="s">
        <v>254</v>
      </c>
      <c r="G196" s="116"/>
      <c r="H196" s="116"/>
    </row>
    <row r="197" ht="14.25" customHeight="1">
      <c r="A197" s="108">
        <v>2.0</v>
      </c>
      <c r="B197" s="108">
        <f t="shared" si="14"/>
        <v>2398</v>
      </c>
      <c r="C197" s="109" t="s">
        <v>254</v>
      </c>
      <c r="G197" s="116"/>
      <c r="H197" s="116"/>
    </row>
    <row r="198" ht="14.25" customHeight="1">
      <c r="A198" s="108">
        <v>2.0</v>
      </c>
      <c r="B198" s="108">
        <f t="shared" si="14"/>
        <v>2399</v>
      </c>
      <c r="C198" s="109" t="s">
        <v>254</v>
      </c>
      <c r="G198" s="116"/>
      <c r="H198" s="116"/>
    </row>
    <row r="199" ht="14.25" customHeight="1">
      <c r="A199" s="108">
        <v>2.0</v>
      </c>
      <c r="B199" s="108">
        <f t="shared" si="14"/>
        <v>2400</v>
      </c>
      <c r="C199" s="109" t="s">
        <v>254</v>
      </c>
      <c r="G199" s="116"/>
      <c r="H199" s="116"/>
    </row>
    <row r="200" ht="14.25" customHeight="1">
      <c r="A200" s="108">
        <v>2.0</v>
      </c>
      <c r="B200" s="108">
        <f t="shared" si="14"/>
        <v>2401</v>
      </c>
      <c r="C200" s="109" t="s">
        <v>254</v>
      </c>
      <c r="G200" s="116"/>
      <c r="H200" s="116"/>
    </row>
    <row r="201" ht="14.25" customHeight="1">
      <c r="A201" s="108">
        <v>2.0</v>
      </c>
      <c r="B201" s="108">
        <f t="shared" si="14"/>
        <v>2402</v>
      </c>
      <c r="C201" s="109" t="s">
        <v>254</v>
      </c>
      <c r="G201" s="116"/>
      <c r="H201" s="116"/>
    </row>
    <row r="202" ht="14.25" customHeight="1">
      <c r="A202" s="108">
        <v>2.0</v>
      </c>
      <c r="B202" s="108">
        <f t="shared" si="14"/>
        <v>2403</v>
      </c>
      <c r="C202" s="109" t="s">
        <v>254</v>
      </c>
      <c r="G202" s="116"/>
      <c r="H202" s="116"/>
    </row>
    <row r="203" ht="14.25" customHeight="1">
      <c r="A203" s="108">
        <v>2.0</v>
      </c>
      <c r="B203" s="108">
        <f t="shared" si="14"/>
        <v>2404</v>
      </c>
      <c r="C203" s="109" t="s">
        <v>254</v>
      </c>
      <c r="G203" s="116"/>
      <c r="H203" s="116"/>
    </row>
    <row r="204" ht="14.25" customHeight="1">
      <c r="A204" s="108">
        <v>2.0</v>
      </c>
      <c r="B204" s="108">
        <f t="shared" si="14"/>
        <v>2405</v>
      </c>
      <c r="C204" s="109" t="s">
        <v>254</v>
      </c>
      <c r="G204" s="116"/>
      <c r="H204" s="116"/>
    </row>
    <row r="205" ht="14.25" customHeight="1">
      <c r="A205" s="108">
        <v>2.0</v>
      </c>
      <c r="B205" s="108">
        <f t="shared" si="14"/>
        <v>2406</v>
      </c>
      <c r="C205" s="109" t="s">
        <v>254</v>
      </c>
      <c r="G205" s="116"/>
      <c r="H205" s="116"/>
    </row>
    <row r="206" ht="14.25" customHeight="1">
      <c r="A206" s="108">
        <v>2.0</v>
      </c>
      <c r="B206" s="108">
        <f t="shared" si="14"/>
        <v>2407</v>
      </c>
      <c r="C206" s="109" t="s">
        <v>254</v>
      </c>
      <c r="G206" s="116"/>
      <c r="H206" s="116"/>
    </row>
    <row r="207" ht="14.25" customHeight="1">
      <c r="A207" s="108">
        <v>2.0</v>
      </c>
      <c r="B207" s="108">
        <f t="shared" si="14"/>
        <v>2408</v>
      </c>
      <c r="C207" s="109" t="s">
        <v>254</v>
      </c>
      <c r="G207" s="116"/>
      <c r="H207" s="116"/>
    </row>
    <row r="208" ht="14.25" customHeight="1">
      <c r="A208" s="108">
        <v>2.0</v>
      </c>
      <c r="B208" s="108">
        <f t="shared" si="14"/>
        <v>2409</v>
      </c>
      <c r="C208" s="109" t="s">
        <v>254</v>
      </c>
      <c r="G208" s="116"/>
      <c r="H208" s="116"/>
    </row>
    <row r="209" ht="14.25" customHeight="1">
      <c r="A209" s="108">
        <v>2.0</v>
      </c>
      <c r="B209" s="108" t="s">
        <v>280</v>
      </c>
      <c r="C209" s="109" t="s">
        <v>254</v>
      </c>
      <c r="G209" s="116"/>
      <c r="H209" s="116"/>
    </row>
    <row r="210" ht="14.25" customHeight="1">
      <c r="A210" s="108">
        <v>2.0</v>
      </c>
      <c r="B210" s="108">
        <v>2547.0</v>
      </c>
      <c r="C210" s="109" t="s">
        <v>255</v>
      </c>
      <c r="G210" s="116"/>
      <c r="H210" s="116"/>
    </row>
    <row r="211" ht="14.25" customHeight="1">
      <c r="A211" s="108">
        <v>2.0</v>
      </c>
      <c r="B211" s="108">
        <f t="shared" ref="B211:B232" si="15">B210+1</f>
        <v>2548</v>
      </c>
      <c r="C211" s="109" t="s">
        <v>255</v>
      </c>
      <c r="G211" s="116"/>
      <c r="H211" s="116"/>
    </row>
    <row r="212" ht="14.25" customHeight="1">
      <c r="A212" s="108">
        <v>2.0</v>
      </c>
      <c r="B212" s="108">
        <f t="shared" si="15"/>
        <v>2549</v>
      </c>
      <c r="C212" s="109" t="s">
        <v>255</v>
      </c>
      <c r="G212" s="116"/>
      <c r="H212" s="116"/>
    </row>
    <row r="213" ht="14.25" customHeight="1">
      <c r="A213" s="108">
        <v>2.0</v>
      </c>
      <c r="B213" s="108">
        <f t="shared" si="15"/>
        <v>2550</v>
      </c>
      <c r="C213" s="109" t="s">
        <v>255</v>
      </c>
      <c r="G213" s="116"/>
      <c r="H213" s="116"/>
    </row>
    <row r="214" ht="14.25" customHeight="1">
      <c r="A214" s="108">
        <v>2.0</v>
      </c>
      <c r="B214" s="108">
        <f t="shared" si="15"/>
        <v>2551</v>
      </c>
      <c r="C214" s="109" t="s">
        <v>255</v>
      </c>
      <c r="G214" s="116"/>
      <c r="H214" s="116"/>
    </row>
    <row r="215" ht="14.25" customHeight="1">
      <c r="A215" s="108">
        <v>2.0</v>
      </c>
      <c r="B215" s="108">
        <f t="shared" si="15"/>
        <v>2552</v>
      </c>
      <c r="C215" s="109" t="s">
        <v>255</v>
      </c>
      <c r="G215" s="116"/>
      <c r="H215" s="116"/>
    </row>
    <row r="216" ht="14.25" customHeight="1">
      <c r="A216" s="108">
        <v>2.0</v>
      </c>
      <c r="B216" s="108">
        <f t="shared" si="15"/>
        <v>2553</v>
      </c>
      <c r="C216" s="109" t="s">
        <v>255</v>
      </c>
      <c r="G216" s="116"/>
      <c r="H216" s="116"/>
    </row>
    <row r="217" ht="14.25" customHeight="1">
      <c r="A217" s="108">
        <v>2.0</v>
      </c>
      <c r="B217" s="108">
        <f t="shared" si="15"/>
        <v>2554</v>
      </c>
      <c r="C217" s="109" t="s">
        <v>255</v>
      </c>
      <c r="G217" s="116"/>
      <c r="H217" s="116"/>
    </row>
    <row r="218" ht="14.25" customHeight="1">
      <c r="A218" s="108">
        <v>2.0</v>
      </c>
      <c r="B218" s="108">
        <f t="shared" si="15"/>
        <v>2555</v>
      </c>
      <c r="C218" s="109" t="s">
        <v>255</v>
      </c>
      <c r="G218" s="116"/>
      <c r="H218" s="116"/>
    </row>
    <row r="219" ht="14.25" customHeight="1">
      <c r="A219" s="108">
        <v>2.0</v>
      </c>
      <c r="B219" s="108">
        <f t="shared" si="15"/>
        <v>2556</v>
      </c>
      <c r="C219" s="109" t="s">
        <v>255</v>
      </c>
      <c r="G219" s="116"/>
      <c r="H219" s="116"/>
    </row>
    <row r="220" ht="14.25" customHeight="1">
      <c r="A220" s="108">
        <v>2.0</v>
      </c>
      <c r="B220" s="108">
        <f t="shared" si="15"/>
        <v>2557</v>
      </c>
      <c r="C220" s="109" t="s">
        <v>255</v>
      </c>
      <c r="G220" s="116"/>
      <c r="H220" s="116"/>
    </row>
    <row r="221" ht="14.25" customHeight="1">
      <c r="A221" s="108">
        <v>2.0</v>
      </c>
      <c r="B221" s="108">
        <f t="shared" si="15"/>
        <v>2558</v>
      </c>
      <c r="C221" s="109" t="s">
        <v>255</v>
      </c>
      <c r="G221" s="116"/>
      <c r="H221" s="116"/>
    </row>
    <row r="222" ht="14.25" customHeight="1">
      <c r="A222" s="108">
        <v>2.0</v>
      </c>
      <c r="B222" s="108">
        <f t="shared" si="15"/>
        <v>2559</v>
      </c>
      <c r="C222" s="109" t="s">
        <v>255</v>
      </c>
      <c r="G222" s="116"/>
      <c r="H222" s="116"/>
    </row>
    <row r="223" ht="14.25" customHeight="1">
      <c r="A223" s="108">
        <v>2.0</v>
      </c>
      <c r="B223" s="108">
        <f t="shared" si="15"/>
        <v>2560</v>
      </c>
      <c r="C223" s="109" t="s">
        <v>255</v>
      </c>
      <c r="G223" s="116"/>
      <c r="H223" s="116"/>
    </row>
    <row r="224" ht="14.25" customHeight="1">
      <c r="A224" s="108">
        <v>2.0</v>
      </c>
      <c r="B224" s="108">
        <f t="shared" si="15"/>
        <v>2561</v>
      </c>
      <c r="C224" s="109" t="s">
        <v>255</v>
      </c>
      <c r="G224" s="116"/>
      <c r="H224" s="116"/>
    </row>
    <row r="225" ht="14.25" customHeight="1">
      <c r="A225" s="108">
        <v>2.0</v>
      </c>
      <c r="B225" s="108">
        <f t="shared" si="15"/>
        <v>2562</v>
      </c>
      <c r="C225" s="109" t="s">
        <v>257</v>
      </c>
      <c r="G225" s="116"/>
      <c r="H225" s="116"/>
    </row>
    <row r="226" ht="14.25" customHeight="1">
      <c r="A226" s="108">
        <v>2.0</v>
      </c>
      <c r="B226" s="108">
        <f t="shared" si="15"/>
        <v>2563</v>
      </c>
      <c r="C226" s="109" t="s">
        <v>257</v>
      </c>
      <c r="G226" s="116"/>
      <c r="H226" s="116"/>
    </row>
    <row r="227" ht="14.25" customHeight="1">
      <c r="A227" s="108">
        <v>2.0</v>
      </c>
      <c r="B227" s="108">
        <f t="shared" si="15"/>
        <v>2564</v>
      </c>
      <c r="C227" s="109" t="s">
        <v>257</v>
      </c>
      <c r="G227" s="116"/>
      <c r="H227" s="116"/>
    </row>
    <row r="228" ht="14.25" customHeight="1">
      <c r="A228" s="108">
        <v>2.0</v>
      </c>
      <c r="B228" s="108">
        <f t="shared" si="15"/>
        <v>2565</v>
      </c>
      <c r="C228" s="109" t="s">
        <v>257</v>
      </c>
      <c r="G228" s="116"/>
      <c r="H228" s="116"/>
    </row>
    <row r="229" ht="14.25" customHeight="1">
      <c r="A229" s="108">
        <v>2.0</v>
      </c>
      <c r="B229" s="108">
        <f t="shared" si="15"/>
        <v>2566</v>
      </c>
      <c r="C229" s="109" t="s">
        <v>257</v>
      </c>
      <c r="G229" s="116"/>
      <c r="H229" s="116"/>
    </row>
    <row r="230" ht="14.25" customHeight="1">
      <c r="A230" s="108">
        <v>2.0</v>
      </c>
      <c r="B230" s="108">
        <f t="shared" si="15"/>
        <v>2567</v>
      </c>
      <c r="C230" s="109" t="s">
        <v>257</v>
      </c>
      <c r="G230" s="116"/>
      <c r="H230" s="116"/>
    </row>
    <row r="231" ht="14.25" customHeight="1">
      <c r="A231" s="108">
        <v>2.0</v>
      </c>
      <c r="B231" s="108">
        <f t="shared" si="15"/>
        <v>2568</v>
      </c>
      <c r="C231" s="109" t="s">
        <v>257</v>
      </c>
      <c r="G231" s="116"/>
      <c r="H231" s="116"/>
    </row>
    <row r="232" ht="14.25" customHeight="1">
      <c r="A232" s="108">
        <v>2.0</v>
      </c>
      <c r="B232" s="108">
        <f t="shared" si="15"/>
        <v>2569</v>
      </c>
      <c r="C232" s="109" t="s">
        <v>257</v>
      </c>
      <c r="G232" s="116"/>
      <c r="H232" s="116"/>
    </row>
    <row r="233" ht="14.25" customHeight="1">
      <c r="A233" s="108">
        <v>2.0</v>
      </c>
      <c r="B233" s="108" t="s">
        <v>281</v>
      </c>
      <c r="C233" s="109" t="s">
        <v>257</v>
      </c>
      <c r="G233" s="116"/>
      <c r="H233" s="116"/>
    </row>
    <row r="234" ht="14.25" customHeight="1">
      <c r="A234" s="108">
        <v>2.0</v>
      </c>
      <c r="B234" s="108">
        <v>2712.0</v>
      </c>
      <c r="C234" s="109" t="s">
        <v>258</v>
      </c>
      <c r="G234" s="116"/>
      <c r="H234" s="116"/>
    </row>
    <row r="235" ht="14.25" customHeight="1">
      <c r="A235" s="108">
        <v>2.0</v>
      </c>
      <c r="B235" s="108">
        <f t="shared" ref="B235:B241" si="16">B234+1</f>
        <v>2713</v>
      </c>
      <c r="C235" s="109" t="s">
        <v>258</v>
      </c>
      <c r="G235" s="116"/>
      <c r="H235" s="116"/>
    </row>
    <row r="236" ht="14.25" customHeight="1">
      <c r="A236" s="108">
        <v>2.0</v>
      </c>
      <c r="B236" s="108">
        <f t="shared" si="16"/>
        <v>2714</v>
      </c>
      <c r="C236" s="109" t="s">
        <v>258</v>
      </c>
      <c r="G236" s="116"/>
      <c r="H236" s="116"/>
    </row>
    <row r="237" ht="14.25" customHeight="1">
      <c r="A237" s="108">
        <v>2.0</v>
      </c>
      <c r="B237" s="108">
        <f t="shared" si="16"/>
        <v>2715</v>
      </c>
      <c r="C237" s="109" t="s">
        <v>258</v>
      </c>
      <c r="G237" s="116"/>
      <c r="H237" s="116"/>
    </row>
    <row r="238" ht="14.25" customHeight="1">
      <c r="A238" s="108">
        <v>2.0</v>
      </c>
      <c r="B238" s="108">
        <f t="shared" si="16"/>
        <v>2716</v>
      </c>
      <c r="C238" s="109" t="s">
        <v>258</v>
      </c>
      <c r="G238" s="116"/>
      <c r="H238" s="116"/>
    </row>
    <row r="239" ht="14.25" customHeight="1">
      <c r="A239" s="108">
        <v>2.0</v>
      </c>
      <c r="B239" s="108">
        <f t="shared" si="16"/>
        <v>2717</v>
      </c>
      <c r="C239" s="109" t="s">
        <v>258</v>
      </c>
      <c r="G239" s="116"/>
      <c r="H239" s="116"/>
    </row>
    <row r="240" ht="14.25" customHeight="1">
      <c r="A240" s="108">
        <v>2.0</v>
      </c>
      <c r="B240" s="108">
        <f t="shared" si="16"/>
        <v>2718</v>
      </c>
      <c r="C240" s="109" t="s">
        <v>258</v>
      </c>
      <c r="G240" s="116"/>
      <c r="H240" s="116"/>
    </row>
    <row r="241" ht="14.25" customHeight="1">
      <c r="A241" s="108">
        <v>2.0</v>
      </c>
      <c r="B241" s="108">
        <f t="shared" si="16"/>
        <v>2719</v>
      </c>
      <c r="C241" s="109" t="s">
        <v>258</v>
      </c>
      <c r="G241" s="116"/>
      <c r="H241" s="116"/>
    </row>
    <row r="242" ht="14.25" customHeight="1">
      <c r="A242" s="108">
        <v>2.0</v>
      </c>
      <c r="B242" s="108" t="s">
        <v>282</v>
      </c>
      <c r="C242" s="109" t="s">
        <v>258</v>
      </c>
      <c r="G242" s="116"/>
      <c r="H242" s="116"/>
    </row>
    <row r="243" ht="14.25" customHeight="1">
      <c r="A243" s="108">
        <v>2.0</v>
      </c>
      <c r="B243" s="108">
        <v>2802.0</v>
      </c>
      <c r="C243" s="109" t="s">
        <v>259</v>
      </c>
      <c r="G243" s="116"/>
      <c r="H243" s="116"/>
    </row>
    <row r="244" ht="14.25" customHeight="1">
      <c r="A244" s="108">
        <v>2.0</v>
      </c>
      <c r="B244" s="108">
        <f t="shared" ref="B244:B250" si="17">B243+1</f>
        <v>2803</v>
      </c>
      <c r="C244" s="109" t="s">
        <v>259</v>
      </c>
      <c r="G244" s="116"/>
      <c r="H244" s="116"/>
    </row>
    <row r="245" ht="14.25" customHeight="1">
      <c r="A245" s="108">
        <v>2.0</v>
      </c>
      <c r="B245" s="108">
        <f t="shared" si="17"/>
        <v>2804</v>
      </c>
      <c r="C245" s="109" t="s">
        <v>259</v>
      </c>
      <c r="G245" s="116"/>
      <c r="H245" s="116"/>
    </row>
    <row r="246" ht="14.25" customHeight="1">
      <c r="A246" s="108">
        <v>2.0</v>
      </c>
      <c r="B246" s="108">
        <f t="shared" si="17"/>
        <v>2805</v>
      </c>
      <c r="C246" s="109" t="s">
        <v>259</v>
      </c>
      <c r="G246" s="116"/>
      <c r="H246" s="116"/>
    </row>
    <row r="247" ht="14.25" customHeight="1">
      <c r="A247" s="108">
        <v>2.0</v>
      </c>
      <c r="B247" s="108">
        <f t="shared" si="17"/>
        <v>2806</v>
      </c>
      <c r="C247" s="109" t="s">
        <v>259</v>
      </c>
      <c r="G247" s="116"/>
      <c r="H247" s="116"/>
    </row>
    <row r="248" ht="14.25" customHeight="1">
      <c r="A248" s="108">
        <v>2.0</v>
      </c>
      <c r="B248" s="108">
        <f t="shared" si="17"/>
        <v>2807</v>
      </c>
      <c r="C248" s="109" t="s">
        <v>259</v>
      </c>
      <c r="G248" s="116"/>
      <c r="H248" s="116"/>
    </row>
    <row r="249" ht="14.25" customHeight="1">
      <c r="A249" s="108">
        <v>2.0</v>
      </c>
      <c r="B249" s="108">
        <f t="shared" si="17"/>
        <v>2808</v>
      </c>
      <c r="C249" s="109" t="s">
        <v>259</v>
      </c>
      <c r="G249" s="116"/>
      <c r="H249" s="116"/>
    </row>
    <row r="250" ht="14.25" customHeight="1">
      <c r="A250" s="108">
        <v>2.0</v>
      </c>
      <c r="B250" s="108">
        <f t="shared" si="17"/>
        <v>2809</v>
      </c>
      <c r="C250" s="109" t="s">
        <v>259</v>
      </c>
      <c r="G250" s="116"/>
      <c r="H250" s="116"/>
    </row>
    <row r="251" ht="14.25" customHeight="1">
      <c r="A251" s="108">
        <v>2.0</v>
      </c>
      <c r="B251" s="108" t="s">
        <v>283</v>
      </c>
      <c r="C251" s="109" t="s">
        <v>259</v>
      </c>
      <c r="G251" s="116"/>
      <c r="H251" s="116"/>
    </row>
    <row r="252" ht="14.25" customHeight="1">
      <c r="A252" s="108">
        <v>2.0</v>
      </c>
      <c r="B252" s="108">
        <v>2952.0</v>
      </c>
      <c r="C252" s="109" t="s">
        <v>264</v>
      </c>
      <c r="G252" s="116"/>
      <c r="H252" s="116"/>
    </row>
    <row r="253" ht="14.25" customHeight="1">
      <c r="A253" s="108">
        <v>2.0</v>
      </c>
      <c r="B253" s="108">
        <f t="shared" ref="B253:B259" si="18">B252+1</f>
        <v>2953</v>
      </c>
      <c r="C253" s="109" t="s">
        <v>264</v>
      </c>
      <c r="G253" s="116"/>
      <c r="H253" s="116"/>
    </row>
    <row r="254" ht="14.25" customHeight="1">
      <c r="A254" s="108">
        <v>2.0</v>
      </c>
      <c r="B254" s="108">
        <f t="shared" si="18"/>
        <v>2954</v>
      </c>
      <c r="C254" s="109" t="s">
        <v>264</v>
      </c>
      <c r="G254" s="116"/>
      <c r="H254" s="116"/>
    </row>
    <row r="255" ht="14.25" customHeight="1">
      <c r="A255" s="108">
        <v>2.0</v>
      </c>
      <c r="B255" s="108">
        <f t="shared" si="18"/>
        <v>2955</v>
      </c>
      <c r="C255" s="109" t="s">
        <v>264</v>
      </c>
      <c r="G255" s="116"/>
      <c r="H255" s="116"/>
    </row>
    <row r="256" ht="14.25" customHeight="1">
      <c r="A256" s="108">
        <v>2.0</v>
      </c>
      <c r="B256" s="108">
        <f t="shared" si="18"/>
        <v>2956</v>
      </c>
      <c r="C256" s="109" t="s">
        <v>264</v>
      </c>
      <c r="G256" s="116"/>
      <c r="H256" s="116"/>
    </row>
    <row r="257" ht="14.25" customHeight="1">
      <c r="A257" s="108">
        <v>2.0</v>
      </c>
      <c r="B257" s="108">
        <f t="shared" si="18"/>
        <v>2957</v>
      </c>
      <c r="C257" s="109" t="s">
        <v>264</v>
      </c>
      <c r="G257" s="116"/>
      <c r="H257" s="116"/>
    </row>
    <row r="258" ht="14.25" customHeight="1">
      <c r="A258" s="108">
        <v>2.0</v>
      </c>
      <c r="B258" s="108">
        <f t="shared" si="18"/>
        <v>2958</v>
      </c>
      <c r="C258" s="109" t="s">
        <v>264</v>
      </c>
      <c r="G258" s="116"/>
      <c r="H258" s="116"/>
    </row>
    <row r="259" ht="14.25" customHeight="1">
      <c r="A259" s="108">
        <v>2.0</v>
      </c>
      <c r="B259" s="108">
        <f t="shared" si="18"/>
        <v>2959</v>
      </c>
      <c r="C259" s="109" t="s">
        <v>264</v>
      </c>
      <c r="G259" s="116"/>
      <c r="H259" s="116"/>
    </row>
    <row r="260" ht="14.25" customHeight="1">
      <c r="A260" s="108">
        <v>2.0</v>
      </c>
      <c r="B260" s="108" t="s">
        <v>284</v>
      </c>
      <c r="C260" s="109" t="s">
        <v>264</v>
      </c>
      <c r="G260" s="116"/>
      <c r="H260" s="116"/>
    </row>
    <row r="261" ht="14.25" customHeight="1">
      <c r="A261" s="108">
        <v>2.0</v>
      </c>
      <c r="B261" s="108">
        <v>2997.0</v>
      </c>
      <c r="C261" s="109" t="s">
        <v>260</v>
      </c>
      <c r="G261" s="116"/>
      <c r="H261" s="116"/>
    </row>
    <row r="262" ht="14.25" customHeight="1">
      <c r="A262" s="108">
        <v>2.0</v>
      </c>
      <c r="B262" s="108">
        <f t="shared" ref="B262:B263" si="19">B261+1</f>
        <v>2998</v>
      </c>
      <c r="C262" s="109" t="s">
        <v>260</v>
      </c>
      <c r="G262" s="116"/>
      <c r="H262" s="116"/>
    </row>
    <row r="263" ht="14.25" customHeight="1">
      <c r="A263" s="108">
        <v>2.0</v>
      </c>
      <c r="B263" s="108">
        <f t="shared" si="19"/>
        <v>2999</v>
      </c>
      <c r="C263" s="109" t="s">
        <v>260</v>
      </c>
      <c r="G263" s="116"/>
      <c r="H263" s="116"/>
    </row>
    <row r="264" ht="14.25" customHeight="1">
      <c r="A264" s="108">
        <v>2.0</v>
      </c>
      <c r="B264" s="108" t="s">
        <v>285</v>
      </c>
      <c r="C264" s="109" t="s">
        <v>260</v>
      </c>
      <c r="G264" s="116"/>
      <c r="H264" s="116"/>
    </row>
    <row r="265" ht="14.25" customHeight="1">
      <c r="A265" s="118" t="s">
        <v>286</v>
      </c>
      <c r="G265" s="116"/>
      <c r="H265" s="116"/>
    </row>
    <row r="266" ht="14.25" customHeight="1">
      <c r="G266" s="116"/>
      <c r="H266" s="116"/>
    </row>
    <row r="267" ht="14.25" customHeight="1">
      <c r="A267" s="118" t="s">
        <v>287</v>
      </c>
      <c r="G267" s="116"/>
      <c r="H267" s="116"/>
    </row>
    <row r="268" ht="14.25" customHeight="1">
      <c r="A268" s="108">
        <v>30.0</v>
      </c>
      <c r="B268" s="108">
        <v>44190.0</v>
      </c>
      <c r="C268" s="109" t="s">
        <v>266</v>
      </c>
      <c r="G268" s="116"/>
      <c r="H268" s="116"/>
    </row>
    <row r="269" ht="14.25" customHeight="1">
      <c r="A269" s="108">
        <v>30.0</v>
      </c>
      <c r="B269" s="108">
        <f t="shared" ref="B269:B272" si="20">B268+1</f>
        <v>44191</v>
      </c>
      <c r="C269" s="109" t="s">
        <v>266</v>
      </c>
      <c r="G269" s="116"/>
      <c r="H269" s="116"/>
    </row>
    <row r="270" ht="14.25" customHeight="1">
      <c r="A270" s="108">
        <v>30.0</v>
      </c>
      <c r="B270" s="108">
        <f t="shared" si="20"/>
        <v>44192</v>
      </c>
      <c r="C270" s="109" t="s">
        <v>266</v>
      </c>
      <c r="G270" s="116"/>
      <c r="H270" s="116"/>
    </row>
    <row r="271" ht="14.25" customHeight="1">
      <c r="A271" s="108">
        <v>30.0</v>
      </c>
      <c r="B271" s="108">
        <f t="shared" si="20"/>
        <v>44193</v>
      </c>
      <c r="C271" s="109" t="s">
        <v>266</v>
      </c>
      <c r="G271" s="116"/>
      <c r="H271" s="116"/>
    </row>
    <row r="272" ht="14.25" customHeight="1">
      <c r="A272" s="108">
        <v>30.0</v>
      </c>
      <c r="B272" s="108">
        <f t="shared" si="20"/>
        <v>44194</v>
      </c>
      <c r="C272" s="109" t="s">
        <v>266</v>
      </c>
      <c r="G272" s="116"/>
      <c r="H272" s="116"/>
    </row>
    <row r="273" ht="14.25" customHeight="1">
      <c r="A273" s="108">
        <v>30.0</v>
      </c>
      <c r="B273" s="108" t="s">
        <v>288</v>
      </c>
      <c r="C273" s="109" t="s">
        <v>266</v>
      </c>
      <c r="G273" s="116"/>
      <c r="H273" s="116"/>
    </row>
    <row r="274" ht="14.25" customHeight="1">
      <c r="A274" s="108">
        <v>30.0</v>
      </c>
      <c r="B274" s="108">
        <v>44281.0</v>
      </c>
      <c r="C274" s="109" t="s">
        <v>289</v>
      </c>
      <c r="G274" s="116"/>
      <c r="H274" s="116"/>
    </row>
    <row r="275" ht="14.25" customHeight="1">
      <c r="A275" s="108">
        <v>30.0</v>
      </c>
      <c r="B275" s="108">
        <f t="shared" ref="B275:B278" si="21">B274+1</f>
        <v>44282</v>
      </c>
      <c r="C275" s="109" t="s">
        <v>289</v>
      </c>
      <c r="G275" s="116"/>
      <c r="H275" s="116"/>
    </row>
    <row r="276" ht="14.25" customHeight="1">
      <c r="A276" s="108">
        <v>30.0</v>
      </c>
      <c r="B276" s="108">
        <f t="shared" si="21"/>
        <v>44283</v>
      </c>
      <c r="C276" s="109" t="s">
        <v>289</v>
      </c>
      <c r="G276" s="116"/>
      <c r="H276" s="116"/>
    </row>
    <row r="277" ht="14.25" customHeight="1">
      <c r="A277" s="108">
        <v>30.0</v>
      </c>
      <c r="B277" s="108">
        <f t="shared" si="21"/>
        <v>44284</v>
      </c>
      <c r="C277" s="109" t="s">
        <v>289</v>
      </c>
      <c r="G277" s="116"/>
      <c r="H277" s="116"/>
    </row>
    <row r="278" ht="14.25" customHeight="1">
      <c r="A278" s="108">
        <v>30.0</v>
      </c>
      <c r="B278" s="108">
        <f t="shared" si="21"/>
        <v>44285</v>
      </c>
      <c r="C278" s="109" t="s">
        <v>289</v>
      </c>
      <c r="G278" s="116"/>
      <c r="H278" s="116"/>
    </row>
    <row r="279" ht="14.25" customHeight="1">
      <c r="A279" s="108">
        <v>30.0</v>
      </c>
      <c r="B279" s="108" t="s">
        <v>290</v>
      </c>
      <c r="C279" s="109" t="s">
        <v>289</v>
      </c>
      <c r="G279" s="116"/>
      <c r="H279" s="116"/>
    </row>
    <row r="280" ht="14.25" customHeight="1">
      <c r="A280" s="108">
        <v>30.0</v>
      </c>
      <c r="B280" s="108">
        <v>44311.0</v>
      </c>
      <c r="C280" s="109" t="s">
        <v>291</v>
      </c>
      <c r="G280" s="116"/>
      <c r="H280" s="116"/>
    </row>
    <row r="281" ht="14.25" customHeight="1">
      <c r="A281" s="108">
        <v>30.0</v>
      </c>
      <c r="B281" s="108">
        <f t="shared" ref="B281:B283" si="22">B280+1</f>
        <v>44312</v>
      </c>
      <c r="C281" s="109" t="s">
        <v>291</v>
      </c>
      <c r="G281" s="116"/>
      <c r="H281" s="116"/>
    </row>
    <row r="282" ht="14.25" customHeight="1">
      <c r="A282" s="108">
        <v>30.0</v>
      </c>
      <c r="B282" s="108">
        <f t="shared" si="22"/>
        <v>44313</v>
      </c>
      <c r="C282" s="109" t="s">
        <v>291</v>
      </c>
      <c r="G282" s="116"/>
      <c r="H282" s="116"/>
    </row>
    <row r="283" ht="14.25" customHeight="1">
      <c r="A283" s="108">
        <v>30.0</v>
      </c>
      <c r="B283" s="108">
        <f t="shared" si="22"/>
        <v>44314</v>
      </c>
      <c r="C283" s="109" t="s">
        <v>291</v>
      </c>
      <c r="G283" s="116"/>
      <c r="H283" s="116"/>
    </row>
    <row r="284" ht="14.25" customHeight="1">
      <c r="A284" s="108">
        <v>30.0</v>
      </c>
      <c r="B284" s="108" t="s">
        <v>292</v>
      </c>
      <c r="C284" s="109" t="s">
        <v>291</v>
      </c>
      <c r="G284" s="116"/>
      <c r="H284" s="116"/>
    </row>
    <row r="285" ht="14.25" customHeight="1">
      <c r="A285" s="108">
        <v>30.0</v>
      </c>
      <c r="B285" s="108">
        <v>44326.0</v>
      </c>
      <c r="C285" s="109" t="s">
        <v>270</v>
      </c>
      <c r="G285" s="116"/>
      <c r="H285" s="116"/>
    </row>
    <row r="286" ht="14.25" customHeight="1">
      <c r="A286" s="108">
        <v>30.0</v>
      </c>
      <c r="B286" s="108">
        <f t="shared" ref="B286:B288" si="23">B285+1</f>
        <v>44327</v>
      </c>
      <c r="C286" s="109" t="s">
        <v>270</v>
      </c>
      <c r="G286" s="116"/>
      <c r="H286" s="116"/>
    </row>
    <row r="287" ht="14.25" customHeight="1">
      <c r="A287" s="108">
        <v>30.0</v>
      </c>
      <c r="B287" s="108">
        <f t="shared" si="23"/>
        <v>44328</v>
      </c>
      <c r="C287" s="109" t="s">
        <v>270</v>
      </c>
      <c r="G287" s="116"/>
      <c r="H287" s="116"/>
    </row>
    <row r="288" ht="14.25" customHeight="1">
      <c r="A288" s="108">
        <v>30.0</v>
      </c>
      <c r="B288" s="108">
        <f t="shared" si="23"/>
        <v>44329</v>
      </c>
      <c r="C288" s="109" t="s">
        <v>270</v>
      </c>
      <c r="G288" s="116"/>
      <c r="H288" s="116"/>
    </row>
    <row r="289" ht="14.25" customHeight="1">
      <c r="A289" s="108">
        <v>30.0</v>
      </c>
      <c r="B289" s="108" t="s">
        <v>293</v>
      </c>
      <c r="C289" s="109" t="s">
        <v>270</v>
      </c>
      <c r="G289" s="116"/>
      <c r="H289" s="116"/>
    </row>
    <row r="290" ht="14.25" customHeight="1">
      <c r="A290" s="108">
        <v>30.0</v>
      </c>
      <c r="B290" s="108">
        <v>44341.0</v>
      </c>
      <c r="C290" s="109" t="s">
        <v>271</v>
      </c>
      <c r="G290" s="116"/>
      <c r="H290" s="116"/>
    </row>
    <row r="291" ht="14.25" customHeight="1">
      <c r="A291" s="108">
        <v>30.0</v>
      </c>
      <c r="B291" s="108">
        <f t="shared" ref="B291:B293" si="24">B290+1</f>
        <v>44342</v>
      </c>
      <c r="C291" s="109" t="s">
        <v>271</v>
      </c>
      <c r="G291" s="116"/>
      <c r="H291" s="116"/>
    </row>
    <row r="292" ht="14.25" customHeight="1">
      <c r="A292" s="108">
        <v>30.0</v>
      </c>
      <c r="B292" s="108">
        <f t="shared" si="24"/>
        <v>44343</v>
      </c>
      <c r="C292" s="109" t="s">
        <v>271</v>
      </c>
      <c r="G292" s="116"/>
      <c r="H292" s="116"/>
    </row>
    <row r="293" ht="14.25" customHeight="1">
      <c r="A293" s="108">
        <v>30.0</v>
      </c>
      <c r="B293" s="108">
        <f t="shared" si="24"/>
        <v>44344</v>
      </c>
      <c r="C293" s="109" t="s">
        <v>271</v>
      </c>
      <c r="G293" s="116"/>
      <c r="H293" s="116"/>
    </row>
    <row r="294" ht="14.25" customHeight="1">
      <c r="A294" s="108">
        <v>30.0</v>
      </c>
      <c r="B294" s="108" t="s">
        <v>294</v>
      </c>
      <c r="C294" s="109" t="s">
        <v>271</v>
      </c>
      <c r="G294" s="116"/>
      <c r="H294" s="116"/>
    </row>
    <row r="295" ht="14.25" customHeight="1">
      <c r="A295" s="108"/>
      <c r="B295" s="108"/>
      <c r="G295" s="116"/>
      <c r="H295" s="116"/>
    </row>
    <row r="296" ht="14.25" customHeight="1">
      <c r="A296" s="108"/>
      <c r="B296" s="108"/>
      <c r="G296" s="116"/>
      <c r="H296" s="116"/>
    </row>
  </sheetData>
  <mergeCells count="6">
    <mergeCell ref="G1:H1"/>
    <mergeCell ref="G3:H3"/>
    <mergeCell ref="G10:H10"/>
    <mergeCell ref="G21:H21"/>
    <mergeCell ref="A265:C266"/>
    <mergeCell ref="A267:C267"/>
  </mergeCells>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6.25"/>
    <col customWidth="1" min="3" max="3" width="19.13"/>
    <col customWidth="1" min="4" max="8" width="16.25"/>
    <col customWidth="1" min="9" max="9" width="12.75"/>
    <col customWidth="1" min="10" max="10" width="16.25"/>
    <col customWidth="1" min="11" max="11" width="12.88"/>
    <col customWidth="1" min="12" max="13" width="16.25"/>
  </cols>
  <sheetData>
    <row r="1" ht="65.25" customHeight="1">
      <c r="A1" s="119" t="s">
        <v>165</v>
      </c>
      <c r="B1" s="119" t="s">
        <v>166</v>
      </c>
      <c r="C1" s="119" t="s">
        <v>167</v>
      </c>
      <c r="D1" s="119" t="s">
        <v>168</v>
      </c>
      <c r="E1" s="119" t="s">
        <v>169</v>
      </c>
      <c r="F1" s="120" t="s">
        <v>170</v>
      </c>
      <c r="G1" s="97" t="s">
        <v>171</v>
      </c>
      <c r="H1" s="121" t="s">
        <v>172</v>
      </c>
      <c r="I1" s="119" t="s">
        <v>173</v>
      </c>
      <c r="J1" s="119" t="s">
        <v>174</v>
      </c>
      <c r="K1" s="119" t="s">
        <v>295</v>
      </c>
      <c r="L1" s="119" t="s">
        <v>176</v>
      </c>
      <c r="M1" s="122"/>
    </row>
    <row r="2" ht="52.5" customHeight="1">
      <c r="A2" s="123" t="s">
        <v>296</v>
      </c>
      <c r="B2" s="123" t="s">
        <v>297</v>
      </c>
      <c r="C2" s="123" t="s">
        <v>298</v>
      </c>
      <c r="D2" s="123" t="s">
        <v>299</v>
      </c>
      <c r="E2" s="123" t="s">
        <v>300</v>
      </c>
      <c r="F2" s="123" t="s">
        <v>301</v>
      </c>
      <c r="G2" s="123" t="s">
        <v>302</v>
      </c>
      <c r="H2" s="123" t="s">
        <v>303</v>
      </c>
      <c r="I2" s="123" t="s">
        <v>185</v>
      </c>
      <c r="J2" s="123" t="s">
        <v>304</v>
      </c>
      <c r="K2" s="123" t="s">
        <v>305</v>
      </c>
      <c r="L2" s="123" t="s">
        <v>306</v>
      </c>
      <c r="M2" s="122"/>
    </row>
    <row r="3">
      <c r="A3" s="123" t="s">
        <v>307</v>
      </c>
      <c r="B3" s="123" t="s">
        <v>308</v>
      </c>
      <c r="C3" s="123" t="s">
        <v>309</v>
      </c>
      <c r="D3" s="123" t="s">
        <v>299</v>
      </c>
      <c r="E3" s="123" t="s">
        <v>310</v>
      </c>
      <c r="F3" s="123" t="s">
        <v>311</v>
      </c>
      <c r="G3" s="123" t="s">
        <v>312</v>
      </c>
      <c r="H3" s="123" t="s">
        <v>313</v>
      </c>
      <c r="I3" s="123" t="s">
        <v>196</v>
      </c>
      <c r="J3" s="123" t="s">
        <v>314</v>
      </c>
      <c r="K3" s="123" t="s">
        <v>315</v>
      </c>
      <c r="L3" s="123" t="s">
        <v>316</v>
      </c>
      <c r="M3" s="122"/>
    </row>
    <row r="4" ht="49.5" customHeight="1">
      <c r="A4" s="123" t="s">
        <v>317</v>
      </c>
      <c r="B4" s="123" t="s">
        <v>242</v>
      </c>
      <c r="C4" s="123" t="s">
        <v>318</v>
      </c>
      <c r="D4" s="123" t="s">
        <v>319</v>
      </c>
      <c r="E4" s="123" t="s">
        <v>320</v>
      </c>
      <c r="F4" s="123" t="s">
        <v>321</v>
      </c>
      <c r="G4" s="123" t="s">
        <v>322</v>
      </c>
      <c r="H4" s="123" t="s">
        <v>323</v>
      </c>
      <c r="I4" s="123" t="s">
        <v>185</v>
      </c>
      <c r="J4" s="123" t="s">
        <v>324</v>
      </c>
      <c r="K4" s="123">
        <v>7.0</v>
      </c>
      <c r="L4" s="123" t="s">
        <v>325</v>
      </c>
      <c r="M4" s="124"/>
    </row>
    <row r="5" ht="42.75" customHeight="1">
      <c r="A5" s="123">
        <v>7.0</v>
      </c>
      <c r="B5" s="123" t="s">
        <v>326</v>
      </c>
      <c r="C5" s="123" t="s">
        <v>327</v>
      </c>
      <c r="D5" s="123" t="s">
        <v>319</v>
      </c>
      <c r="E5" s="123" t="s">
        <v>328</v>
      </c>
      <c r="F5" s="123" t="s">
        <v>329</v>
      </c>
      <c r="G5" s="123" t="s">
        <v>330</v>
      </c>
      <c r="H5" s="123" t="s">
        <v>331</v>
      </c>
      <c r="I5" s="123" t="s">
        <v>185</v>
      </c>
      <c r="J5" s="123" t="s">
        <v>332</v>
      </c>
      <c r="K5" s="123">
        <v>1.0</v>
      </c>
      <c r="L5" s="123" t="s">
        <v>333</v>
      </c>
      <c r="M5" s="124"/>
    </row>
    <row r="6" ht="27.75" customHeight="1">
      <c r="A6" s="123">
        <v>8.0</v>
      </c>
      <c r="B6" s="123" t="s">
        <v>245</v>
      </c>
      <c r="C6" s="123" t="s">
        <v>334</v>
      </c>
      <c r="D6" s="123" t="s">
        <v>299</v>
      </c>
      <c r="E6" s="123" t="s">
        <v>335</v>
      </c>
      <c r="F6" s="123" t="s">
        <v>336</v>
      </c>
      <c r="G6" s="123" t="s">
        <v>337</v>
      </c>
      <c r="H6" s="123" t="s">
        <v>338</v>
      </c>
      <c r="I6" s="123" t="s">
        <v>196</v>
      </c>
      <c r="J6" s="123" t="s">
        <v>326</v>
      </c>
      <c r="K6" s="123">
        <v>1.0</v>
      </c>
      <c r="L6" s="123" t="s">
        <v>339</v>
      </c>
      <c r="M6" s="124"/>
    </row>
    <row r="7" ht="41.25" customHeight="1">
      <c r="A7" s="123">
        <v>9.0</v>
      </c>
      <c r="B7" s="123" t="s">
        <v>340</v>
      </c>
      <c r="C7" s="123" t="s">
        <v>341</v>
      </c>
      <c r="D7" s="123" t="s">
        <v>299</v>
      </c>
      <c r="E7" s="125" t="s">
        <v>342</v>
      </c>
      <c r="F7" s="123" t="s">
        <v>343</v>
      </c>
      <c r="G7" s="123" t="s">
        <v>344</v>
      </c>
      <c r="H7" s="123" t="s">
        <v>345</v>
      </c>
      <c r="I7" s="123" t="s">
        <v>196</v>
      </c>
      <c r="J7" s="123" t="s">
        <v>245</v>
      </c>
      <c r="K7" s="123">
        <v>178.0</v>
      </c>
      <c r="L7" s="123" t="s">
        <v>346</v>
      </c>
      <c r="M7" s="124"/>
    </row>
    <row r="8">
      <c r="A8" s="123">
        <v>187.0</v>
      </c>
      <c r="B8" s="123" t="s">
        <v>347</v>
      </c>
      <c r="C8" s="123" t="s">
        <v>348</v>
      </c>
      <c r="D8" s="123" t="s">
        <v>349</v>
      </c>
      <c r="E8" s="123" t="s">
        <v>350</v>
      </c>
      <c r="F8" s="123" t="s">
        <v>351</v>
      </c>
      <c r="G8" s="123" t="s">
        <v>352</v>
      </c>
      <c r="H8" s="123" t="s">
        <v>353</v>
      </c>
      <c r="I8" s="123" t="s">
        <v>196</v>
      </c>
      <c r="J8" s="123" t="s">
        <v>354</v>
      </c>
      <c r="K8" s="123">
        <v>44.0</v>
      </c>
      <c r="L8" s="123" t="s">
        <v>355</v>
      </c>
      <c r="M8" s="124"/>
    </row>
    <row r="9">
      <c r="A9" s="123">
        <v>907.0</v>
      </c>
      <c r="B9" s="123" t="s">
        <v>356</v>
      </c>
      <c r="C9" s="123" t="s">
        <v>357</v>
      </c>
      <c r="D9" s="123" t="s">
        <v>202</v>
      </c>
      <c r="E9" s="123" t="s">
        <v>358</v>
      </c>
      <c r="F9" s="123" t="s">
        <v>359</v>
      </c>
      <c r="G9" s="123" t="s">
        <v>360</v>
      </c>
      <c r="H9" s="123" t="s">
        <v>361</v>
      </c>
      <c r="I9" s="123" t="s">
        <v>196</v>
      </c>
      <c r="J9" s="123" t="s">
        <v>362</v>
      </c>
      <c r="K9" s="123">
        <v>160.0</v>
      </c>
      <c r="L9" s="123" t="s">
        <v>363</v>
      </c>
      <c r="M9" s="124"/>
    </row>
    <row r="10">
      <c r="A10" s="123">
        <v>1067.0</v>
      </c>
      <c r="B10" s="123" t="s">
        <v>364</v>
      </c>
      <c r="C10" s="123" t="s">
        <v>365</v>
      </c>
      <c r="D10" s="123" t="s">
        <v>202</v>
      </c>
      <c r="E10" s="123" t="s">
        <v>366</v>
      </c>
      <c r="F10" s="123" t="s">
        <v>367</v>
      </c>
      <c r="G10" s="123" t="s">
        <v>368</v>
      </c>
      <c r="H10" s="123" t="s">
        <v>369</v>
      </c>
      <c r="I10" s="123" t="s">
        <v>196</v>
      </c>
      <c r="J10" s="123" t="s">
        <v>370</v>
      </c>
      <c r="K10" s="123">
        <v>43200.0</v>
      </c>
      <c r="L10" s="123" t="s">
        <v>371</v>
      </c>
      <c r="M10" s="124"/>
    </row>
    <row r="11">
      <c r="A11" s="123">
        <v>1402.0</v>
      </c>
      <c r="B11" s="123" t="s">
        <v>372</v>
      </c>
      <c r="C11" s="123" t="s">
        <v>373</v>
      </c>
      <c r="D11" s="123" t="s">
        <v>191</v>
      </c>
      <c r="E11" s="123" t="s">
        <v>374</v>
      </c>
      <c r="F11" s="123" t="s">
        <v>375</v>
      </c>
      <c r="G11" s="123" t="s">
        <v>376</v>
      </c>
      <c r="H11" s="123" t="s">
        <v>377</v>
      </c>
      <c r="I11" s="123" t="s">
        <v>196</v>
      </c>
      <c r="J11" s="123" t="s">
        <v>378</v>
      </c>
      <c r="K11" s="123">
        <v>90.0</v>
      </c>
      <c r="L11" s="123" t="s">
        <v>379</v>
      </c>
      <c r="M11" s="124"/>
    </row>
    <row r="12">
      <c r="A12" s="123">
        <v>44190.0</v>
      </c>
      <c r="B12" s="123" t="s">
        <v>380</v>
      </c>
      <c r="C12" s="123" t="s">
        <v>381</v>
      </c>
      <c r="D12" s="123" t="s">
        <v>382</v>
      </c>
      <c r="E12" s="123" t="s">
        <v>383</v>
      </c>
      <c r="F12" s="125" t="s">
        <v>384</v>
      </c>
      <c r="G12" s="123" t="s">
        <v>385</v>
      </c>
      <c r="H12" s="123" t="s">
        <v>386</v>
      </c>
      <c r="I12" s="123" t="s">
        <v>233</v>
      </c>
      <c r="J12" s="123" t="s">
        <v>387</v>
      </c>
      <c r="K12" s="123">
        <v>210.0</v>
      </c>
      <c r="L12" s="123" t="s">
        <v>388</v>
      </c>
      <c r="M12" s="124"/>
    </row>
    <row r="13" ht="14.25" customHeight="1">
      <c r="A13" s="98"/>
      <c r="B13" s="98"/>
      <c r="C13" s="98"/>
      <c r="D13" s="98"/>
      <c r="E13" s="98"/>
      <c r="F13" s="98"/>
      <c r="G13" s="98"/>
      <c r="H13" s="98"/>
      <c r="I13" s="98"/>
      <c r="J13" s="98"/>
      <c r="K13" s="98"/>
      <c r="L13" s="98"/>
    </row>
  </sheetData>
  <printOptions/>
  <pageMargins bottom="0.75" footer="0.0" header="0.0" left="0.7" right="0.7" top="0.75"/>
  <pageSetup scale="91" orientation="landscape"/>
  <drawing r:id="rId1"/>
</worksheet>
</file>
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 &amp; Objectives" sheetId="1" r:id="rId5"/>
    <sheet state="visible" name="Requirements" sheetId="2" r:id="rId6"/>
    <sheet state="visible" name="Payload" sheetId="3" r:id="rId7"/>
    <sheet state="visible" name="Outline Key Phases of the Missi" sheetId="4" r:id="rId8"/>
    <sheet state="hidden" name="ImplementationStatus" sheetId="5" r:id="rId9"/>
    <sheet state="visible" name="Concept of Operations Timeline" sheetId="6" r:id="rId10"/>
    <sheet state="visible" name="minute-by-minute breakdown" sheetId="7" r:id="rId11"/>
  </sheets>
  <definedNames/>
  <calcPr/>
</workbook>
</file>

<file path=xl/sharedStrings.xml><?xml version="1.0" encoding="utf-8"?>
<sst xmlns="http://schemas.openxmlformats.org/spreadsheetml/2006/main" count="695" uniqueCount="518">
  <si>
    <t xml:space="preserve"> </t>
  </si>
  <si>
    <t>Level</t>
  </si>
  <si>
    <t>OBJECTIVES &amp; REQUIREMENTS</t>
  </si>
  <si>
    <t>Objective or Requirement Statement</t>
  </si>
  <si>
    <t>Date Last Updated</t>
  </si>
  <si>
    <t>Source(s)</t>
  </si>
  <si>
    <t>System/ Subsystem(s) Affected?</t>
  </si>
  <si>
    <t>Status?</t>
  </si>
  <si>
    <t>CHANGE LOG</t>
  </si>
  <si>
    <t>Revisions to the Objective/ Requirement</t>
  </si>
  <si>
    <t>Reasons/ Justification</t>
  </si>
  <si>
    <t>ASSOCIATED RISKS</t>
  </si>
  <si>
    <t>Associated Risks with Requirement</t>
  </si>
  <si>
    <t>VERIFICATION &amp; VALIDATION (V&amp;V)</t>
  </si>
  <si>
    <t>Testing Method</t>
  </si>
  <si>
    <t>Verification Plan</t>
  </si>
  <si>
    <t>Validation Plan</t>
  </si>
  <si>
    <t>Any Pre-Actions Needed?</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</si>
  <si>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</si>
  <si>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System, Subsystem, or Component Level?</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</si>
  <si>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</si>
  <si>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</si>
  <si>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</si>
  <si>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</si>
  <si>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t>Accomplished or unaccomplished?</t>
  </si>
  <si>
    <t>List by chronological order, with most recent revisions FIRST. Include... (year.month.date) Revision 1 comment, (year.month.date) Revision 2 comment</t>
  </si>
  <si>
    <t>Why was the revision made?</t>
  </si>
  <si>
    <t>List the associated risk numbers.</t>
  </si>
  <si>
    <t>Verification - Does it meet the specification need? Are we building our product right?</t>
  </si>
  <si>
    <t>Validation - Does it meet the customer need? Did we build the right product?</t>
  </si>
  <si>
    <t>MISSION STATEMENT</t>
  </si>
  <si>
    <t>The multi-agent Europa surface system shall autonomously characterize the ice shell and identify a cryobot insertion site, operating without real-time Earth support.</t>
  </si>
  <si>
    <t>-</t>
  </si>
  <si>
    <t>OBJ.01</t>
  </si>
  <si>
    <t>System Level</t>
  </si>
  <si>
    <t>The system shall demonstrate autonomous multi-agent coordination and consensus-based decision making without Earth communication links</t>
  </si>
  <si>
    <t>This objective addresses the multi-agent coordination shortfall ranked 139th in NASA's Civil Space Technology Shortfall Rankings, which identifies cooperative task planning as a near-term priority (STMD]</t>
  </si>
  <si>
    <t>OBJ.02</t>
  </si>
  <si>
    <t>Subsystem Mobility</t>
  </si>
  <si>
    <t>The rover shall traverse Europa's surface terrain and maintain localization using onboard sensors and inter-agent ranging</t>
  </si>
  <si>
    <t>This objective addresses NASA's identified gap in autonomous navigation without Earth-based support, as stated in the FY 2026-2027 SBIR solicitation Topic COMNAV.1.S26B [SBIR]</t>
  </si>
  <si>
    <t>OBJ.03</t>
  </si>
  <si>
    <t>Subsystem Science/Payload</t>
  </si>
  <si>
    <t>The system shall characterize ice shell thickness using a ground penetrating radar sounder and identify candidate insertion sites</t>
  </si>
  <si>
    <t>This objective supports the science goals outlined in the Decadal Survey, which identifies Europa's subsurface ocean as a primary target for astrobiology and calls for characterization of the ice shell to assess habitability. [OWL]</t>
  </si>
  <si>
    <t>OBJ.04</t>
  </si>
  <si>
    <t>Subsystem COMMs</t>
  </si>
  <si>
    <t>The inter-agent mesh network shall maintain coordination under degraded connectivity and radiation induced faults</t>
  </si>
  <si>
    <t>This objective addresses NASA's identified gap in autonomous distributed spacecraft operations without Earth-based navigational support, per SBIR Topic COMNAV.1.S26B. [SBIR]</t>
  </si>
  <si>
    <t>Reasoning</t>
  </si>
  <si>
    <t xml:space="preserve">Notes For Final Presentation. </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</si>
  <si>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</si>
  <si>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</si>
  <si>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What work did you do for this requirement this semester</t>
  </si>
  <si>
    <t>REQ.01.01</t>
  </si>
  <si>
    <t>System [Mission level]</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</si>
  <si>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</si>
  <si>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</si>
  <si>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</si>
  <si>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</si>
  <si>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</si>
  <si>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Risk-01: Single-point autonomy failure with no fallback human override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</si>
  <si>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</si>
  <si>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</si>
  <si>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</si>
  <si>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REQ.01.02</t>
  </si>
  <si>
    <t>The system shall survive and maintain operational status after exposure to total ionizing dose of no less than 100 krad over the nominal mission lifetime.</t>
  </si>
  <si>
    <t>Jupiter's magnetosphere delivers radiation doses far exceeding near-Earth missions. Europas Clipper's radiation vault architecture targets ~100 krad as the design threshold. Radiation environment directly drives the shielded vault requirement. Traceable to OBJ.01</t>
  </si>
  <si>
    <r>
      <t xml:space="preserve">National Academies, Origins Worlds and Life Decadal Survey 2023–2032, </t>
    </r>
    <r>
      <rPr>
        <color rgb="FF1155CC"/>
        <u/>
      </rPr>
      <t>https://www.nationalacademies.org/read/26522</t>
    </r>
    <r>
      <rPr/>
      <t>; Galileo spacecraft radiation vault design heritage</t>
    </r>
  </si>
  <si>
    <t>System, Electronics, Power</t>
  </si>
  <si>
    <t>RISK-02: Accumulated single event upsets degrade consensus algorithm convergence before mission completion.</t>
  </si>
  <si>
    <t>Co-60 gamma irradiation of all radiation-sensitive components to 110 krad (10% margin). Monitor functional performance throughout exposure.</t>
  </si>
  <si>
    <t>Verify all components pass functional tests at end of life dose with no loss of required functionality</t>
  </si>
  <si>
    <t>Validate the integrated rover and relay nodes complete simulated mission operations after TID exposure.</t>
  </si>
  <si>
    <t>REQ.01.03</t>
  </si>
  <si>
    <t>The system shall maintain a minimum inter-agent network connectivity of two active relay nodes at all times during surface operations to ensure consensus is achievable.</t>
  </si>
  <si>
    <t>Consensus algorithms require a minimum connected graph to guarantee convergence. Two active relays plus a surface rover guarantee a 3-node connected topology as the minimum viable configuration. Traceable to OBJ.01 and OBJ.04.</t>
  </si>
  <si>
    <r>
      <t xml:space="preserve">NASA STMD Civil Space Technology Shortfall Rankings, Jul. 2024, </t>
    </r>
    <r>
      <rPr>
        <color rgb="FF1155CC"/>
        <u/>
      </rPr>
      <t>https://www.nasa.gov/wp-content/uploads/2024/07/civil-space-shortfall-ranking-july-2024.pdf</t>
    </r>
  </si>
  <si>
    <t>System, COMMs</t>
  </si>
  <si>
    <t>RISK-03: Simultaneous radiation-induced failure of multiple relay nodes isolating the surface rover.</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</si>
  <si>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</si>
  <si>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</si>
  <si>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Validate that the surface rover completes a traverse plan using map data from a degraded 2-relay configuration.</t>
  </si>
  <si>
    <t>REQ.02.01</t>
  </si>
  <si>
    <t>Subsystem [Operations Level] Mobility</t>
  </si>
  <si>
    <t>The surface robot shall maintain a localization accuracy of no worse than +-0.5 m relative to its last known position during any traverse segments up to 50 m in the absence of GPS.</t>
  </si>
  <si>
    <t>Cryobot insertion site selection requires meter-level positioning to match the radar identified thin ice candidate. +-0.5 over 59 m segments in consistent with visual odometry performance on Mars rovers. Traceable to OBJ.02</t>
  </si>
  <si>
    <t>NASA FY 2026-2027 SBIR Solicitation, Topic COMNAV.1.S26B; Mars Curiosity rover visual odometry heritage</t>
  </si>
  <si>
    <t>Mobility, GNC</t>
  </si>
  <si>
    <t>RISK-04: Ice surface texture homogeneity reducing visual odometry feature tracking quality.</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</si>
  <si>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</si>
  <si>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</si>
  <si>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</si>
  <si>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REQ.03.01</t>
  </si>
  <si>
    <t>Subsystem [Operations Level] Science / Payload</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</si>
  <si>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</si>
  <si>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</si>
  <si>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</si>
  <si>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Science/Payload, Power</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</si>
  <si>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</si>
  <si>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</si>
  <si>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</si>
  <si>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</si>
  <si>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REQ.04.01</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</si>
  <si>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</si>
  <si>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</si>
  <si>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</si>
  <si>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</si>
  <si>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</si>
  <si>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 xml:space="preserve">RISK-06: Radiation induced burst errors exceeding 30% packet loss on multiple links simultaneously, stalling consensus. </t>
  </si>
  <si>
    <t>Software-in-the-loop consensus simulation: Introduce 30% packet loss on each inter-agent link and measure convergence time across 100 test runs.</t>
  </si>
  <si>
    <t>Verify the consensus convergence time remains &lt;10 minutes across all 100 test runs with 30% packet loss.</t>
  </si>
  <si>
    <t>Validate that the rover initiates a traverse using a map update produced by the consensus protocol under the degraded link test condition.</t>
  </si>
  <si>
    <t>REQ.03.02</t>
  </si>
  <si>
    <t>Subsystem [Operation Level} Science / payload</t>
  </si>
  <si>
    <t>The radar sounder antenna shall be mounted such that the antenna boresight remains within +-5 of nadir during all active sounding operations; the rover shall halt traversal if the measured surface slope exceeds 20 to maintain pointing compliance.</t>
  </si>
  <si>
    <t>A nadir pointing antenna is required to minimize geometric error in the two-way travel time measurement. . Off nadir tilt reduces basal reflection return strength and introduces range error that degrades</t>
  </si>
  <si>
    <t xml:space="preserve"> National Academies, Origins Worlds and Life Decadal Survey 2023–2032; Europa Clipper REASON instrument documentation</t>
  </si>
  <si>
    <t>Science/Payload, Structures, Mobility</t>
  </si>
  <si>
    <t>RISK-05: Ice shell heterogeneity creating radar clutter that degrades thickness estimates; RISK-04: Ice surface texture reducing visual odometry quality (slope-stop logic dependency)</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</si>
  <si>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</si>
  <si>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</si>
  <si>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Validate that the rover correctly halts traversal and resumes sounding when slope threshold is exceeded during an analog terrain field test.</t>
  </si>
  <si>
    <t>REQ.03.03</t>
  </si>
  <si>
    <t>The rover power subsystem shall reserve a dedicated peak power allocation for radar sounder transmission pulses and shall command drive motor shutdown during each active sounding window to prevent power contention with the RTG continuous output.</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</si>
  <si>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</si>
  <si>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</si>
  <si>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Science/Payload, Power, Mobility</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</si>
  <si>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</si>
  <si>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</si>
  <si>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</si>
  <si>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</si>
  <si>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REQ.03.04</t>
  </si>
  <si>
    <t xml:space="preserve"> Subsystem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</si>
  <si>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</si>
  <si>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</si>
  <si>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</si>
  <si>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</si>
  <si>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</si>
  <si>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</si>
  <si>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</si>
  <si>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</si>
  <si>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REQ.05.01</t>
  </si>
  <si>
    <t>Subsystem [Operational Level] Thermal</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</si>
  <si>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</si>
  <si>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</si>
  <si>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National Academies, Origins Worlds and Life Decadal Survey 2023–2032; NASA RTG thermal heritage</t>
  </si>
  <si>
    <t>Thermal, Power, Structures</t>
  </si>
  <si>
    <t>RISK-07: Thermal control failure during extended night-mode causing battery cell damage and mission termination</t>
  </si>
  <si>
    <t>Thermal-Vacuum chamber test: Subject the integrated rover to Europa analog thermal cycling (90K surface, simulated RTG waste heat input) and monitor avionics and battery temperatures across a full 23 hour sol cycle including night-mode.</t>
  </si>
  <si>
    <t>Verify that avionics and battery temperatures remain within required bounds across three consecutive sol cycles in the thermal vacuum chamber with no active ground commands.</t>
  </si>
  <si>
    <t>Validate that the rover completes a simulated surface traverse sol following a full night-mode thermal cycle without any subsystem degradation or heater fault events.</t>
  </si>
  <si>
    <t>REQ.05.02</t>
  </si>
  <si>
    <t>Subsystem [Operations Level] CDH</t>
  </si>
  <si>
    <t>The command and data handling subsystem shall detect and autonomously recover from a single-event latchup in any processor core within 330 seconds of occurrence, restoring nominal operations without ground intervention, and shall log each latchup event to non-volatile memory with a timestamp and affected core identifier.</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</si>
  <si>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</si>
  <si>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National Academies, Origins Worlds and Life Decadal Survey 2023–2032; NASA STMD Civil Space Technology Shortfall Rankings, Jul. 2024; Galileo spacecraft radiation heritage</t>
  </si>
  <si>
    <t>CDH, Electronics</t>
  </si>
  <si>
    <t>Hardware-in-the-loop fault injection: Inject simulated single-event latchup signals into each processor core and measure time from latchup detection to nominal operation restoration across 50 test runs per core.</t>
  </si>
  <si>
    <t>Verify that the recovery from the latchup injection occurs within 30 seconds across all 50 test runs for each core, and that each event is correctly logged to non-volatile memory with timestamp and code ID.</t>
  </si>
  <si>
    <t>Validate that the rover autonomously continues a planned traverse sequence without human intervention following a lachup event injected mid-traverse during an analog mission simulation.</t>
  </si>
  <si>
    <t>REQ.05.03</t>
  </si>
  <si>
    <t>Subsystem [Operations Level] Power</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</si>
  <si>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</si>
  <si>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</si>
  <si>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NASA RTG power system heritage; Europa Clipper power budget architecture; NASA FY 2026–2027 SBIR Solicitation, Topic COMNAV.1.S26B</t>
  </si>
  <si>
    <t>Power, CDH, Thermal, Mobility</t>
  </si>
  <si>
    <t>RISK-02: Accumulated single event upsets degrade consensus algorithm convergence before mission completion. RISK-07: Thermal control failure during extended night-mode causing battery cell damage and mission termination</t>
  </si>
  <si>
    <t>Hardware-in-the-Loop power budget simulation: Run a full synthetic sol sequence with simultaneous drive, sounding, heating, and consensus relay operations and monitor RTG output margin continuously across 550 test cycles, including injected anomaly events.</t>
  </si>
  <si>
    <t>Verify that the total per-sol energy draw does not exceed 90% of RTG nominal output across all 50 test cycles, including cycles with injected anomaly events that trigger unschedules heater and relay draws.</t>
  </si>
  <si>
    <t>Validate that the rover completes a full simulated traverse sol with one injected latch up and one slope-stop event without triggering a power fault or dropping below that 10% reserve margin.</t>
  </si>
  <si>
    <t>REQ.06.01</t>
  </si>
  <si>
    <t>Subsystem [Operation Level] Mobility</t>
  </si>
  <si>
    <t>The rover shall autonomously plan and execute a surface traverrse of no less than 100m per sol across Europa analog terrain, pausing at intervals no greater than 100m along-track to perform a radar sounding stop, and shall resume traversal upon sounding completion without requiring a ground uplink.</t>
  </si>
  <si>
    <t>The mission objective requires building a spatially continuous subsurface ice map at &lt;100m along-track resolution (REQ.03.01). To meet that resolution the rover must stop and sound at least every 100m, then continue. With no real-time Earth support (REQ.01.01), the stop-and-sound cycle must be fully onboard. The 100m/sol minimum traverse rate ensures the science map grows at a pace consistent with the 30-sol surface operations window. Traceable to OBJ.02 and OBJ.03.</t>
  </si>
  <si>
    <t>National Academies, Origins Worlds and Life Decadal Survey 2023–2032; Europa Clipper REASON instrument documentation; NASA FY 2026–2027 SBIR Solicitation, Topic COMNAV.1.S26B</t>
  </si>
  <si>
    <t>Mobility, GNC, Science/Payload</t>
  </si>
  <si>
    <t>Field test on analog terrain: command the rover to execute a 100m traverse with stop-and-sound events at &lt;100m intervals and measure total traverse distance completed and number of sounding stops executed across 10 runs.</t>
  </si>
  <si>
    <t>Verify that the rover completes &gt;100m of traverse per simulated sol and executes a sounding stop at every &lt;100m interval across all 10 test runs without a ground uplink command.</t>
  </si>
  <si>
    <t>Validate that the subsurface map generated from a full simulated traverse sol contains valid radar traces at &lt;100m along-track spacing covering the full traverse distance.</t>
  </si>
  <si>
    <t>REQ.06.02</t>
  </si>
  <si>
    <t>The rover's onboard site-selection algorithm shall autonomously evaluate each NOMINAL-flagged radar trace against the cryobot insertion criteria (ice thickness &lt; 5 km, surface slope &lt; 20. terrain roughness index &lt;0.7) and shall flag a candidate insertion site within one sol of the criteria first being satisfied without a ground intervention.</t>
  </si>
  <si>
    <t>The terminal mission objective is identifying an optimal cryobot insertion site autonomously. With a 44-minute light delay, Earth cannot evaluate radar data and issue a site selection decision in real time. The onboard algorithm must continuously evaluate incoming traces and trigger the site flags as soon as conditions are met. The one-sol response bound ensures the mission does not waste traverse budget driving past a viable site. Traceable to OBJ.03.</t>
  </si>
  <si>
    <t>Science/Payload, CDH</t>
  </si>
  <si>
    <t xml:space="preserve">RISK-05: Ice shell heterogeneity creating radar clutter that degrades thickness estimates; </t>
  </si>
  <si>
    <t>Software-in-the-loop simulation: inject synthetic radar trace datasets containing pre-seed candidate sites at known positions and measure whether the onboard algorithm flags the correct site within one sol of the criteria being met across 50 test runs.</t>
  </si>
  <si>
    <t>Verify that the site-selection algorithm correctly flags all pre-seeded candidate sites within one sol of criteria satisfaction and produces zero false positive flags on CLUTTER or NOISE_FLOOR traces across all 50 runs,</t>
  </si>
  <si>
    <t>Validate that during an analog terrain field traverse, the algorithm flags a candidate site matching pre-surveyed thin-ice analog targets within one sol of the rover reaching the qualifying zone.</t>
  </si>
  <si>
    <t>REQ.06.03</t>
  </si>
  <si>
    <t>Subsystem [Operations Level] COMMs</t>
  </si>
  <si>
    <t>The rover shall autonomously transmit a daily science summary packet to the orbital relay network containing the sol's Daily Summary record (traverse distance, valid trace count, minimum ice thickness, candidate site count, and mean consensus convergence time) within 2 hours of completing each sol's radar data collection window, without requiring a ground-initiated downlink command/</t>
  </si>
  <si>
    <t>Earth-based scientists and mission planners require timely sol-by-sol progress data to assess whether mission objectives are being met and to prepare contingency plans within the non-deterministic relay window. With a 44-minute light delay, the rover cannot wait for a downlink command; it must autonomously initiate transmission when the data is ready. The 2-hour bound ensures the daily summary reaches before the next sol's traverse planning begins, maintaining operational cadence. Traceable to OBJ.01 and OBJ.04</t>
  </si>
  <si>
    <t>NASA STMD Civil Space Technology Shortfall Rankings, Jul. 2024; NASA FY 2026–2027 SBIR Solicitation, Topic COMNAV.1.S26B</t>
  </si>
  <si>
    <t>COMMS, CDH, Science/Payload</t>
  </si>
  <si>
    <t>RISK-06: Radiation induced burst errors exceeding 30% packet loss stalling consensus; RISK-05: Ice shell heterogeneity creating radar clutter that degrades thickness estimates</t>
  </si>
  <si>
    <t>Verify that the daily summary packet is autonomously transmitted and confirmed received at the relay node within 2 hours of data collection completion across all 30 test runs, including degraded-link runs.</t>
  </si>
  <si>
    <t>Validate that a complete daily summary record is successfully reconstructed from a compressed packet received through the inter-agent mesh under 30% packet loss conditions during an end-to-end mission simulation.</t>
  </si>
  <si>
    <t>Timestamp_UTC</t>
  </si>
  <si>
    <t>Sol</t>
  </si>
  <si>
    <t>Pressure_mbar</t>
  </si>
  <si>
    <t>AirTemp_C</t>
  </si>
  <si>
    <t>GroundTemp_C</t>
  </si>
  <si>
    <t>Humidity_pct</t>
  </si>
  <si>
    <t>WindSpeed_mps</t>
  </si>
  <si>
    <t>WindDir_deg</t>
  </si>
  <si>
    <t>Dust_OpticalDepth</t>
  </si>
  <si>
    <t>Radiation_Wm2</t>
  </si>
  <si>
    <t>Data_Quality_Flag</t>
  </si>
  <si>
    <t>Time (UTC or Mission Elapsed Time)</t>
  </si>
  <si>
    <t>Robot Function / Mode</t>
  </si>
  <si>
    <t>Primary Objective / Milestone</t>
  </si>
  <si>
    <t>Operation Mode (Teleop / Autonomous / Semi-Autonomous / Scripted)</t>
  </si>
  <si>
    <t>Inputs (e.g., command, signal, state)</t>
  </si>
  <si>
    <t>Expected Outputs (e.g., telemetry, sensor data)</t>
  </si>
  <si>
    <t>Data Products Generated</t>
  </si>
  <si>
    <t>Verification Method</t>
  </si>
  <si>
    <t>Associated Risk or Sensitivity (High/Med/Low)</t>
  </si>
  <si>
    <t>Dependencies / Predecessor Actions</t>
  </si>
  <si>
    <t>Estimated Duration</t>
  </si>
  <si>
    <t>Notes</t>
  </si>
  <si>
    <t>Launch day, 0-1 (Mission Elapsed Time)</t>
  </si>
  <si>
    <t>Launch And Commissioning</t>
  </si>
  <si>
    <t>Spacecraft Separation and initial health checks</t>
  </si>
  <si>
    <t>Scripted/Autonomous</t>
  </si>
  <si>
    <t>Launch vehicle separation signal, onboard startup sequences</t>
  </si>
  <si>
    <t>Spacecraft status telemetry, power system telemetry, communication link confirmation</t>
  </si>
  <si>
    <t>Initial spacecraft health report, subsystem status logs</t>
  </si>
  <si>
    <t>Verify successful separation communication establishment, and nominal subsystem health/</t>
  </si>
  <si>
    <t>High</t>
  </si>
  <si>
    <t>Successful vehicle loading and spacecraft deployment</t>
  </si>
  <si>
    <t>1 day</t>
  </si>
  <si>
    <t>Cruise Phase, Years 0-6</t>
  </si>
  <si>
    <t>Cruise And Approach</t>
  </si>
  <si>
    <t>Maintain spacecraft health and perform trajectory correction maneuvers</t>
  </si>
  <si>
    <t>Semi-Autonomous</t>
  </si>
  <si>
    <t>Ground-planned trajectory updates, star tracker measurements, navigation state estimates</t>
  </si>
  <si>
    <t>Navigation telemetry, spacecraft health telemetry, maneuver confirmation</t>
  </si>
  <si>
    <t>Trajectory correction logs, navigation solution history</t>
  </si>
  <si>
    <t>Verify trajectory remains within mission tolerance and all spacecraft systems remain operational</t>
  </si>
  <si>
    <t>Medium</t>
  </si>
  <si>
    <t>Completion of launch and commision phase</t>
  </si>
  <si>
    <t>~6 years</t>
  </si>
  <si>
    <t>Europa Orbital Insertion and Reconnaissance</t>
  </si>
  <si>
    <t>Europa Orbit Insertion And Orbital Reconnaissance</t>
  </si>
  <si>
    <t>Deploy orbital agents and identify suitable landing region</t>
  </si>
  <si>
    <t>Autonomous</t>
  </si>
  <si>
    <t>Orbital state estimates, terrain imaging data, radar survey measurements</t>
  </si>
  <si>
    <t>Surface maps, hazard maps, candidate landing sites</t>
  </si>
  <si>
    <t>Global terrain map, landing site assessment report</t>
  </si>
  <si>
    <t>Verify successful orbital insertion, orbiter deployment, and identification of viable landing zones.</t>
  </si>
  <si>
    <t>Successful arrival at Europa and orbital insertion burn</t>
  </si>
  <si>
    <t>30 Days</t>
  </si>
  <si>
    <t>Surface Operations Day 0-5</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</si>
  <si>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</si>
  <si>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</si>
  <si>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</si>
  <si>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</si>
  <si>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System checkout report, calibration datasets, local terrain map</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</si>
  <si>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</si>
  <si>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</si>
  <si>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</si>
  <si>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</si>
  <si>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</si>
  <si>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</si>
  <si>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</si>
  <si>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</si>
  <si>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</si>
  <si>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</si>
  <si>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Successful rover deployment and payload calibration</t>
  </si>
  <si>
    <t>Surface Operations Day 35-50</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</si>
  <si>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</si>
  <si>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</si>
  <si>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</si>
  <si>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</si>
  <si>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</si>
  <si>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Verify all science data successfully transmitted and spacecraft enters safe passivated state</t>
  </si>
  <si>
    <t>Low</t>
  </si>
  <si>
    <t>Completion of science objectives and final site selection</t>
  </si>
  <si>
    <t>15 days</t>
  </si>
  <si>
    <t>Requirement No.</t>
  </si>
  <si>
    <t>Source</t>
  </si>
  <si>
    <t>Requirement</t>
  </si>
  <si>
    <t>Implementation</t>
  </si>
  <si>
    <t>Validation Before TVC</t>
  </si>
  <si>
    <t>Status (MET/ WIP/ UNMET)</t>
  </si>
  <si>
    <t>Instructions (do not copy this column)</t>
  </si>
  <si>
    <t>Do not edit Columns A - C. To update them, use the "Requirements" sheet.</t>
  </si>
  <si>
    <t>In Column A, look for your subsystem's requirements.</t>
  </si>
  <si>
    <t>In Column D, state how you are implementing design / assembly / integration / testing plans to meet the requirement.</t>
  </si>
  <si>
    <t>In Column E, state the status - if the Requirement is Met, Unmet, or a Work in Progress (WIP) based on the Implementation description.</t>
  </si>
  <si>
    <t>Be sure to state in Column F if the Implementation/Status has been updated.</t>
  </si>
  <si>
    <t xml:space="preserve">Estimated Duration </t>
  </si>
  <si>
    <t>Launch Day</t>
  </si>
  <si>
    <t>Launch &amp; Commission</t>
  </si>
  <si>
    <t>Deploy Spacecraft And Establish Communications</t>
  </si>
  <si>
    <t>Launch  separation signal, startup sequences</t>
  </si>
  <si>
    <t>Telemetry, power status, comm link</t>
  </si>
  <si>
    <t>Initial health report</t>
  </si>
  <si>
    <t>Verify separation and subsystem health</t>
  </si>
  <si>
    <t>Launch vehicle deployment</t>
  </si>
  <si>
    <t>Mission Start</t>
  </si>
  <si>
    <t>Cruise Years 1-6</t>
  </si>
  <si>
    <t>Cruise &amp; Approach</t>
  </si>
  <si>
    <t>Transit To Europa</t>
  </si>
  <si>
    <t>Navigation measurements, trajectory updates</t>
  </si>
  <si>
    <t>Navigation telemetry</t>
  </si>
  <si>
    <t>Trajectory correction logs</t>
  </si>
  <si>
    <t>Verify trajectory tolerance</t>
  </si>
  <si>
    <t>Launch Complete</t>
  </si>
  <si>
    <t>6 years</t>
  </si>
  <si>
    <t>Periodic health monitoring</t>
  </si>
  <si>
    <t>Europa Arrival</t>
  </si>
  <si>
    <t>Europa  Orbit Insertion</t>
  </si>
  <si>
    <t>Achieve Stable Europa Orbit</t>
  </si>
  <si>
    <t>Orbital state measurements</t>
  </si>
  <si>
    <t>Orbital telemetry</t>
  </si>
  <si>
    <t>Orbit determination solution</t>
  </si>
  <si>
    <t>Verify stable orbit</t>
  </si>
  <si>
    <t>Cruise Complete</t>
  </si>
  <si>
    <t>Critical maneuver</t>
  </si>
  <si>
    <t>Orbit Day 1-15</t>
  </si>
  <si>
    <t>Terrain Mapping</t>
  </si>
  <si>
    <t>Generate Landing Candidates</t>
  </si>
  <si>
    <t>Orbital imagery, radar scans</t>
  </si>
  <si>
    <t>Hazard maps</t>
  </si>
  <si>
    <t>Global terrain maps</t>
  </si>
  <si>
    <t>Verify terrain coverage</t>
  </si>
  <si>
    <t>Orbit Insertion complete</t>
  </si>
  <si>
    <t>15 das</t>
  </si>
  <si>
    <t>Orbital Agent 1</t>
  </si>
  <si>
    <t>Orbit Day 15-30</t>
  </si>
  <si>
    <t>Communications Relay &amp; Localization Support</t>
  </si>
  <si>
    <t>Validate Landing Regions</t>
  </si>
  <si>
    <t>Orbital navigation data</t>
  </si>
  <si>
    <t>Localization updates</t>
  </si>
  <si>
    <t>Navigation support database</t>
  </si>
  <si>
    <t>Verify location accuracy</t>
  </si>
  <si>
    <t>Terrain Mapping complete</t>
  </si>
  <si>
    <t>Orbital Agent 2</t>
  </si>
  <si>
    <t>Surface Day 0</t>
  </si>
  <si>
    <t>Rover Landing</t>
  </si>
  <si>
    <t>Safe Landing</t>
  </si>
  <si>
    <t>Landing guidance sensors</t>
  </si>
  <si>
    <t>Landing telemetry</t>
  </si>
  <si>
    <t>Landing performance report</t>
  </si>
  <si>
    <t>Verify touchdown location</t>
  </si>
  <si>
    <t>Landing Site selected</t>
  </si>
  <si>
    <t>4 hrs</t>
  </si>
  <si>
    <t>Highest risk phase</t>
  </si>
  <si>
    <t>Surface Day 1</t>
  </si>
  <si>
    <t>Payload Initialization</t>
  </si>
  <si>
    <t>Activate Science Payloads</t>
  </si>
  <si>
    <t>Startup commands</t>
  </si>
  <si>
    <t>Instrument health telemetry</t>
  </si>
  <si>
    <t>Payload status report</t>
  </si>
  <si>
    <t>Verify payload functionality</t>
  </si>
  <si>
    <t>Landing Complete</t>
  </si>
  <si>
    <t>6 hrs</t>
  </si>
  <si>
    <t>New 2.4 activity</t>
  </si>
  <si>
    <t>Surface Day 1-2</t>
  </si>
  <si>
    <t>Radar Calibration</t>
  </si>
  <si>
    <t>Calibrate Radar Sonar</t>
  </si>
  <si>
    <t>Calibration routines</t>
  </si>
  <si>
    <t>Calibration measurements</t>
  </si>
  <si>
    <t>Calibration dataset</t>
  </si>
  <si>
    <t>Verify measurement accuracy</t>
  </si>
  <si>
    <t>Payload initialization complete</t>
  </si>
  <si>
    <t>Surface Day 2-5</t>
  </si>
  <si>
    <t>Traverse Planning</t>
  </si>
  <si>
    <t>Generate Survey Route</t>
  </si>
  <si>
    <t>Terrain maps, hazard maps</t>
  </si>
  <si>
    <t>Planned route</t>
  </si>
  <si>
    <t>Navigation plan</t>
  </si>
  <si>
    <t>Verify route safety</t>
  </si>
  <si>
    <t>Calibration complete</t>
  </si>
  <si>
    <t>3 days</t>
  </si>
  <si>
    <t>Surface Day 5-20</t>
  </si>
  <si>
    <t>Autonomous Navigation</t>
  </si>
  <si>
    <t>Transverse Survey Area</t>
  </si>
  <si>
    <t>Terrain maps, localization estimates</t>
  </si>
  <si>
    <t>Position updates</t>
  </si>
  <si>
    <t>Traverse logs</t>
  </si>
  <si>
    <t>Verify localization accuracy</t>
  </si>
  <si>
    <t>Route planning complete</t>
  </si>
  <si>
    <t>Expanded from 2.3</t>
  </si>
  <si>
    <t>Radar Data Collected</t>
  </si>
  <si>
    <t>Acquire Subsurface Measurements</t>
  </si>
  <si>
    <t>Radar returns</t>
  </si>
  <si>
    <t>Ice thickness estimates</t>
  </si>
  <si>
    <t>Radar profiles</t>
  </si>
  <si>
    <t>Verify coverage requirements</t>
  </si>
  <si>
    <t>Navigation Active</t>
  </si>
  <si>
    <t>Surface Day 10-22</t>
  </si>
  <si>
    <t>Subsurface Map Generation</t>
  </si>
  <si>
    <t>Create Ice-Shell Model</t>
  </si>
  <si>
    <t>Subsurface maps</t>
  </si>
  <si>
    <t>Ice thickness map</t>
  </si>
  <si>
    <t>Verify map completeness</t>
  </si>
  <si>
    <t>Data collection underway</t>
  </si>
  <si>
    <t>12 days</t>
  </si>
  <si>
    <t>Surface Day 22-26</t>
  </si>
  <si>
    <t>Consensus Validation</t>
  </si>
  <si>
    <t>Rank Candidate Cryobot Spots</t>
  </si>
  <si>
    <t>Terrain maps, Ice maps</t>
  </si>
  <si>
    <t>Site rankings</t>
  </si>
  <si>
    <t>Site evaluation report</t>
  </si>
  <si>
    <t>Verify selection criteria</t>
  </si>
  <si>
    <t>Map generation complete</t>
  </si>
  <si>
    <t>4 days</t>
  </si>
  <si>
    <t>Surface Day 26-28</t>
  </si>
  <si>
    <t>Cryobot Site selection</t>
  </si>
  <si>
    <t>Select Optimal Insertion Site</t>
  </si>
  <si>
    <t>Candidate rankings</t>
  </si>
  <si>
    <t>Selected coordinates</t>
  </si>
  <si>
    <t>Cryobot insertion package</t>
  </si>
  <si>
    <t>Verify mission criteria</t>
  </si>
  <si>
    <t>Consensus validation complete</t>
  </si>
  <si>
    <t>2 days</t>
  </si>
  <si>
    <t>Mission success metric</t>
  </si>
  <si>
    <t>Surface Day 29-30</t>
  </si>
  <si>
    <t>Data transmission &amp; End Mission</t>
  </si>
  <si>
    <t>Downlink Archive And Close Mission</t>
  </si>
  <si>
    <t>Science archive</t>
  </si>
  <si>
    <t>Archive transmission</t>
  </si>
  <si>
    <t>Final mission report</t>
  </si>
  <si>
    <t>Verify archive receipt</t>
  </si>
  <si>
    <t>Site selection complete</t>
  </si>
  <si>
    <t>Mission end</t>
  </si>
  <si>
    <t xml:space="preserve"> Mission Elapsed Time (min)</t>
  </si>
  <si>
    <t>Mode:  Sub-Activity</t>
  </si>
  <si>
    <t>Minute By Minute Ranges</t>
  </si>
  <si>
    <t>0-15</t>
  </si>
  <si>
    <t>Europa Descent And Landing</t>
  </si>
  <si>
    <t xml:space="preserve">Mode </t>
  </si>
  <si>
    <t>Duration (min)</t>
  </si>
  <si>
    <t>16-30</t>
  </si>
  <si>
    <t>Verify Successful Landing</t>
  </si>
  <si>
    <t>Initialization</t>
  </si>
  <si>
    <t>31-120</t>
  </si>
  <si>
    <t>Rover Commissioning And Health Checks</t>
  </si>
  <si>
    <t>121-180</t>
  </si>
  <si>
    <t>Orbital Communications Verification</t>
  </si>
  <si>
    <t>181-300</t>
  </si>
  <si>
    <t>Localization Initialization</t>
  </si>
  <si>
    <t>301-420</t>
  </si>
  <si>
    <t>Radar Payload Initialization</t>
  </si>
  <si>
    <t>421-540</t>
  </si>
  <si>
    <t>Radar Calibration And Validation</t>
  </si>
  <si>
    <t>541-720</t>
  </si>
  <si>
    <t>Initial Site Characterization</t>
  </si>
  <si>
    <t>721-1440</t>
  </si>
  <si>
    <t>Night Low-Power Thermal Management</t>
  </si>
  <si>
    <t>1441-1500</t>
  </si>
  <si>
    <t>Autonomous Traverse Plan</t>
  </si>
  <si>
    <t>1501-1560</t>
  </si>
  <si>
    <t>Orbital Terrain Mapping Update</t>
  </si>
  <si>
    <t>1561-1800</t>
  </si>
  <si>
    <t>Surface Survey Block A</t>
  </si>
  <si>
    <t>Activation State</t>
  </si>
  <si>
    <t>1801-1860</t>
  </si>
  <si>
    <t>Localization Verification</t>
  </si>
  <si>
    <t>1861-2100</t>
  </si>
  <si>
    <t>Radar Data Collection Block A</t>
  </si>
  <si>
    <t>2101-2190</t>
  </si>
  <si>
    <t>Communication Relay Pass</t>
  </si>
  <si>
    <t>2191-2400</t>
  </si>
  <si>
    <t>Surface Survey Block B</t>
  </si>
  <si>
    <t>2401-2880</t>
  </si>
  <si>
    <t>2881-2940</t>
  </si>
  <si>
    <t>Systems Warm-Up</t>
  </si>
  <si>
    <t>2941-3240</t>
  </si>
  <si>
    <t>Radar Data Collection Block B</t>
  </si>
  <si>
    <t>3241-3300</t>
  </si>
  <si>
    <t>Autonomous Hazard Assertion Plan</t>
  </si>
  <si>
    <t>3301-3540</t>
  </si>
  <si>
    <t>Surface Survey Block C</t>
  </si>
  <si>
    <t>3541-3630</t>
  </si>
  <si>
    <t>3631-3900</t>
  </si>
  <si>
    <t>Subsurface Ice Map Generation</t>
  </si>
  <si>
    <t>3900-4320</t>
  </si>
  <si>
    <t>STEADY STATE OPERATIONS</t>
  </si>
  <si>
    <t>Repeating Daily Cycle</t>
  </si>
  <si>
    <t>Steady State</t>
  </si>
  <si>
    <t>Survey Operations</t>
  </si>
  <si>
    <t>Radar Data Collection</t>
  </si>
  <si>
    <t>Communications Relay Pass</t>
  </si>
  <si>
    <t>Subsurface Ice Map Updates</t>
  </si>
  <si>
    <t>SITE SELECTION PHASE</t>
  </si>
  <si>
    <t>Autonomous Consensus Validation</t>
  </si>
  <si>
    <t>36001-36360</t>
  </si>
  <si>
    <t>Candidate Site Ranking</t>
  </si>
  <si>
    <t>36361-36720</t>
  </si>
  <si>
    <t>36721-37440</t>
  </si>
  <si>
    <t>37441-37800</t>
  </si>
  <si>
    <t>37801-38160</t>
  </si>
  <si>
    <t>38161-38880</t>
  </si>
  <si>
    <t>Final Site Assessment</t>
  </si>
  <si>
    <t>38881-39240</t>
  </si>
  <si>
    <t>Cryobot Site Selection</t>
  </si>
  <si>
    <t>39241-39600</t>
  </si>
  <si>
    <t>End Of Mission</t>
  </si>
  <si>
    <t>39601-40320</t>
  </si>
  <si>
    <t>Final Science Archive Generation</t>
  </si>
  <si>
    <t>40321-40680</t>
  </si>
  <si>
    <t>Final Terrain Map Validation</t>
  </si>
  <si>
    <t>40681-41040</t>
  </si>
  <si>
    <t>Final Data Dump</t>
  </si>
  <si>
    <t>41041-41760</t>
  </si>
  <si>
    <t>River Surfing</t>
  </si>
  <si>
    <t>END OF MISSION</t>
  </si>
  <si>
    <t>Payload Surfing</t>
  </si>
  <si>
    <t>41761-41850</t>
  </si>
  <si>
    <t>Communications Shutdown</t>
  </si>
  <si>
    <t>41851-41880</t>
  </si>
  <si>
    <t>Passivation / Final Health Beacon</t>
  </si>
  <si>
    <t>41881-41910</t>
  </si>
  <si>
    <t>41911-41940</t>
  </si>
  <si>
    <t>41941-42000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</si>
</sst>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
    <numFmt numFmtId="166" formatCode="m-d"/>
  </numFmts>
  <fonts count="24">
    <font>
      <sz val="10.0"/>
      <color rgb="FF000000"/>
      <name val="Arial"/>
      <scheme val="minor"/>
    </font>
    <font>
      <b/>
      <sz val="12.0"/>
      <color theme="1"/>
      <name val="Arial"/>
    </font>
    <font>
      <i/>
      <sz val="8.0"/>
      <color theme="1"/>
      <name val="Arial"/>
    </font>
    <font/>
    <font>
      <b/>
      <sz val="10.0"/>
      <color theme="1"/>
      <name val="Arial"/>
    </font>
    <font>
      <sz val="10.0"/>
      <color theme="1"/>
      <name val="Arial"/>
    </font>
    <font>
      <sz val="10.0"/>
      <color rgb="FF000000"/>
      <name val="Roboto"/>
    </font>
    <font>
      <u/>
      <sz val="10.0"/>
      <color rgb="FF0000FF"/>
      <name val="Arial"/>
    </font>
    <font>
      <sz val="10.0"/>
      <color rgb="FF000000"/>
      <name val="Arial"/>
    </font>
    <font>
      <b/>
      <sz val="12.0"/>
      <color rgb="FF000000"/>
      <name val="Arial"/>
    </font>
    <font>
      <color theme="1"/>
      <name val="Arial"/>
      <scheme val="minor"/>
    </font>
    <font>
      <u/>
      <color rgb="FF0000FF"/>
    </font>
    <font>
      <u/>
      <sz val="10.0"/>
      <color theme="10"/>
      <name val="Arial"/>
    </font>
    <font>
      <sz val="10.0"/>
      <color rgb="FF1155CC"/>
      <name val="Arial"/>
    </font>
    <font>
      <sz val="10.0"/>
      <color theme="10"/>
      <name val="Arial"/>
    </font>
    <font>
      <u/>
      <sz val="10.0"/>
      <color rgb="FF1155CC"/>
      <name val="Arial"/>
    </font>
    <font>
      <u/>
      <sz val="10.0"/>
      <color rgb="FF1155CC"/>
      <name val="Arial"/>
    </font>
    <font>
      <sz val="10.0"/>
      <color rgb="FF202124"/>
      <name val="Arial"/>
    </font>
    <font>
      <b/>
      <sz val="11.0"/>
      <color theme="1"/>
      <name val="Calibri"/>
    </font>
    <font>
      <sz val="11.0"/>
      <color theme="1"/>
      <name val="Calibri"/>
    </font>
    <font>
      <sz val="10.0"/>
      <color rgb="FF000000"/>
      <name val="Lato"/>
    </font>
    <font>
      <b/>
      <sz val="14.0"/>
      <color theme="1"/>
      <name val="Calibri"/>
    </font>
    <font>
      <b/>
      <sz val="12.0"/>
      <color theme="1"/>
      <name val="Calibri"/>
    </font>
    <font>
      <b/>
      <color theme="1"/>
      <name val="Arial"/>
      <scheme val="minor"/>
    </font>
  </fonts>
  <fills count="15">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rgb="FFCCCCCC"/>
        <bgColor rgb="FFCCCCCC"/>
      </patternFill>
    </fill>
    <fill>
      <patternFill patternType="solid">
        <fgColor rgb="FFFFFFFF"/>
        <bgColor rgb="FFFFFFFF"/>
      </patternFill>
    </fill>
    <fill>
      <patternFill patternType="solid">
        <fgColor rgb="FFD5A6BD"/>
        <bgColor rgb="FFD5A6BD"/>
      </patternFill>
    </fill>
    <fill>
      <patternFill patternType="solid">
        <fgColor theme="0"/>
        <bgColor theme="0"/>
      </patternFill>
    </fill>
    <fill>
      <patternFill patternType="solid">
        <fgColor rgb="FFC9DAF8"/>
        <bgColor rgb="FFC9DAF8"/>
      </patternFill>
    </fill>
    <fill>
      <patternFill patternType="solid">
        <fgColor rgb="FFD9D9D9"/>
        <bgColor rgb="FFD9D9D9"/>
      </patternFill>
    </fill>
    <fill>
      <patternFill patternType="solid">
        <fgColor rgb="FFF1C232"/>
        <bgColor rgb="FFF1C232"/>
      </patternFill>
    </fill>
  </fills>
  <borders count="24">
    <border/>
    <border>
      <left/>
      <right/>
      <top/>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right style="thin">
        <color rgb="FF000000"/>
      </right>
    </border>
    <border>
      <left/>
      <top/>
    </border>
    <border>
      <right style="thin">
        <color rgb="FF000000"/>
      </right>
      <top/>
    </border>
    <border>
      <right style="thin">
        <color rgb="FF000000"/>
      </right>
      <top/>
      <bottom/>
    </border>
    <border>
      <left/>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3" fontId="1" numFmtId="0" xfId="0" applyAlignment="1" applyBorder="1" applyFill="1" applyFont="1">
      <alignment shrinkToFit="0" textRotation="90" wrapText="1"/>
    </xf>
    <xf borderId="1" fillId="3" fontId="1" numFmtId="0" xfId="0" applyAlignment="1" applyBorder="1" applyFont="1">
      <alignment shrinkToFit="0" wrapText="1"/>
    </xf>
    <xf borderId="1" fillId="3" fontId="1" numFmtId="14" xfId="0" applyAlignment="1" applyBorder="1" applyFont="1" applyNumberFormat="1">
      <alignment shrinkToFit="0" wrapText="1"/>
    </xf>
    <xf borderId="2" fillId="4" fontId="1" numFmtId="0" xfId="0" applyAlignment="1" applyBorder="1" applyFill="1" applyFont="1">
      <alignment shrinkToFit="0" textRotation="90" wrapText="1"/>
    </xf>
    <xf borderId="3" fillId="4" fontId="1" numFmtId="0" xfId="0" applyAlignment="1" applyBorder="1" applyFont="1">
      <alignment shrinkToFit="0" wrapText="1"/>
    </xf>
    <xf borderId="1" fillId="4" fontId="1" numFmtId="0" xfId="0" applyAlignment="1" applyBorder="1" applyFont="1">
      <alignment shrinkToFit="0" wrapText="1"/>
    </xf>
    <xf borderId="2" fillId="5" fontId="1" numFmtId="0" xfId="0" applyAlignment="1" applyBorder="1" applyFill="1" applyFont="1">
      <alignment shrinkToFit="0" textRotation="90" wrapText="1"/>
    </xf>
    <xf borderId="3" fillId="5" fontId="1" numFmtId="0" xfId="0" applyAlignment="1" applyBorder="1" applyFont="1">
      <alignment shrinkToFit="0" wrapText="1"/>
    </xf>
    <xf borderId="2" fillId="6" fontId="1" numFmtId="0" xfId="0" applyAlignment="1" applyBorder="1" applyFill="1" applyFont="1">
      <alignment shrinkToFit="0" textRotation="90" wrapText="1"/>
    </xf>
    <xf borderId="3" fillId="6" fontId="1" numFmtId="0" xfId="0" applyAlignment="1" applyBorder="1" applyFont="1">
      <alignment shrinkToFit="0" wrapText="1"/>
    </xf>
    <xf borderId="1" fillId="6" fontId="1" numFmtId="0" xfId="0" applyAlignment="1" applyBorder="1" applyFont="1">
      <alignment shrinkToFit="0" wrapText="1"/>
    </xf>
    <xf borderId="0" fillId="0" fontId="1" numFmtId="0" xfId="0" applyAlignment="1" applyFont="1">
      <alignment shrinkToFit="0" wrapText="1"/>
    </xf>
    <xf borderId="4" fillId="0" fontId="2" numFmtId="0" xfId="0" applyAlignment="1" applyBorder="1" applyFont="1">
      <alignment shrinkToFit="0" wrapText="1"/>
    </xf>
    <xf borderId="5" fillId="0" fontId="3" numFmtId="0" xfId="0" applyBorder="1" applyFont="1"/>
    <xf borderId="4" fillId="0" fontId="2" numFmtId="14" xfId="0" applyAlignment="1" applyBorder="1" applyFont="1" applyNumberFormat="1">
      <alignment shrinkToFit="0" wrapText="1"/>
    </xf>
    <xf borderId="6" fillId="0" fontId="2" numFmtId="0" xfId="0" applyAlignment="1" applyBorder="1" applyFont="1">
      <alignment shrinkToFit="0" wrapText="1"/>
    </xf>
    <xf borderId="1" fillId="7" fontId="4" numFmtId="0" xfId="0" applyAlignment="1" applyBorder="1" applyFill="1" applyFont="1">
      <alignment horizontal="center" vertical="center"/>
    </xf>
    <xf borderId="1" fillId="7" fontId="4" numFmtId="0" xfId="0" applyAlignment="1" applyBorder="1" applyFont="1">
      <alignment horizontal="center" shrinkToFit="0" vertical="center" wrapText="1"/>
    </xf>
    <xf borderId="7" fillId="3" fontId="5" numFmtId="0" xfId="0" applyBorder="1" applyFont="1"/>
    <xf borderId="1" fillId="7" fontId="6" numFmtId="0" xfId="0" applyAlignment="1" applyBorder="1" applyFont="1">
      <alignment horizontal="center" readingOrder="0" shrinkToFit="0" vertical="center" wrapText="1"/>
    </xf>
    <xf borderId="1" fillId="7" fontId="5" numFmtId="14" xfId="0" applyAlignment="1" applyBorder="1" applyFont="1" applyNumberFormat="1">
      <alignment horizontal="center" readingOrder="0" shrinkToFit="0" vertical="center" wrapText="1"/>
    </xf>
    <xf borderId="7" fillId="4" fontId="5" numFmtId="0" xfId="0" applyBorder="1" applyFont="1"/>
    <xf borderId="8" fillId="0" fontId="5" numFmtId="0" xfId="0" applyAlignment="1" applyBorder="1" applyFont="1">
      <alignment shrinkToFit="0" wrapText="1"/>
    </xf>
    <xf borderId="0" fillId="0" fontId="5" numFmtId="0" xfId="0" applyAlignment="1" applyFont="1">
      <alignment shrinkToFit="0" wrapText="1"/>
    </xf>
    <xf borderId="7" fillId="5" fontId="5" numFmtId="0" xfId="0" applyBorder="1" applyFont="1"/>
    <xf borderId="7" fillId="6" fontId="5" numFmtId="0" xfId="0" applyBorder="1" applyFont="1"/>
    <xf borderId="0" fillId="0" fontId="5" numFmtId="0" xfId="0" applyFont="1"/>
    <xf borderId="1" fillId="8" fontId="5" numFmtId="0" xfId="0" applyAlignment="1" applyBorder="1" applyFill="1" applyFont="1">
      <alignment horizontal="center" vertical="center"/>
    </xf>
    <xf borderId="0" fillId="0" fontId="5" numFmtId="0" xfId="0" applyAlignment="1" applyFont="1">
      <alignment horizontal="center" readingOrder="0" shrinkToFit="0" vertical="center" wrapText="1"/>
    </xf>
    <xf borderId="0" fillId="0" fontId="5" numFmtId="1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vertical="center"/>
    </xf>
    <xf borderId="1" fillId="9" fontId="8"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0" fillId="0" fontId="5" numFmtId="14" xfId="0" applyAlignment="1" applyFont="1" applyNumberFormat="1">
      <alignment horizontal="center" shrinkToFit="0" vertical="center" wrapText="1"/>
    </xf>
    <xf borderId="1" fillId="2" fontId="1" numFmtId="0" xfId="0" applyAlignment="1" applyBorder="1" applyFont="1">
      <alignment horizontal="center" shrinkToFit="0" vertical="center" wrapText="1"/>
    </xf>
    <xf borderId="2" fillId="3" fontId="1" numFmtId="0" xfId="0" applyAlignment="1" applyBorder="1" applyFont="1">
      <alignment horizontal="center" shrinkToFit="0" textRotation="90" vertical="center" wrapText="1"/>
    </xf>
    <xf borderId="1" fillId="3" fontId="1" numFmtId="0" xfId="0" applyAlignment="1" applyBorder="1" applyFont="1">
      <alignment horizontal="center" shrinkToFit="0" vertical="center" wrapText="1"/>
    </xf>
    <xf borderId="2" fillId="4" fontId="1" numFmtId="0" xfId="0" applyAlignment="1" applyBorder="1" applyFont="1">
      <alignment horizontal="center" shrinkToFit="0" textRotation="90" vertical="center" wrapText="1"/>
    </xf>
    <xf borderId="3"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2" fillId="5" fontId="1" numFmtId="0" xfId="0" applyAlignment="1" applyBorder="1" applyFont="1">
      <alignment horizontal="center" shrinkToFit="0" textRotation="90" vertical="center" wrapText="1"/>
    </xf>
    <xf borderId="3" fillId="5" fontId="1" numFmtId="0" xfId="0" applyAlignment="1" applyBorder="1" applyFont="1">
      <alignment horizontal="center" shrinkToFit="0" vertical="center" wrapText="1"/>
    </xf>
    <xf borderId="2" fillId="6" fontId="1" numFmtId="0" xfId="0" applyAlignment="1" applyBorder="1" applyFont="1">
      <alignment horizontal="center" shrinkToFit="0" textRotation="90" vertical="center" wrapText="1"/>
    </xf>
    <xf borderId="3" fillId="6" fontId="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1" fillId="10" fontId="1" numFmtId="0" xfId="0" applyAlignment="1" applyBorder="1" applyFill="1" applyFont="1">
      <alignment horizontal="center" shrinkToFit="0" vertical="center" wrapText="1"/>
    </xf>
    <xf borderId="4"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7" fillId="4"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7" fillId="5" fontId="5"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7" fillId="6" fontId="5" numFmtId="0" xfId="0" applyAlignment="1" applyBorder="1" applyFont="1">
      <alignment horizontal="center" shrinkToFit="0" vertical="center" wrapText="1"/>
    </xf>
    <xf borderId="0" fillId="0" fontId="5" numFmtId="0" xfId="0" applyAlignment="1" applyFont="1">
      <alignment vertical="center"/>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9" fillId="0" fontId="5" numFmtId="0" xfId="0" applyAlignment="1" applyBorder="1" applyFont="1">
      <alignment horizontal="center" readingOrder="0" shrinkToFit="0" vertical="center" wrapText="1"/>
    </xf>
    <xf borderId="10" fillId="11" fontId="5" numFmtId="0" xfId="0" applyAlignment="1" applyBorder="1" applyFill="1" applyFont="1">
      <alignment horizontal="center" readingOrder="0" shrinkToFit="0" vertical="center" wrapText="1"/>
    </xf>
    <xf borderId="11" fillId="11" fontId="5" numFmtId="0" xfId="0" applyAlignment="1" applyBorder="1" applyFont="1">
      <alignment horizontal="center" readingOrder="0" shrinkToFit="0" vertical="center" wrapText="1"/>
    </xf>
    <xf borderId="12" fillId="3" fontId="5" numFmtId="0" xfId="0" applyAlignment="1" applyBorder="1" applyFont="1">
      <alignment horizontal="center" shrinkToFit="0" vertical="center" wrapText="1"/>
    </xf>
    <xf borderId="0" fillId="0" fontId="8"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13" fillId="11" fontId="5" numFmtId="0" xfId="0" applyAlignment="1" applyBorder="1" applyFont="1">
      <alignment horizontal="center" readingOrder="0" shrinkToFit="0" vertical="center" wrapText="1"/>
    </xf>
    <xf borderId="9" fillId="0" fontId="10" numFmtId="0" xfId="0" applyAlignment="1" applyBorder="1" applyFont="1">
      <alignment horizontal="center" readingOrder="0" shrinkToFit="0" vertical="center" wrapText="1"/>
    </xf>
    <xf borderId="0" fillId="0" fontId="10" numFmtId="14" xfId="0" applyAlignment="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0" fillId="0" fontId="5" numFmtId="0" xfId="0" applyAlignment="1" applyFont="1">
      <alignment horizontal="center" readingOrder="0" vertical="center"/>
    </xf>
    <xf borderId="9" fillId="0" fontId="5" numFmtId="0" xfId="0" applyAlignment="1" applyBorder="1" applyFont="1">
      <alignment horizontal="center" readingOrder="0" vertical="center"/>
    </xf>
    <xf borderId="7" fillId="3" fontId="5" numFmtId="0" xfId="0" applyAlignment="1" applyBorder="1" applyFont="1">
      <alignment vertical="center"/>
    </xf>
    <xf borderId="7" fillId="0" fontId="5" numFmtId="0" xfId="0" applyAlignment="1" applyBorder="1" applyFont="1">
      <alignment vertical="center"/>
    </xf>
    <xf borderId="8" fillId="0" fontId="5" numFmtId="0" xfId="0" applyAlignment="1" applyBorder="1" applyFont="1">
      <alignment shrinkToFit="0" vertical="center" wrapText="1"/>
    </xf>
    <xf borderId="0" fillId="0" fontId="5" numFmtId="0" xfId="0" applyAlignment="1" applyFont="1">
      <alignment shrinkToFit="0" vertical="center" wrapText="1"/>
    </xf>
    <xf borderId="7" fillId="5" fontId="5" numFmtId="0" xfId="0" applyAlignment="1" applyBorder="1" applyFont="1">
      <alignment vertical="center"/>
    </xf>
    <xf borderId="8" fillId="0" fontId="5" numFmtId="0" xfId="0" applyAlignment="1" applyBorder="1" applyFont="1">
      <alignment readingOrder="0" shrinkToFit="0" vertical="center" wrapText="1"/>
    </xf>
    <xf borderId="7" fillId="6" fontId="5" numFmtId="0" xfId="0" applyAlignment="1" applyBorder="1" applyFont="1">
      <alignment vertical="center"/>
    </xf>
    <xf borderId="9" fillId="0" fontId="8" numFmtId="0" xfId="0" applyAlignment="1" applyBorder="1" applyFont="1">
      <alignment horizontal="center" readingOrder="0" vertical="center"/>
    </xf>
    <xf borderId="7" fillId="0" fontId="5" numFmtId="0" xfId="0" applyBorder="1" applyFont="1"/>
    <xf borderId="0" fillId="0" fontId="15" numFmtId="0" xfId="0" applyAlignment="1" applyFont="1">
      <alignment shrinkToFit="0" wrapText="1"/>
    </xf>
    <xf borderId="0" fillId="12" fontId="5" numFmtId="0" xfId="0" applyAlignment="1" applyFill="1" applyFont="1">
      <alignment horizontal="center" readingOrder="0" vertical="center"/>
    </xf>
    <xf borderId="9" fillId="12" fontId="5" numFmtId="0" xfId="0" applyAlignment="1" applyBorder="1" applyFont="1">
      <alignment horizontal="center" readingOrder="0" shrinkToFit="0" vertical="center" wrapText="1"/>
    </xf>
    <xf borderId="7" fillId="12" fontId="5" numFmtId="0" xfId="0" applyBorder="1" applyFont="1"/>
    <xf borderId="0" fillId="12" fontId="8" numFmtId="0" xfId="0" applyAlignment="1" applyFont="1">
      <alignment horizontal="center" readingOrder="0" shrinkToFit="0" vertical="center" wrapText="1"/>
    </xf>
    <xf borderId="0" fillId="12" fontId="5" numFmtId="14" xfId="0" applyAlignment="1" applyFont="1" applyNumberFormat="1">
      <alignment horizontal="center" readingOrder="0" shrinkToFit="0" vertical="center" wrapText="1"/>
    </xf>
    <xf borderId="0" fillId="12" fontId="5" numFmtId="0" xfId="0" applyAlignment="1" applyFont="1">
      <alignment horizontal="center" readingOrder="0" shrinkToFit="0" vertical="center" wrapText="1"/>
    </xf>
    <xf borderId="0" fillId="12" fontId="14" numFmtId="0" xfId="0" applyAlignment="1" applyFont="1">
      <alignment horizontal="center" readingOrder="0" shrinkToFit="0" vertical="center" wrapText="1"/>
    </xf>
    <xf borderId="8" fillId="12" fontId="5" numFmtId="0" xfId="0" applyAlignment="1" applyBorder="1" applyFont="1">
      <alignment shrinkToFit="0" wrapText="1"/>
    </xf>
    <xf borderId="0" fillId="12" fontId="5" numFmtId="0" xfId="0" applyAlignment="1" applyFont="1">
      <alignment shrinkToFit="0" wrapText="1"/>
    </xf>
    <xf borderId="8" fillId="12" fontId="5" numFmtId="0" xfId="0" applyAlignment="1" applyBorder="1" applyFont="1">
      <alignment horizontal="center" readingOrder="0" shrinkToFit="0" vertical="center" wrapText="1"/>
    </xf>
    <xf borderId="0" fillId="12" fontId="5" numFmtId="0" xfId="0" applyAlignment="1" applyFont="1">
      <alignment horizontal="center" shrinkToFit="0" vertical="center" wrapText="1"/>
    </xf>
    <xf borderId="0" fillId="12" fontId="5" numFmtId="0" xfId="0" applyFont="1"/>
    <xf borderId="0" fillId="12" fontId="16" numFmtId="0" xfId="0" applyAlignment="1" applyFont="1">
      <alignment shrinkToFit="0" wrapText="1"/>
    </xf>
    <xf borderId="9" fillId="0" fontId="5" numFmtId="0" xfId="0" applyAlignment="1" applyBorder="1" applyFont="1">
      <alignment horizontal="center" shrinkToFit="0" vertical="center" wrapText="1"/>
    </xf>
    <xf borderId="1" fillId="9" fontId="17"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0" fontId="10" numFmtId="0" xfId="0" applyFont="1"/>
    <xf borderId="0" fillId="0" fontId="8" numFmtId="22" xfId="0" applyFont="1" applyNumberFormat="1"/>
    <xf borderId="14" fillId="0" fontId="18" numFmtId="0" xfId="0" applyAlignment="1" applyBorder="1" applyFont="1">
      <alignment horizontal="center" shrinkToFit="0" vertical="center" wrapText="1"/>
    </xf>
    <xf borderId="0" fillId="0" fontId="19" numFmtId="0" xfId="0" applyAlignment="1" applyFont="1">
      <alignment horizontal="center" shrinkToFit="0" vertical="center" wrapText="1"/>
    </xf>
    <xf borderId="0" fillId="0" fontId="19" numFmtId="0" xfId="0" applyAlignment="1" applyFont="1">
      <alignment horizontal="center" readingOrder="0" vertical="center"/>
    </xf>
    <xf borderId="0" fillId="0" fontId="10"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0" fontId="10" numFmtId="0" xfId="0" applyAlignment="1" applyFont="1">
      <alignment horizontal="center" vertical="center"/>
    </xf>
    <xf borderId="1" fillId="13" fontId="1" numFmtId="0" xfId="0" applyAlignment="1" applyBorder="1" applyFill="1" applyFont="1">
      <alignment shrinkToFit="0" wrapText="1"/>
    </xf>
    <xf borderId="1" fillId="14" fontId="1" numFmtId="0" xfId="0" applyAlignment="1" applyBorder="1" applyFill="1" applyFont="1">
      <alignment shrinkToFit="0" wrapText="1"/>
    </xf>
    <xf borderId="0" fillId="0" fontId="8" numFmtId="0" xfId="0" applyAlignment="1" applyFont="1">
      <alignment shrinkToFit="0" wrapText="1"/>
    </xf>
    <xf borderId="0" fillId="0" fontId="8" numFmtId="0" xfId="0" applyAlignment="1" applyFont="1">
      <alignment horizontal="center" shrinkToFit="0" vertical="center" wrapText="1"/>
    </xf>
    <xf borderId="0" fillId="0" fontId="8" numFmtId="0" xfId="0" applyAlignment="1" applyFont="1">
      <alignment horizontal="left" shrinkToFit="0" wrapText="1"/>
    </xf>
    <xf borderId="15" fillId="0" fontId="20" numFmtId="0" xfId="0" applyAlignment="1" applyBorder="1" applyFont="1">
      <alignment shrinkToFit="0" wrapText="1"/>
    </xf>
    <xf borderId="0" fillId="0" fontId="5" numFmtId="0" xfId="0" applyAlignment="1" applyFont="1">
      <alignment horizontal="left" shrinkToFit="0" wrapText="1"/>
    </xf>
    <xf borderId="1" fillId="9" fontId="6" numFmtId="0" xfId="0" applyAlignment="1" applyBorder="1" applyFont="1">
      <alignment shrinkToFit="0" wrapText="1"/>
    </xf>
    <xf borderId="0" fillId="0" fontId="8" numFmtId="164" xfId="0" applyAlignment="1" applyFont="1" applyNumberFormat="1">
      <alignment horizontal="left" shrinkToFit="0" wrapText="1"/>
    </xf>
    <xf borderId="0" fillId="0" fontId="5" numFmtId="165" xfId="0" applyAlignment="1" applyFont="1" applyNumberFormat="1">
      <alignment horizontal="left" shrinkToFit="0" wrapText="1"/>
    </xf>
    <xf borderId="0" fillId="0" fontId="8" numFmtId="165" xfId="0" applyAlignment="1" applyFont="1" applyNumberFormat="1">
      <alignment horizontal="left" shrinkToFit="0" wrapText="1"/>
    </xf>
    <xf borderId="16" fillId="0" fontId="18" numFmtId="0" xfId="0" applyAlignment="1" applyBorder="1" applyFont="1">
      <alignment horizontal="center" readingOrder="0" shrinkToFit="0" vertical="center" wrapText="1"/>
    </xf>
    <xf borderId="17" fillId="0" fontId="18" numFmtId="0" xfId="0" applyAlignment="1" applyBorder="1" applyFont="1">
      <alignment horizontal="center" readingOrder="0" shrinkToFit="0" vertical="center" wrapText="1"/>
    </xf>
    <xf borderId="14" fillId="0" fontId="18" numFmtId="0" xfId="0" applyAlignment="1" applyBorder="1" applyFont="1">
      <alignment horizontal="center" readingOrder="0" shrinkToFit="0" vertical="center" wrapText="1"/>
    </xf>
    <xf borderId="18" fillId="0" fontId="18" numFmtId="0" xfId="0" applyAlignment="1" applyBorder="1" applyFont="1">
      <alignment horizontal="center" readingOrder="0" shrinkToFit="0" vertical="center" wrapText="1"/>
    </xf>
    <xf borderId="0" fillId="0" fontId="19" numFmtId="0" xfId="0" applyAlignment="1" applyFont="1">
      <alignment shrinkToFit="0" vertical="center" wrapText="1"/>
    </xf>
    <xf borderId="14" fillId="0" fontId="19" numFmtId="0" xfId="0" applyAlignment="1" applyBorder="1" applyFont="1">
      <alignment horizontal="center" readingOrder="0" shrinkToFit="0" vertical="center" wrapText="1"/>
    </xf>
    <xf borderId="0" fillId="0" fontId="19" numFmtId="0" xfId="0" applyAlignment="1" applyFont="1">
      <alignment vertical="center"/>
    </xf>
    <xf borderId="14" fillId="0" fontId="10" numFmtId="0" xfId="0" applyAlignment="1" applyBorder="1" applyFont="1">
      <alignment readingOrder="0" vertical="center"/>
    </xf>
    <xf borderId="0" fillId="0" fontId="10" numFmtId="0" xfId="0" applyAlignment="1" applyFont="1">
      <alignment vertical="center"/>
    </xf>
    <xf borderId="14" fillId="0" fontId="18" numFmtId="0" xfId="0" applyAlignment="1" applyBorder="1" applyFont="1">
      <alignment horizontal="center" vertical="center"/>
    </xf>
    <xf borderId="19" fillId="0" fontId="18" numFmtId="0" xfId="0" applyAlignment="1" applyBorder="1" applyFont="1">
      <alignment horizontal="center" shrinkToFit="0" vertical="center" wrapText="1"/>
    </xf>
    <xf borderId="20" fillId="0" fontId="21" numFmtId="0" xfId="0" applyAlignment="1" applyBorder="1" applyFont="1">
      <alignment horizontal="center" readingOrder="0"/>
    </xf>
    <xf borderId="19" fillId="0" fontId="3" numFmtId="0" xfId="0" applyBorder="1" applyFont="1"/>
    <xf borderId="17" fillId="0" fontId="19" numFmtId="0" xfId="0" applyAlignment="1" applyBorder="1" applyFont="1">
      <alignment horizontal="center" readingOrder="0" vertical="center"/>
    </xf>
    <xf borderId="21" fillId="0" fontId="19" numFmtId="0" xfId="0" applyAlignment="1" applyBorder="1" applyFont="1">
      <alignment horizontal="center" readingOrder="0" vertical="center"/>
    </xf>
    <xf borderId="18" fillId="0" fontId="19" numFmtId="0" xfId="0" applyAlignment="1" applyBorder="1" applyFont="1">
      <alignment horizontal="center" readingOrder="0" vertical="center"/>
    </xf>
    <xf borderId="14" fillId="0" fontId="22" numFmtId="0" xfId="0" applyAlignment="1" applyBorder="1" applyFont="1">
      <alignment horizontal="center" readingOrder="0"/>
    </xf>
    <xf borderId="14" fillId="0" fontId="22" numFmtId="0" xfId="0" applyAlignment="1" applyBorder="1" applyFont="1">
      <alignment horizontal="center"/>
    </xf>
    <xf borderId="8" fillId="0" fontId="19" numFmtId="0" xfId="0" applyAlignment="1" applyBorder="1" applyFont="1">
      <alignment horizontal="center" readingOrder="0" vertical="center"/>
    </xf>
    <xf borderId="9" fillId="0" fontId="19" numFmtId="0" xfId="0" applyAlignment="1" applyBorder="1" applyFont="1">
      <alignment horizontal="center" readingOrder="0" vertical="center"/>
    </xf>
    <xf borderId="20" fillId="0" fontId="18" numFmtId="0" xfId="0" applyAlignment="1" applyBorder="1" applyFont="1">
      <alignment horizontal="left" readingOrder="0"/>
    </xf>
    <xf borderId="14" fillId="0" fontId="19" numFmtId="0" xfId="0" applyAlignment="1" applyBorder="1" applyFont="1">
      <alignment horizontal="center" readingOrder="0" vertical="center"/>
    </xf>
    <xf borderId="14" fillId="0" fontId="19" numFmtId="0" xfId="0" applyAlignment="1" applyBorder="1" applyFont="1">
      <alignment horizontal="center" readingOrder="0"/>
    </xf>
    <xf borderId="6" fillId="0" fontId="19" numFmtId="0" xfId="0" applyAlignment="1" applyBorder="1" applyFont="1">
      <alignment horizontal="center" readingOrder="0" vertical="center"/>
    </xf>
    <xf borderId="4" fillId="0" fontId="19" numFmtId="0" xfId="0" applyAlignment="1" applyBorder="1" applyFont="1">
      <alignment horizontal="center" readingOrder="0" vertical="center"/>
    </xf>
    <xf borderId="22" fillId="0" fontId="10" numFmtId="0" xfId="0" applyAlignment="1" applyBorder="1" applyFont="1">
      <alignment horizontal="center" readingOrder="0" vertical="center"/>
    </xf>
    <xf borderId="14" fillId="0" fontId="10" numFmtId="0" xfId="0" applyAlignment="1" applyBorder="1" applyFont="1">
      <alignment horizontal="center" readingOrder="0"/>
    </xf>
    <xf borderId="21" fillId="0" fontId="10" numFmtId="0" xfId="0" applyAlignment="1" applyBorder="1" applyFont="1">
      <alignment horizontal="center" readingOrder="0" vertical="center"/>
    </xf>
    <xf borderId="14" fillId="0" fontId="10" numFmtId="0" xfId="0" applyAlignment="1" applyBorder="1" applyFont="1">
      <alignment horizontal="center" readingOrder="0" vertical="center"/>
    </xf>
    <xf borderId="22" fillId="0" fontId="19" numFmtId="0" xfId="0" applyAlignment="1" applyBorder="1" applyFont="1">
      <alignment horizontal="center" readingOrder="0"/>
    </xf>
    <xf borderId="0" fillId="0" fontId="18" numFmtId="0" xfId="0" applyAlignment="1" applyFont="1">
      <alignment horizontal="left" readingOrder="0" vertical="center"/>
    </xf>
    <xf borderId="0" fillId="0" fontId="19" numFmtId="0" xfId="0" applyAlignment="1" applyFont="1">
      <alignment horizontal="center"/>
    </xf>
    <xf borderId="17" fillId="0" fontId="19" numFmtId="166" xfId="0" applyAlignment="1" applyBorder="1" applyFont="1" applyNumberFormat="1">
      <alignment horizontal="center" readingOrder="0" vertical="center"/>
    </xf>
    <xf borderId="18" fillId="0" fontId="19" numFmtId="0" xfId="0" applyAlignment="1" applyBorder="1" applyFont="1">
      <alignment horizontal="center" readingOrder="0"/>
    </xf>
    <xf borderId="8" fillId="0" fontId="19" numFmtId="166" xfId="0" applyAlignment="1" applyBorder="1" applyFont="1" applyNumberFormat="1">
      <alignment horizontal="center" readingOrder="0" vertical="center"/>
    </xf>
    <xf borderId="9" fillId="0" fontId="19" numFmtId="0" xfId="0" applyAlignment="1" applyBorder="1" applyFont="1">
      <alignment horizontal="center" readingOrder="0"/>
    </xf>
    <xf borderId="6" fillId="0" fontId="19" numFmtId="166" xfId="0" applyAlignment="1" applyBorder="1" applyFont="1" applyNumberFormat="1">
      <alignment horizontal="center" readingOrder="0" vertical="center"/>
    </xf>
    <xf borderId="0" fillId="0" fontId="23" numFmtId="0" xfId="0" applyAlignment="1" applyFont="1">
      <alignment readingOrder="0"/>
    </xf>
    <xf borderId="14" fillId="0" fontId="18" numFmtId="0" xfId="0" applyAlignment="1" applyBorder="1" applyFont="1">
      <alignment horizontal="left" readingOrder="0"/>
    </xf>
    <xf borderId="14" fillId="0" fontId="18" numFmtId="0" xfId="0" applyAlignment="1" applyBorder="1" applyFont="1">
      <alignment horizontal="center"/>
    </xf>
    <xf borderId="8" fillId="0" fontId="18" numFmtId="0" xfId="0" applyAlignment="1" applyBorder="1" applyFont="1">
      <alignment horizontal="left" readingOrder="0" vertical="center"/>
    </xf>
    <xf borderId="23" fillId="0" fontId="19" numFmtId="0" xfId="0" applyAlignment="1" applyBorder="1" applyFont="1">
      <alignment horizontal="center" readingOrder="0"/>
    </xf>
    <xf borderId="0" fillId="0" fontId="10" numFmtId="0" xfId="0" applyAlignment="1" applyFont="1">
      <alignment horizontal="center" readingOrder="0"/>
    </xf>
    <xf borderId="9" fillId="0" fontId="10" numFmtId="0" xfId="0" applyAlignment="1" applyBorder="1" applyFont="1">
      <alignment horizontal="center" readingOrder="0"/>
    </xf>
    <xf borderId="0" fillId="0" fontId="10" numFmtId="0" xfId="0" applyAlignment="1" applyFont="1">
      <alignment horizontal="center"/>
    </xf>
    <xf borderId="0" fillId="0" fontId="19" numFmtId="0" xfId="0" applyAlignment="1" applyFont="1">
      <alignment horizontal="center" vertical="center"/>
    </xf>
  </cellXfs>
  <cellStyles count="1">
    <cellStyle xfId="0" name="Normal" builtinId="0"/>
  </cellStyles>
  <dxfs count="3">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1" t="s">
        <v>0</v>
      </c>
      <c r="B1" s="1" t="s">
        <v>1</v>
      </c>
      <c r="C1" s="2" t="s">
        <v>2</v>
      </c>
      <c r="D1" s="3" t="s">
        <v>3</v>
      </c>
      <c r="E1" s="4" t="s">
        <v>4</v>
      </c>
      <c r="F1" s="3" t="s">
        <v>5</v>
      </c>
      <c r="G1" s="3" t="s">
        <v>6</v>
      </c>
      <c r="H1" s="3" t="s">
        <v>7</v>
      </c>
      <c r="I1" s="5" t="s">
        <v>8</v>
      </c>
      <c r="J1" s="6" t="s">
        <v>9</v>
      </c>
      <c r="K1" s="7" t="s">
        <v>10</v>
      </c>
      <c r="L1" s="7" t="s">
        <v>5</v>
      </c>
      <c r="M1" s="8" t="s">
        <v>11</v>
      </c>
      <c r="N1" s="9" t="s">
        <v>12</v>
      </c>
      <c r="O1" s="10" t="s">
        <v>13</v>
      </c>
      <c r="P1" s="11" t="s">
        <v>14</v>
      </c>
      <c r="Q1" s="12" t="s">
        <v>15</v>
      </c>
      <c r="R1" s="12" t="s">
        <v>16</v>
      </c>
      <c r="S1" s="12" t="s">
        <v>17</v>
      </c>
      <c r="T1" s="13"/>
      <c r="U1" s="13"/>
      <c r="V1" s="13"/>
      <c r="W1" s="13"/>
      <c r="X1" s="13"/>
      <c r="Y1" s="13"/>
      <c r="Z1" s="13"/>
      <c r="AA1" s="13"/>
      <c r="AB1" s="13"/>
      <c r="AC1" s="13"/>
      <c r="AD1" s="13"/>
      <c r="AE1" s="13"/>
    </row>
    <row r="2">
      <c r="A2" s="14" t="s">
        <v>18</v>
      </c>
      <c r="B2" s="14" t="s">
        <v>19</v>
      </c>
      <c r="C2" s="15"/>
      <c r="D2" s="14" t="s">
        <v>20</v>
      </c>
      <c r="E2" s="16" t="s">
        <v>21</v>
      </c>
      <c r="F2" s="14" t="s">
        <v>22</v>
      </c>
      <c r="G2" s="14" t="s">
        <v>23</v>
      </c>
      <c r="H2" s="14" t="s">
        <v>24</v>
      </c>
      <c r="I2" s="15"/>
      <c r="J2" s="17" t="s">
        <v>25</v>
      </c>
      <c r="K2" s="14" t="s">
        <v>26</v>
      </c>
      <c r="L2" s="14"/>
      <c r="M2" s="15"/>
      <c r="N2" s="17" t="s">
        <v>27</v>
      </c>
      <c r="O2" s="15"/>
      <c r="P2" s="17"/>
      <c r="Q2" s="14" t="s">
        <v>28</v>
      </c>
      <c r="R2" s="14" t="s">
        <v>29</v>
      </c>
      <c r="S2" s="14"/>
      <c r="T2" s="14"/>
      <c r="U2" s="14"/>
      <c r="V2" s="14"/>
      <c r="W2" s="14"/>
      <c r="X2" s="14"/>
      <c r="Y2" s="14"/>
      <c r="Z2" s="14"/>
      <c r="AA2" s="14"/>
      <c r="AB2" s="14"/>
      <c r="AC2" s="14"/>
      <c r="AD2" s="14"/>
      <c r="AE2" s="14"/>
    </row>
    <row r="3">
      <c r="A3" s="18" t="s">
        <v>30</v>
      </c>
      <c r="B3" s="19" t="s">
        <v>30</v>
      </c>
      <c r="C3" s="20"/>
      <c r="D3" s="21" t="s">
        <v>31</v>
      </c>
      <c r="E3" s="22">
        <v>46187.0</v>
      </c>
      <c r="F3" s="19" t="s">
        <v>32</v>
      </c>
      <c r="G3" s="19" t="s">
        <v>32</v>
      </c>
      <c r="H3" s="19" t="s">
        <v>32</v>
      </c>
      <c r="I3" s="23"/>
      <c r="J3" s="24"/>
      <c r="K3" s="25"/>
      <c r="L3" s="25"/>
      <c r="M3" s="26"/>
      <c r="N3" s="24"/>
      <c r="O3" s="27"/>
      <c r="P3" s="24"/>
      <c r="Q3" s="25"/>
      <c r="R3" s="25"/>
      <c r="S3" s="28"/>
      <c r="T3" s="28"/>
      <c r="U3" s="28"/>
      <c r="V3" s="28"/>
      <c r="W3" s="28"/>
      <c r="X3" s="28"/>
      <c r="Y3" s="28"/>
      <c r="Z3" s="28"/>
      <c r="AA3" s="28"/>
      <c r="AB3" s="28"/>
      <c r="AC3" s="28"/>
      <c r="AD3" s="28"/>
      <c r="AE3" s="28"/>
    </row>
    <row r="4">
      <c r="A4" s="29" t="s">
        <v>33</v>
      </c>
      <c r="B4" s="30" t="s">
        <v>34</v>
      </c>
      <c r="C4" s="20"/>
      <c r="D4" s="30" t="s">
        <v>35</v>
      </c>
      <c r="E4" s="31">
        <v>46187.0</v>
      </c>
      <c r="F4" s="32" t="s">
        <v>36</v>
      </c>
      <c r="G4" s="33"/>
      <c r="H4" s="33"/>
      <c r="I4" s="23"/>
      <c r="J4" s="24"/>
      <c r="K4" s="25"/>
      <c r="L4" s="25"/>
      <c r="M4" s="26"/>
      <c r="N4" s="24"/>
      <c r="O4" s="27"/>
      <c r="P4" s="24"/>
      <c r="Q4" s="25"/>
      <c r="R4" s="25"/>
      <c r="S4" s="28"/>
      <c r="T4" s="28"/>
      <c r="U4" s="28"/>
      <c r="V4" s="28"/>
      <c r="W4" s="28"/>
      <c r="X4" s="28"/>
      <c r="Y4" s="28"/>
      <c r="Z4" s="28"/>
      <c r="AA4" s="28"/>
      <c r="AB4" s="28"/>
      <c r="AC4" s="28"/>
      <c r="AD4" s="28"/>
      <c r="AE4" s="28"/>
    </row>
    <row r="5">
      <c r="A5" s="29" t="s">
        <v>37</v>
      </c>
      <c r="B5" s="30" t="s">
        <v>38</v>
      </c>
      <c r="C5" s="20"/>
      <c r="D5" s="34" t="s">
        <v>39</v>
      </c>
      <c r="E5" s="31">
        <v>46187.0</v>
      </c>
      <c r="F5" s="32" t="s">
        <v>40</v>
      </c>
      <c r="G5" s="33"/>
      <c r="H5" s="33"/>
      <c r="I5" s="23"/>
      <c r="J5" s="24"/>
      <c r="K5" s="25"/>
      <c r="L5" s="25"/>
      <c r="M5" s="26"/>
      <c r="N5" s="24"/>
      <c r="O5" s="27"/>
      <c r="P5" s="24"/>
      <c r="Q5" s="25"/>
      <c r="R5" s="25"/>
      <c r="S5" s="28"/>
      <c r="T5" s="28"/>
      <c r="U5" s="28"/>
      <c r="V5" s="28"/>
      <c r="W5" s="28"/>
      <c r="X5" s="28"/>
      <c r="Y5" s="28"/>
      <c r="Z5" s="28"/>
      <c r="AA5" s="28"/>
      <c r="AB5" s="28"/>
      <c r="AC5" s="28"/>
      <c r="AD5" s="28"/>
      <c r="AE5" s="28"/>
    </row>
    <row r="6">
      <c r="A6" s="29" t="s">
        <v>41</v>
      </c>
      <c r="B6" s="30" t="s">
        <v>42</v>
      </c>
      <c r="C6" s="20"/>
      <c r="D6" s="30" t="s">
        <v>43</v>
      </c>
      <c r="E6" s="31">
        <v>46187.0</v>
      </c>
      <c r="F6" s="32" t="s">
        <v>44</v>
      </c>
      <c r="G6" s="33"/>
      <c r="H6" s="33"/>
      <c r="I6" s="23"/>
      <c r="J6" s="24"/>
      <c r="K6" s="25"/>
      <c r="L6" s="25"/>
      <c r="M6" s="26"/>
      <c r="N6" s="24"/>
      <c r="O6" s="27"/>
      <c r="P6" s="24"/>
      <c r="Q6" s="25"/>
      <c r="R6" s="25"/>
      <c r="S6" s="28"/>
      <c r="T6" s="28"/>
      <c r="U6" s="28"/>
      <c r="V6" s="28"/>
      <c r="W6" s="28"/>
      <c r="X6" s="28"/>
      <c r="Y6" s="28"/>
      <c r="Z6" s="28"/>
      <c r="AA6" s="28"/>
      <c r="AB6" s="28"/>
      <c r="AC6" s="28"/>
      <c r="AD6" s="28"/>
      <c r="AE6" s="28"/>
    </row>
    <row r="7">
      <c r="A7" s="29" t="s">
        <v>45</v>
      </c>
      <c r="B7" s="30" t="s">
        <v>46</v>
      </c>
      <c r="C7" s="20"/>
      <c r="D7" s="30" t="s">
        <v>47</v>
      </c>
      <c r="E7" s="31">
        <v>46187.0</v>
      </c>
      <c r="F7" s="32" t="s">
        <v>48</v>
      </c>
      <c r="G7" s="33"/>
      <c r="H7" s="33"/>
      <c r="I7" s="23"/>
      <c r="J7" s="24"/>
      <c r="K7" s="25"/>
      <c r="L7" s="25"/>
      <c r="M7" s="26"/>
      <c r="N7" s="24"/>
      <c r="O7" s="27"/>
      <c r="P7" s="24"/>
      <c r="Q7" s="25"/>
      <c r="R7" s="25"/>
      <c r="S7" s="28"/>
      <c r="T7" s="28"/>
      <c r="U7" s="28"/>
      <c r="V7" s="28"/>
      <c r="W7" s="28"/>
      <c r="X7" s="28"/>
      <c r="Y7" s="28"/>
      <c r="Z7" s="28"/>
      <c r="AA7" s="28"/>
      <c r="AB7" s="28"/>
      <c r="AC7" s="28"/>
      <c r="AD7" s="28"/>
      <c r="AE7" s="28"/>
    </row>
    <row r="8" ht="15.75" customHeight="1">
      <c r="A8" s="33"/>
      <c r="B8" s="35"/>
      <c r="C8" s="20"/>
      <c r="D8" s="35"/>
      <c r="E8" s="36"/>
      <c r="F8" s="35"/>
      <c r="G8" s="33"/>
      <c r="H8" s="33"/>
      <c r="I8" s="23"/>
      <c r="J8" s="24"/>
      <c r="K8" s="25"/>
      <c r="L8" s="25"/>
      <c r="M8" s="26"/>
      <c r="N8" s="24"/>
      <c r="O8" s="27"/>
      <c r="P8" s="24"/>
      <c r="Q8" s="25"/>
      <c r="R8" s="25"/>
      <c r="S8" s="28"/>
      <c r="T8" s="28"/>
      <c r="U8" s="28"/>
      <c r="V8" s="28"/>
      <c r="W8" s="28"/>
      <c r="X8" s="28"/>
      <c r="Y8" s="28"/>
      <c r="Z8" s="28"/>
      <c r="AA8" s="28"/>
      <c r="AB8" s="28"/>
      <c r="AC8" s="28"/>
      <c r="AD8" s="28"/>
      <c r="AE8" s="28"/>
    </row>
    <row r="9" ht="15.75" customHeight="1">
      <c r="A9" s="33"/>
      <c r="B9" s="35"/>
      <c r="C9" s="20"/>
      <c r="D9" s="35"/>
      <c r="E9" s="36"/>
      <c r="F9" s="35"/>
      <c r="G9" s="33"/>
      <c r="H9" s="33"/>
      <c r="I9" s="23"/>
      <c r="J9" s="24"/>
      <c r="K9" s="25"/>
      <c r="L9" s="25"/>
      <c r="M9" s="26"/>
      <c r="N9" s="24"/>
      <c r="O9" s="27"/>
      <c r="P9" s="24"/>
      <c r="Q9" s="25"/>
      <c r="R9" s="25"/>
      <c r="S9" s="28"/>
      <c r="T9" s="28"/>
      <c r="U9" s="28"/>
      <c r="V9" s="28"/>
      <c r="W9" s="28"/>
      <c r="X9" s="28"/>
      <c r="Y9" s="28"/>
      <c r="Z9" s="28"/>
      <c r="AA9" s="28"/>
      <c r="AB9" s="28"/>
      <c r="AC9" s="28"/>
      <c r="AD9" s="28"/>
      <c r="AE9" s="28"/>
    </row>
    <row r="10" ht="15.75" customHeight="1">
      <c r="A10" s="33"/>
      <c r="B10" s="35"/>
      <c r="C10" s="20"/>
      <c r="D10" s="35"/>
      <c r="E10" s="36"/>
      <c r="F10" s="35"/>
      <c r="G10" s="33"/>
      <c r="H10" s="33"/>
      <c r="I10" s="23"/>
      <c r="J10" s="24"/>
      <c r="K10" s="25"/>
      <c r="L10" s="25"/>
      <c r="M10" s="26"/>
      <c r="N10" s="24"/>
      <c r="O10" s="27"/>
      <c r="P10" s="24"/>
      <c r="Q10" s="25"/>
      <c r="R10" s="25"/>
      <c r="S10" s="28"/>
      <c r="T10" s="28"/>
      <c r="U10" s="28"/>
      <c r="V10" s="28"/>
      <c r="W10" s="28"/>
      <c r="X10" s="28"/>
      <c r="Y10" s="28"/>
      <c r="Z10" s="28"/>
      <c r="AA10" s="28"/>
      <c r="AB10" s="28"/>
      <c r="AC10" s="28"/>
      <c r="AD10" s="28"/>
      <c r="AE10" s="28"/>
    </row>
    <row r="11" ht="15.75" customHeight="1">
      <c r="A11" s="33"/>
      <c r="B11" s="35"/>
      <c r="C11" s="20"/>
      <c r="D11" s="35"/>
      <c r="E11" s="36"/>
      <c r="F11" s="35"/>
      <c r="G11" s="33"/>
      <c r="H11" s="33"/>
      <c r="I11" s="23"/>
      <c r="J11" s="24"/>
      <c r="K11" s="25"/>
      <c r="L11" s="25"/>
      <c r="M11" s="26"/>
      <c r="N11" s="24"/>
      <c r="O11" s="27"/>
      <c r="P11" s="24"/>
      <c r="Q11" s="25"/>
      <c r="R11" s="25"/>
      <c r="S11" s="28"/>
      <c r="T11" s="28"/>
      <c r="U11" s="28"/>
      <c r="V11" s="28"/>
      <c r="W11" s="28"/>
      <c r="X11" s="28"/>
      <c r="Y11" s="28"/>
      <c r="Z11" s="28"/>
      <c r="AA11" s="28"/>
      <c r="AB11" s="28"/>
      <c r="AC11" s="28"/>
      <c r="AD11" s="28"/>
      <c r="AE11" s="28"/>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8.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8.5"/>
    <col customWidth="1" min="17" max="17" width="19.75"/>
    <col customWidth="1" min="18" max="18" width="23.38"/>
    <col customWidth="1" min="19" max="19" width="14.38"/>
    <col customWidth="1" min="20" max="20" width="12.25"/>
    <col customWidth="1" min="21" max="32" width="14.38"/>
  </cols>
  <sheetData>
    <row r="1" ht="15.75" customHeight="1">
      <c r="A1" s="37"/>
      <c r="B1" s="37" t="s">
        <v>1</v>
      </c>
      <c r="C1" s="38" t="s">
        <v>2</v>
      </c>
      <c r="D1" s="39" t="s">
        <v>3</v>
      </c>
      <c r="E1" s="39" t="s">
        <v>4</v>
      </c>
      <c r="F1" s="39" t="s">
        <v>49</v>
      </c>
      <c r="G1" s="39" t="s">
        <v>5</v>
      </c>
      <c r="H1" s="39" t="s">
        <v>6</v>
      </c>
      <c r="I1" s="39" t="s">
        <v>7</v>
      </c>
      <c r="J1" s="40" t="s">
        <v>8</v>
      </c>
      <c r="K1" s="41" t="s">
        <v>9</v>
      </c>
      <c r="L1" s="42" t="s">
        <v>10</v>
      </c>
      <c r="M1" s="42" t="s">
        <v>5</v>
      </c>
      <c r="N1" s="43" t="s">
        <v>11</v>
      </c>
      <c r="O1" s="44" t="s">
        <v>12</v>
      </c>
      <c r="P1" s="45" t="s">
        <v>13</v>
      </c>
      <c r="Q1" s="46" t="s">
        <v>14</v>
      </c>
      <c r="R1" s="47" t="s">
        <v>15</v>
      </c>
      <c r="S1" s="47" t="s">
        <v>16</v>
      </c>
      <c r="T1" s="47" t="s">
        <v>17</v>
      </c>
      <c r="U1" s="48" t="s">
        <v>50</v>
      </c>
      <c r="V1" s="13"/>
      <c r="W1" s="13"/>
      <c r="X1" s="13"/>
      <c r="Y1" s="13"/>
      <c r="Z1" s="13"/>
      <c r="AA1" s="13"/>
      <c r="AB1" s="13"/>
      <c r="AC1" s="13"/>
      <c r="AD1" s="13"/>
      <c r="AE1" s="13"/>
      <c r="AF1" s="13"/>
    </row>
    <row r="2" ht="85.5" customHeight="1">
      <c r="A2" s="49" t="s">
        <v>51</v>
      </c>
      <c r="B2" s="49" t="s">
        <v>19</v>
      </c>
      <c r="C2" s="15"/>
      <c r="D2" s="49" t="s">
        <v>52</v>
      </c>
      <c r="E2" s="49" t="s">
        <v>21</v>
      </c>
      <c r="F2" s="49"/>
      <c r="G2" s="49" t="s">
        <v>22</v>
      </c>
      <c r="H2" s="49" t="s">
        <v>23</v>
      </c>
      <c r="I2" s="49" t="s">
        <v>24</v>
      </c>
      <c r="J2" s="15"/>
      <c r="K2" s="50" t="s">
        <v>25</v>
      </c>
      <c r="L2" s="49" t="s">
        <v>26</v>
      </c>
      <c r="M2" s="49"/>
      <c r="N2" s="15"/>
      <c r="O2" s="50" t="s">
        <v>27</v>
      </c>
      <c r="P2" s="15"/>
      <c r="Q2" s="50"/>
      <c r="R2" s="49" t="s">
        <v>28</v>
      </c>
      <c r="S2" s="49" t="s">
        <v>29</v>
      </c>
      <c r="T2" s="49"/>
      <c r="U2" s="51" t="s">
        <v>53</v>
      </c>
      <c r="V2" s="14"/>
      <c r="W2" s="14"/>
      <c r="X2" s="14"/>
      <c r="Y2" s="14"/>
      <c r="Z2" s="14"/>
      <c r="AA2" s="14"/>
      <c r="AB2" s="14"/>
      <c r="AC2" s="14"/>
      <c r="AD2" s="14"/>
      <c r="AE2" s="14"/>
      <c r="AF2" s="14"/>
    </row>
    <row r="3">
      <c r="A3" s="30" t="s">
        <v>54</v>
      </c>
      <c r="B3" s="30" t="s">
        <v>55</v>
      </c>
      <c r="C3" s="52"/>
      <c r="D3" s="53" t="s">
        <v>56</v>
      </c>
      <c r="E3" s="31">
        <v>46187.0</v>
      </c>
      <c r="F3" s="30" t="s">
        <v>57</v>
      </c>
      <c r="G3" s="53" t="s">
        <v>58</v>
      </c>
      <c r="H3" s="30" t="s">
        <v>59</v>
      </c>
      <c r="I3" s="30" t="s">
        <v>60</v>
      </c>
      <c r="J3" s="54"/>
      <c r="K3" s="55"/>
      <c r="L3" s="35"/>
      <c r="M3" s="35"/>
      <c r="N3" s="56"/>
      <c r="O3" s="57" t="s">
        <v>61</v>
      </c>
      <c r="P3" s="58"/>
      <c r="Q3" s="57" t="s">
        <v>62</v>
      </c>
      <c r="R3" s="30" t="s">
        <v>63</v>
      </c>
      <c r="S3" s="30" t="s">
        <v>64</v>
      </c>
      <c r="T3" s="35"/>
      <c r="U3" s="35"/>
      <c r="V3" s="59"/>
      <c r="W3" s="59"/>
      <c r="X3" s="59"/>
      <c r="Y3" s="59"/>
      <c r="Z3" s="59"/>
      <c r="AA3" s="59"/>
      <c r="AB3" s="59"/>
      <c r="AC3" s="59"/>
      <c r="AD3" s="59"/>
      <c r="AE3" s="59"/>
      <c r="AF3" s="59"/>
    </row>
    <row r="4">
      <c r="A4" s="30" t="s">
        <v>65</v>
      </c>
      <c r="B4" s="30" t="s">
        <v>55</v>
      </c>
      <c r="C4" s="52"/>
      <c r="D4" s="53" t="s">
        <v>66</v>
      </c>
      <c r="E4" s="31">
        <v>46187.0</v>
      </c>
      <c r="F4" s="30" t="s">
        <v>67</v>
      </c>
      <c r="G4" s="60" t="s">
        <v>68</v>
      </c>
      <c r="H4" s="30" t="s">
        <v>69</v>
      </c>
      <c r="I4" s="30" t="s">
        <v>60</v>
      </c>
      <c r="J4" s="54"/>
      <c r="K4" s="55"/>
      <c r="L4" s="35"/>
      <c r="M4" s="35"/>
      <c r="N4" s="56"/>
      <c r="O4" s="57" t="s">
        <v>70</v>
      </c>
      <c r="P4" s="58"/>
      <c r="Q4" s="57" t="s">
        <v>71</v>
      </c>
      <c r="R4" s="30" t="s">
        <v>72</v>
      </c>
      <c r="S4" s="30" t="s">
        <v>73</v>
      </c>
      <c r="T4" s="35"/>
      <c r="U4" s="35"/>
      <c r="V4" s="59"/>
      <c r="W4" s="59"/>
      <c r="X4" s="59"/>
      <c r="Y4" s="59"/>
      <c r="Z4" s="59"/>
      <c r="AA4" s="59"/>
      <c r="AB4" s="59"/>
      <c r="AC4" s="59"/>
      <c r="AD4" s="59"/>
      <c r="AE4" s="59"/>
      <c r="AF4" s="59"/>
    </row>
    <row r="5">
      <c r="A5" s="30" t="s">
        <v>74</v>
      </c>
      <c r="B5" s="30" t="s">
        <v>55</v>
      </c>
      <c r="C5" s="52"/>
      <c r="D5" s="53" t="s">
        <v>75</v>
      </c>
      <c r="E5" s="31">
        <v>46187.0</v>
      </c>
      <c r="F5" s="30" t="s">
        <v>76</v>
      </c>
      <c r="G5" s="60" t="s">
        <v>77</v>
      </c>
      <c r="H5" s="30" t="s">
        <v>78</v>
      </c>
      <c r="I5" s="30" t="s">
        <v>60</v>
      </c>
      <c r="J5" s="54"/>
      <c r="K5" s="55"/>
      <c r="L5" s="35"/>
      <c r="M5" s="35"/>
      <c r="N5" s="56"/>
      <c r="O5" s="57" t="s">
        <v>79</v>
      </c>
      <c r="P5" s="58"/>
      <c r="Q5" s="57" t="s">
        <v>80</v>
      </c>
      <c r="R5" s="30" t="s">
        <v>81</v>
      </c>
      <c r="S5" s="30" t="s">
        <v>82</v>
      </c>
      <c r="T5" s="35"/>
      <c r="U5" s="35"/>
      <c r="V5" s="59"/>
      <c r="W5" s="59"/>
      <c r="X5" s="59"/>
      <c r="Y5" s="59"/>
      <c r="Z5" s="59"/>
      <c r="AA5" s="59"/>
      <c r="AB5" s="59"/>
      <c r="AC5" s="59"/>
      <c r="AD5" s="59"/>
      <c r="AE5" s="59"/>
      <c r="AF5" s="59"/>
    </row>
    <row r="6">
      <c r="A6" s="30" t="s">
        <v>83</v>
      </c>
      <c r="B6" s="30" t="s">
        <v>84</v>
      </c>
      <c r="C6" s="52"/>
      <c r="D6" s="53" t="s">
        <v>85</v>
      </c>
      <c r="E6" s="31">
        <v>46187.0</v>
      </c>
      <c r="F6" s="30" t="s">
        <v>86</v>
      </c>
      <c r="G6" s="61" t="s">
        <v>87</v>
      </c>
      <c r="H6" s="30" t="s">
        <v>88</v>
      </c>
      <c r="I6" s="30" t="s">
        <v>60</v>
      </c>
      <c r="J6" s="54"/>
      <c r="K6" s="55"/>
      <c r="L6" s="35"/>
      <c r="M6" s="35"/>
      <c r="N6" s="56"/>
      <c r="O6" s="57" t="s">
        <v>89</v>
      </c>
      <c r="P6" s="58"/>
      <c r="Q6" s="57" t="s">
        <v>90</v>
      </c>
      <c r="R6" s="30" t="s">
        <v>91</v>
      </c>
      <c r="S6" s="30" t="s">
        <v>92</v>
      </c>
      <c r="T6" s="35"/>
      <c r="U6" s="35"/>
      <c r="V6" s="59"/>
      <c r="W6" s="59"/>
      <c r="X6" s="59"/>
      <c r="Y6" s="59"/>
      <c r="Z6" s="59"/>
      <c r="AA6" s="59"/>
      <c r="AB6" s="59"/>
      <c r="AC6" s="59"/>
      <c r="AD6" s="59"/>
      <c r="AE6" s="59"/>
      <c r="AF6" s="59"/>
    </row>
    <row r="7">
      <c r="A7" s="30" t="s">
        <v>93</v>
      </c>
      <c r="B7" s="30" t="s">
        <v>94</v>
      </c>
      <c r="C7" s="52"/>
      <c r="D7" s="53" t="s">
        <v>95</v>
      </c>
      <c r="E7" s="31">
        <v>46187.0</v>
      </c>
      <c r="F7" s="30" t="s">
        <v>96</v>
      </c>
      <c r="G7" s="61" t="s">
        <v>97</v>
      </c>
      <c r="H7" s="30" t="s">
        <v>98</v>
      </c>
      <c r="I7" s="30" t="s">
        <v>60</v>
      </c>
      <c r="J7" s="54"/>
      <c r="K7" s="55"/>
      <c r="L7" s="35"/>
      <c r="M7" s="35"/>
      <c r="N7" s="56"/>
      <c r="O7" s="57" t="s">
        <v>99</v>
      </c>
      <c r="P7" s="58"/>
      <c r="Q7" s="57" t="s">
        <v>100</v>
      </c>
      <c r="R7" s="30" t="s">
        <v>101</v>
      </c>
      <c r="S7" s="30" t="s">
        <v>102</v>
      </c>
      <c r="T7" s="35"/>
      <c r="U7" s="35"/>
      <c r="V7" s="59"/>
      <c r="W7" s="59"/>
      <c r="X7" s="59"/>
      <c r="Y7" s="59"/>
      <c r="Z7" s="59"/>
      <c r="AA7" s="59"/>
      <c r="AB7" s="59"/>
      <c r="AC7" s="59"/>
      <c r="AD7" s="59"/>
      <c r="AE7" s="59"/>
      <c r="AF7" s="59"/>
    </row>
    <row r="8">
      <c r="A8" s="30" t="s">
        <v>103</v>
      </c>
      <c r="B8" s="62" t="s">
        <v>104</v>
      </c>
      <c r="C8" s="52"/>
      <c r="D8" s="53" t="s">
        <v>105</v>
      </c>
      <c r="E8" s="31">
        <v>46187.0</v>
      </c>
      <c r="F8" s="30" t="s">
        <v>106</v>
      </c>
      <c r="G8" s="61" t="s">
        <v>107</v>
      </c>
      <c r="H8" s="30" t="s">
        <v>108</v>
      </c>
      <c r="I8" s="30" t="s">
        <v>60</v>
      </c>
      <c r="J8" s="54"/>
      <c r="K8" s="55"/>
      <c r="L8" s="35"/>
      <c r="M8" s="35"/>
      <c r="N8" s="56"/>
      <c r="O8" s="57" t="s">
        <v>109</v>
      </c>
      <c r="P8" s="58"/>
      <c r="Q8" s="57" t="s">
        <v>110</v>
      </c>
      <c r="R8" s="30" t="s">
        <v>111</v>
      </c>
      <c r="S8" s="30" t="s">
        <v>112</v>
      </c>
      <c r="T8" s="35"/>
      <c r="U8" s="35"/>
      <c r="V8" s="59"/>
      <c r="W8" s="59"/>
      <c r="X8" s="59"/>
      <c r="Y8" s="59"/>
      <c r="Z8" s="59"/>
      <c r="AA8" s="59"/>
      <c r="AB8" s="59"/>
      <c r="AC8" s="59"/>
      <c r="AD8" s="59"/>
      <c r="AE8" s="59"/>
      <c r="AF8" s="59"/>
    </row>
    <row r="9">
      <c r="A9" s="63" t="s">
        <v>113</v>
      </c>
      <c r="B9" s="64" t="s">
        <v>114</v>
      </c>
      <c r="C9" s="65"/>
      <c r="D9" s="66" t="s">
        <v>115</v>
      </c>
      <c r="E9" s="31">
        <v>46189.0</v>
      </c>
      <c r="F9" s="30" t="s">
        <v>116</v>
      </c>
      <c r="G9" s="67" t="s">
        <v>117</v>
      </c>
      <c r="H9" s="30" t="s">
        <v>118</v>
      </c>
      <c r="I9" s="53" t="s">
        <v>60</v>
      </c>
      <c r="J9" s="54"/>
      <c r="K9" s="55"/>
      <c r="L9" s="35"/>
      <c r="M9" s="35"/>
      <c r="N9" s="56"/>
      <c r="O9" s="57" t="s">
        <v>119</v>
      </c>
      <c r="P9" s="58"/>
      <c r="Q9" s="53" t="s">
        <v>120</v>
      </c>
      <c r="R9" s="53" t="s">
        <v>121</v>
      </c>
      <c r="S9" s="53" t="s">
        <v>122</v>
      </c>
      <c r="T9" s="35"/>
      <c r="U9" s="35"/>
      <c r="V9" s="59"/>
      <c r="W9" s="59"/>
      <c r="X9" s="59"/>
      <c r="Y9" s="59"/>
      <c r="Z9" s="59"/>
      <c r="AA9" s="59"/>
      <c r="AB9" s="59"/>
      <c r="AC9" s="59"/>
      <c r="AD9" s="59"/>
      <c r="AE9" s="59"/>
      <c r="AF9" s="59"/>
    </row>
    <row r="10">
      <c r="A10" s="68" t="s">
        <v>123</v>
      </c>
      <c r="B10" s="69" t="s">
        <v>94</v>
      </c>
      <c r="C10" s="65"/>
      <c r="D10" s="53" t="s">
        <v>124</v>
      </c>
      <c r="E10" s="70">
        <v>46189.0</v>
      </c>
      <c r="F10" s="30" t="s">
        <v>125</v>
      </c>
      <c r="G10" s="71" t="s">
        <v>126</v>
      </c>
      <c r="H10" s="30" t="s">
        <v>127</v>
      </c>
      <c r="I10" s="30" t="s">
        <v>60</v>
      </c>
      <c r="J10" s="54"/>
      <c r="K10" s="55"/>
      <c r="L10" s="35"/>
      <c r="M10" s="35"/>
      <c r="N10" s="56"/>
      <c r="O10" s="57" t="s">
        <v>128</v>
      </c>
      <c r="P10" s="58"/>
      <c r="Q10" s="57" t="s">
        <v>129</v>
      </c>
      <c r="R10" s="30" t="s">
        <v>130</v>
      </c>
      <c r="S10" s="30" t="s">
        <v>131</v>
      </c>
      <c r="T10" s="35"/>
      <c r="U10" s="35"/>
      <c r="V10" s="33"/>
      <c r="W10" s="33"/>
      <c r="X10" s="33"/>
      <c r="Y10" s="33"/>
      <c r="Z10" s="33"/>
      <c r="AA10" s="33"/>
      <c r="AB10" s="33"/>
      <c r="AC10" s="33"/>
      <c r="AD10" s="33"/>
      <c r="AE10" s="33"/>
      <c r="AF10" s="33"/>
    </row>
    <row r="11">
      <c r="A11" s="30" t="s">
        <v>132</v>
      </c>
      <c r="B11" s="62" t="s">
        <v>133</v>
      </c>
      <c r="C11" s="52"/>
      <c r="D11" s="53" t="s">
        <v>134</v>
      </c>
      <c r="E11" s="70">
        <v>46189.0</v>
      </c>
      <c r="F11" s="30" t="s">
        <v>135</v>
      </c>
      <c r="G11" s="71" t="s">
        <v>136</v>
      </c>
      <c r="H11" s="30" t="s">
        <v>137</v>
      </c>
      <c r="I11" s="30" t="s">
        <v>60</v>
      </c>
      <c r="J11" s="54"/>
      <c r="K11" s="55"/>
      <c r="L11" s="35"/>
      <c r="M11" s="35"/>
      <c r="N11" s="56"/>
      <c r="O11" s="57" t="s">
        <v>138</v>
      </c>
      <c r="P11" s="58"/>
      <c r="Q11" s="57" t="s">
        <v>139</v>
      </c>
      <c r="R11" s="30" t="s">
        <v>140</v>
      </c>
      <c r="S11" s="30" t="s">
        <v>141</v>
      </c>
      <c r="T11" s="35"/>
      <c r="U11" s="35"/>
      <c r="V11" s="59"/>
      <c r="W11" s="59"/>
      <c r="X11" s="59"/>
      <c r="Y11" s="59"/>
      <c r="Z11" s="59"/>
      <c r="AA11" s="59"/>
      <c r="AB11" s="59"/>
      <c r="AC11" s="59"/>
      <c r="AD11" s="59"/>
      <c r="AE11" s="59"/>
      <c r="AF11" s="59"/>
    </row>
    <row r="12">
      <c r="A12" s="72" t="s">
        <v>142</v>
      </c>
      <c r="B12" s="73" t="s">
        <v>143</v>
      </c>
      <c r="C12" s="74"/>
      <c r="D12" s="66" t="s">
        <v>144</v>
      </c>
      <c r="E12" s="31">
        <v>46201.0</v>
      </c>
      <c r="F12" s="30" t="s">
        <v>145</v>
      </c>
      <c r="G12" s="71" t="s">
        <v>146</v>
      </c>
      <c r="H12" s="30" t="s">
        <v>147</v>
      </c>
      <c r="I12" s="30" t="s">
        <v>60</v>
      </c>
      <c r="J12" s="75"/>
      <c r="K12" s="76"/>
      <c r="L12" s="77"/>
      <c r="M12" s="77"/>
      <c r="N12" s="78"/>
      <c r="O12" s="79" t="s">
        <v>148</v>
      </c>
      <c r="P12" s="80"/>
      <c r="Q12" s="57" t="s">
        <v>149</v>
      </c>
      <c r="R12" s="30" t="s">
        <v>150</v>
      </c>
      <c r="S12" s="30" t="s">
        <v>151</v>
      </c>
      <c r="T12" s="35"/>
      <c r="U12" s="77"/>
      <c r="V12" s="59"/>
      <c r="W12" s="59"/>
      <c r="X12" s="59"/>
      <c r="Y12" s="59"/>
      <c r="Z12" s="59"/>
      <c r="AA12" s="59"/>
      <c r="AB12" s="59"/>
      <c r="AC12" s="59"/>
      <c r="AD12" s="59"/>
      <c r="AE12" s="59"/>
      <c r="AF12" s="59"/>
    </row>
    <row r="13">
      <c r="A13" s="72" t="s">
        <v>152</v>
      </c>
      <c r="B13" s="73" t="s">
        <v>153</v>
      </c>
      <c r="C13" s="74"/>
      <c r="D13" s="66" t="s">
        <v>154</v>
      </c>
      <c r="E13" s="31">
        <v>46201.0</v>
      </c>
      <c r="F13" s="30" t="s">
        <v>155</v>
      </c>
      <c r="G13" s="71" t="s">
        <v>156</v>
      </c>
      <c r="H13" s="30" t="s">
        <v>157</v>
      </c>
      <c r="I13" s="30" t="s">
        <v>60</v>
      </c>
      <c r="J13" s="75"/>
      <c r="K13" s="76"/>
      <c r="L13" s="77"/>
      <c r="M13" s="77"/>
      <c r="N13" s="78"/>
      <c r="O13" s="57" t="s">
        <v>70</v>
      </c>
      <c r="P13" s="80"/>
      <c r="Q13" s="57" t="s">
        <v>158</v>
      </c>
      <c r="R13" s="30" t="s">
        <v>159</v>
      </c>
      <c r="S13" s="30" t="s">
        <v>160</v>
      </c>
      <c r="T13" s="35"/>
      <c r="U13" s="77"/>
      <c r="V13" s="59"/>
      <c r="W13" s="59"/>
      <c r="X13" s="59"/>
      <c r="Y13" s="59"/>
      <c r="Z13" s="59"/>
      <c r="AA13" s="59"/>
      <c r="AB13" s="59"/>
      <c r="AC13" s="59"/>
      <c r="AD13" s="59"/>
      <c r="AE13" s="59"/>
      <c r="AF13" s="59"/>
    </row>
    <row r="14">
      <c r="A14" s="72" t="s">
        <v>161</v>
      </c>
      <c r="B14" s="81" t="s">
        <v>162</v>
      </c>
      <c r="C14" s="20"/>
      <c r="D14" s="66" t="s">
        <v>163</v>
      </c>
      <c r="E14" s="31">
        <v>46201.0</v>
      </c>
      <c r="F14" s="30" t="s">
        <v>164</v>
      </c>
      <c r="G14" s="71" t="s">
        <v>165</v>
      </c>
      <c r="H14" s="30" t="s">
        <v>166</v>
      </c>
      <c r="I14" s="30" t="s">
        <v>60</v>
      </c>
      <c r="J14" s="82"/>
      <c r="K14" s="24"/>
      <c r="L14" s="25"/>
      <c r="M14" s="83"/>
      <c r="N14" s="26"/>
      <c r="O14" s="57" t="s">
        <v>167</v>
      </c>
      <c r="P14" s="27"/>
      <c r="Q14" s="57" t="s">
        <v>168</v>
      </c>
      <c r="R14" s="30" t="s">
        <v>169</v>
      </c>
      <c r="S14" s="30" t="s">
        <v>170</v>
      </c>
      <c r="T14" s="35"/>
      <c r="U14" s="25"/>
      <c r="V14" s="28"/>
      <c r="W14" s="28"/>
      <c r="X14" s="28"/>
      <c r="Y14" s="28"/>
      <c r="Z14" s="28"/>
      <c r="AA14" s="28"/>
      <c r="AB14" s="28"/>
      <c r="AC14" s="28"/>
      <c r="AD14" s="28"/>
      <c r="AE14" s="28"/>
      <c r="AF14" s="28"/>
    </row>
    <row r="15">
      <c r="A15" s="84" t="s">
        <v>171</v>
      </c>
      <c r="B15" s="85" t="s">
        <v>172</v>
      </c>
      <c r="C15" s="86"/>
      <c r="D15" s="87" t="s">
        <v>173</v>
      </c>
      <c r="E15" s="88">
        <v>46201.0</v>
      </c>
      <c r="F15" s="89" t="s">
        <v>174</v>
      </c>
      <c r="G15" s="90" t="s">
        <v>175</v>
      </c>
      <c r="H15" s="89" t="s">
        <v>176</v>
      </c>
      <c r="I15" s="89" t="s">
        <v>60</v>
      </c>
      <c r="J15" s="86"/>
      <c r="K15" s="91"/>
      <c r="L15" s="92"/>
      <c r="M15" s="92"/>
      <c r="N15" s="86"/>
      <c r="O15" s="93" t="s">
        <v>119</v>
      </c>
      <c r="P15" s="86"/>
      <c r="Q15" s="93" t="s">
        <v>177</v>
      </c>
      <c r="R15" s="89" t="s">
        <v>178</v>
      </c>
      <c r="S15" s="89" t="s">
        <v>179</v>
      </c>
      <c r="T15" s="94"/>
      <c r="U15" s="92"/>
      <c r="V15" s="95"/>
      <c r="W15" s="95"/>
      <c r="X15" s="95"/>
      <c r="Y15" s="95"/>
      <c r="Z15" s="95"/>
      <c r="AA15" s="95"/>
      <c r="AB15" s="95"/>
      <c r="AC15" s="95"/>
      <c r="AD15" s="95"/>
      <c r="AE15" s="95"/>
      <c r="AF15" s="95"/>
    </row>
    <row r="16">
      <c r="A16" s="84" t="s">
        <v>180</v>
      </c>
      <c r="B16" s="85" t="s">
        <v>94</v>
      </c>
      <c r="C16" s="86"/>
      <c r="D16" s="87" t="s">
        <v>181</v>
      </c>
      <c r="E16" s="88">
        <v>46201.0</v>
      </c>
      <c r="F16" s="89" t="s">
        <v>182</v>
      </c>
      <c r="G16" s="90" t="s">
        <v>175</v>
      </c>
      <c r="H16" s="89" t="s">
        <v>183</v>
      </c>
      <c r="I16" s="89" t="s">
        <v>60</v>
      </c>
      <c r="J16" s="86"/>
      <c r="K16" s="91"/>
      <c r="L16" s="92"/>
      <c r="M16" s="92"/>
      <c r="N16" s="86"/>
      <c r="O16" s="93" t="s">
        <v>184</v>
      </c>
      <c r="P16" s="86"/>
      <c r="Q16" s="93" t="s">
        <v>185</v>
      </c>
      <c r="R16" s="89" t="s">
        <v>186</v>
      </c>
      <c r="S16" s="89" t="s">
        <v>187</v>
      </c>
      <c r="T16" s="94"/>
      <c r="U16" s="92"/>
      <c r="V16" s="95"/>
      <c r="W16" s="95"/>
      <c r="X16" s="95"/>
      <c r="Y16" s="95"/>
      <c r="Z16" s="95"/>
      <c r="AA16" s="95"/>
      <c r="AB16" s="95"/>
      <c r="AC16" s="95"/>
      <c r="AD16" s="95"/>
      <c r="AE16" s="95"/>
      <c r="AF16" s="95"/>
    </row>
    <row r="17">
      <c r="A17" s="84" t="s">
        <v>188</v>
      </c>
      <c r="B17" s="85" t="s">
        <v>189</v>
      </c>
      <c r="C17" s="86"/>
      <c r="D17" s="87" t="s">
        <v>190</v>
      </c>
      <c r="E17" s="88">
        <v>46201.0</v>
      </c>
      <c r="F17" s="89" t="s">
        <v>191</v>
      </c>
      <c r="G17" s="90" t="s">
        <v>192</v>
      </c>
      <c r="H17" s="89" t="s">
        <v>193</v>
      </c>
      <c r="I17" s="89" t="s">
        <v>60</v>
      </c>
      <c r="J17" s="86"/>
      <c r="K17" s="91"/>
      <c r="L17" s="92"/>
      <c r="M17" s="96"/>
      <c r="N17" s="86"/>
      <c r="O17" s="93" t="s">
        <v>194</v>
      </c>
      <c r="P17" s="86"/>
      <c r="Q17" s="93" t="s">
        <v>191</v>
      </c>
      <c r="R17" s="89" t="s">
        <v>195</v>
      </c>
      <c r="S17" s="89" t="s">
        <v>196</v>
      </c>
      <c r="T17" s="94"/>
      <c r="U17" s="92"/>
      <c r="V17" s="95"/>
      <c r="W17" s="95"/>
      <c r="X17" s="95"/>
      <c r="Y17" s="95"/>
      <c r="Z17" s="95"/>
      <c r="AA17" s="95"/>
      <c r="AB17" s="95"/>
      <c r="AC17" s="95"/>
      <c r="AD17" s="95"/>
      <c r="AE17" s="95"/>
      <c r="AF17" s="95"/>
    </row>
    <row r="18">
      <c r="A18" s="33"/>
      <c r="B18" s="97"/>
      <c r="C18" s="20"/>
      <c r="D18" s="98"/>
      <c r="E18" s="36"/>
      <c r="F18" s="36"/>
      <c r="G18" s="99"/>
      <c r="H18" s="35"/>
      <c r="I18" s="35"/>
      <c r="J18" s="23"/>
      <c r="K18" s="24"/>
      <c r="L18" s="25"/>
      <c r="M18" s="25"/>
      <c r="N18" s="26"/>
      <c r="O18" s="24"/>
      <c r="P18" s="27"/>
      <c r="Q18" s="55"/>
      <c r="R18" s="35"/>
      <c r="S18" s="35"/>
      <c r="T18" s="35"/>
      <c r="U18" s="25"/>
      <c r="V18" s="28"/>
      <c r="W18" s="28"/>
      <c r="X18" s="28"/>
      <c r="Y18" s="28"/>
      <c r="Z18" s="28"/>
      <c r="AA18" s="28"/>
      <c r="AB18" s="28"/>
      <c r="AC18" s="28"/>
      <c r="AD18" s="28"/>
      <c r="AE18" s="28"/>
      <c r="AF18" s="28"/>
    </row>
  </sheetData>
  <mergeCells count="4">
    <mergeCell ref="C1:C2"/>
    <mergeCell ref="J1:J2"/>
    <mergeCell ref="N1:N2"/>
    <mergeCell ref="P1:P2"/>
  </mergeCells>
  <hyperlinks>
    <hyperlink r:id="rId1" ref="G4"/>
    <hyperlink r:id="rId2" ref="G5"/>
  </hyperlinks>
  <printOptions/>
  <pageMargins bottom="0.75" footer="0.0" header="0.0" left="0.25" right="0.25" top="0.75"/>
  <pageSetup fitToHeight="0" paperSize="3"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100" t="s">
        <v>197</v>
      </c>
      <c r="B1" s="100" t="s">
        <v>198</v>
      </c>
      <c r="C1" s="100" t="s">
        <v>199</v>
      </c>
      <c r="D1" s="100" t="s">
        <v>200</v>
      </c>
      <c r="E1" s="100" t="s">
        <v>201</v>
      </c>
      <c r="F1" s="100" t="s">
        <v>202</v>
      </c>
      <c r="G1" s="100" t="s">
        <v>203</v>
      </c>
      <c r="H1" s="100" t="s">
        <v>204</v>
      </c>
      <c r="I1" s="100" t="s">
        <v>205</v>
      </c>
      <c r="J1" s="100" t="s">
        <v>206</v>
      </c>
      <c r="K1" s="100" t="s">
        <v>207</v>
      </c>
    </row>
    <row r="2" ht="12.75" customHeight="1">
      <c r="A2" s="101"/>
    </row>
    <row r="3" ht="12.75" customHeight="1">
      <c r="A3" s="101"/>
    </row>
    <row r="4" ht="12.75" customHeight="1">
      <c r="A4" s="101"/>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102" t="s">
        <v>208</v>
      </c>
      <c r="B1" s="102" t="s">
        <v>209</v>
      </c>
      <c r="C1" s="102" t="s">
        <v>210</v>
      </c>
      <c r="D1" s="102" t="s">
        <v>211</v>
      </c>
      <c r="E1" s="102" t="s">
        <v>212</v>
      </c>
      <c r="F1" s="102" t="s">
        <v>213</v>
      </c>
      <c r="G1" s="102" t="s">
        <v>214</v>
      </c>
      <c r="H1" s="102" t="s">
        <v>215</v>
      </c>
      <c r="I1" s="102" t="s">
        <v>216</v>
      </c>
      <c r="J1" s="102" t="s">
        <v>217</v>
      </c>
      <c r="K1" s="102" t="s">
        <v>218</v>
      </c>
      <c r="L1" s="102" t="s">
        <v>219</v>
      </c>
      <c r="M1" s="103"/>
    </row>
    <row r="2">
      <c r="A2" s="103" t="s">
        <v>220</v>
      </c>
      <c r="B2" s="104" t="s">
        <v>221</v>
      </c>
      <c r="C2" s="103" t="s">
        <v>222</v>
      </c>
      <c r="D2" s="53" t="s">
        <v>223</v>
      </c>
      <c r="E2" s="53" t="s">
        <v>224</v>
      </c>
      <c r="F2" s="53" t="s">
        <v>225</v>
      </c>
      <c r="G2" s="53" t="s">
        <v>226</v>
      </c>
      <c r="H2" s="53" t="s">
        <v>227</v>
      </c>
      <c r="I2" s="53" t="s">
        <v>228</v>
      </c>
      <c r="J2" s="53" t="s">
        <v>229</v>
      </c>
      <c r="K2" s="53" t="s">
        <v>230</v>
      </c>
      <c r="L2" s="105"/>
      <c r="M2" s="53"/>
    </row>
    <row r="3">
      <c r="A3" s="106" t="s">
        <v>231</v>
      </c>
      <c r="B3" s="104" t="s">
        <v>232</v>
      </c>
      <c r="C3" s="106" t="s">
        <v>233</v>
      </c>
      <c r="D3" s="53" t="s">
        <v>234</v>
      </c>
      <c r="E3" s="53" t="s">
        <v>235</v>
      </c>
      <c r="F3" s="53" t="s">
        <v>236</v>
      </c>
      <c r="G3" s="53" t="s">
        <v>237</v>
      </c>
      <c r="H3" s="53" t="s">
        <v>238</v>
      </c>
      <c r="I3" s="53" t="s">
        <v>239</v>
      </c>
      <c r="J3" s="53" t="s">
        <v>240</v>
      </c>
      <c r="K3" s="53" t="s">
        <v>241</v>
      </c>
      <c r="L3" s="105"/>
      <c r="M3" s="105"/>
    </row>
    <row r="4">
      <c r="A4" s="106" t="s">
        <v>242</v>
      </c>
      <c r="B4" s="104" t="s">
        <v>243</v>
      </c>
      <c r="C4" s="106" t="s">
        <v>244</v>
      </c>
      <c r="D4" s="53" t="s">
        <v>245</v>
      </c>
      <c r="E4" s="53" t="s">
        <v>246</v>
      </c>
      <c r="F4" s="53" t="s">
        <v>247</v>
      </c>
      <c r="G4" s="53" t="s">
        <v>248</v>
      </c>
      <c r="H4" s="53" t="s">
        <v>249</v>
      </c>
      <c r="I4" s="53" t="s">
        <v>228</v>
      </c>
      <c r="J4" s="53" t="s">
        <v>250</v>
      </c>
      <c r="K4" s="53" t="s">
        <v>251</v>
      </c>
      <c r="L4" s="105"/>
      <c r="M4" s="105"/>
    </row>
    <row r="5">
      <c r="A5" s="106" t="s">
        <v>252</v>
      </c>
      <c r="B5" s="104" t="s">
        <v>253</v>
      </c>
      <c r="C5" s="106" t="s">
        <v>254</v>
      </c>
      <c r="D5" s="53" t="s">
        <v>245</v>
      </c>
      <c r="E5" s="53" t="s">
        <v>255</v>
      </c>
      <c r="F5" s="53" t="s">
        <v>256</v>
      </c>
      <c r="G5" s="53" t="s">
        <v>257</v>
      </c>
      <c r="H5" s="53" t="s">
        <v>258</v>
      </c>
      <c r="I5" s="53" t="s">
        <v>228</v>
      </c>
      <c r="J5" s="53" t="s">
        <v>259</v>
      </c>
      <c r="K5" s="53" t="s">
        <v>260</v>
      </c>
      <c r="L5" s="105"/>
      <c r="M5" s="105"/>
    </row>
    <row r="6">
      <c r="A6" s="106" t="s">
        <v>261</v>
      </c>
      <c r="B6" s="104" t="s">
        <v>262</v>
      </c>
      <c r="C6" s="106" t="s">
        <v>263</v>
      </c>
      <c r="D6" s="53" t="s">
        <v>245</v>
      </c>
      <c r="E6" s="53" t="s">
        <v>264</v>
      </c>
      <c r="F6" s="53" t="s">
        <v>265</v>
      </c>
      <c r="G6" s="53" t="s">
        <v>266</v>
      </c>
      <c r="H6" s="53" t="s">
        <v>267</v>
      </c>
      <c r="I6" s="53" t="s">
        <v>239</v>
      </c>
      <c r="J6" s="53" t="s">
        <v>268</v>
      </c>
      <c r="K6" s="53" t="s">
        <v>251</v>
      </c>
      <c r="L6" s="105"/>
      <c r="M6" s="105"/>
    </row>
    <row r="7">
      <c r="A7" s="106" t="s">
        <v>269</v>
      </c>
      <c r="B7" s="104" t="s">
        <v>270</v>
      </c>
      <c r="C7" s="106" t="s">
        <v>271</v>
      </c>
      <c r="D7" s="53" t="s">
        <v>234</v>
      </c>
      <c r="E7" s="53" t="s">
        <v>272</v>
      </c>
      <c r="F7" s="53" t="s">
        <v>273</v>
      </c>
      <c r="G7" s="53" t="s">
        <v>274</v>
      </c>
      <c r="H7" s="53" t="s">
        <v>275</v>
      </c>
      <c r="I7" s="53" t="s">
        <v>276</v>
      </c>
      <c r="J7" s="53" t="s">
        <v>277</v>
      </c>
      <c r="K7" s="53" t="s">
        <v>278</v>
      </c>
      <c r="L7" s="105"/>
      <c r="M7" s="105"/>
    </row>
    <row r="8" ht="14.25" customHeight="1">
      <c r="A8" s="107"/>
      <c r="B8" s="107"/>
      <c r="C8" s="103"/>
      <c r="D8" s="107"/>
      <c r="E8" s="107"/>
      <c r="F8" s="107"/>
      <c r="G8" s="107"/>
      <c r="H8" s="107"/>
      <c r="I8" s="107"/>
      <c r="J8" s="107"/>
      <c r="K8" s="107"/>
      <c r="L8" s="107"/>
      <c r="M8" s="107"/>
    </row>
  </sheetData>
  <printOptions/>
  <pageMargins bottom="0.75" footer="0.0" header="0.0" left="0.7" right="0.7" top="0.75"/>
  <pageSetup paperSize="8"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108" t="s">
        <v>1</v>
      </c>
      <c r="B1" s="108" t="s">
        <v>279</v>
      </c>
      <c r="C1" s="108" t="s">
        <v>280</v>
      </c>
      <c r="D1" s="108" t="s">
        <v>281</v>
      </c>
      <c r="E1" s="108" t="s">
        <v>282</v>
      </c>
      <c r="F1" s="108" t="s">
        <v>283</v>
      </c>
      <c r="G1" s="108" t="s">
        <v>284</v>
      </c>
      <c r="H1" s="108" t="s">
        <v>4</v>
      </c>
      <c r="I1" s="109" t="s">
        <v>285</v>
      </c>
    </row>
    <row r="2" ht="15.75" customHeight="1">
      <c r="A2" s="28" t="str">
        <f>Requirements!B3</f>
        <v>System [Mission level]</v>
      </c>
      <c r="B2" s="28" t="str">
        <f>Requirements!A3</f>
        <v>REQ.01.01</v>
      </c>
      <c r="C2" s="110"/>
      <c r="D2" s="110"/>
      <c r="E2" s="110"/>
      <c r="F2" s="111"/>
      <c r="G2" s="111"/>
      <c r="H2" s="112"/>
      <c r="I2" s="110" t="s">
        <v>286</v>
      </c>
    </row>
    <row r="3" ht="15.75" customHeight="1">
      <c r="A3" s="28" t="str">
        <f>Requirements!B12</f>
        <v>Subsystem [Operational Level] Thermal</v>
      </c>
      <c r="B3" s="28" t="str">
        <f>Requirements!A12</f>
        <v>REQ.05.01</v>
      </c>
      <c r="C3" s="110"/>
      <c r="D3" s="110"/>
      <c r="E3" s="110"/>
      <c r="F3" s="111"/>
      <c r="G3" s="111"/>
      <c r="H3" s="112"/>
      <c r="I3" s="112" t="s">
        <v>287</v>
      </c>
    </row>
    <row r="4" ht="15.75" customHeight="1">
      <c r="A4" s="28" t="str">
        <f t="shared" ref="A4:B4" si="1">#REF!</f>
        <v>#REF!</v>
      </c>
      <c r="B4" s="28" t="str">
        <f t="shared" si="1"/>
        <v>#REF!</v>
      </c>
      <c r="C4" s="110"/>
      <c r="D4" s="110"/>
      <c r="E4" s="110"/>
      <c r="F4" s="111"/>
      <c r="G4" s="111"/>
      <c r="H4" s="112"/>
      <c r="I4" s="112" t="s">
        <v>288</v>
      </c>
    </row>
    <row r="5" ht="15.75" customHeight="1">
      <c r="A5" s="28" t="str">
        <f t="shared" ref="A5:B5" si="2">#REF!</f>
        <v>#REF!</v>
      </c>
      <c r="B5" s="28" t="str">
        <f t="shared" si="2"/>
        <v>#REF!</v>
      </c>
      <c r="C5" s="110"/>
      <c r="D5" s="110"/>
      <c r="E5" s="110"/>
      <c r="F5" s="111"/>
      <c r="G5" s="111"/>
      <c r="H5" s="112"/>
      <c r="I5" s="112" t="s">
        <v>289</v>
      </c>
    </row>
    <row r="6" ht="15.75" customHeight="1">
      <c r="A6" s="28" t="str">
        <f>Requirements!B13</f>
        <v>Subsystem [Operations Level] CDH</v>
      </c>
      <c r="B6" s="28" t="str">
        <f>Requirements!A13</f>
        <v>REQ.05.02</v>
      </c>
      <c r="C6" s="110"/>
      <c r="D6" s="110"/>
      <c r="E6" s="110"/>
      <c r="F6" s="111"/>
      <c r="G6" s="111"/>
      <c r="H6" s="112"/>
      <c r="I6" s="112" t="s">
        <v>290</v>
      </c>
    </row>
    <row r="7" ht="15.75" customHeight="1">
      <c r="A7" s="28" t="str">
        <f>Requirements!B14</f>
        <v>Subsystem [Operations Level] Power</v>
      </c>
      <c r="B7" s="28" t="str">
        <f>Requirements!A14</f>
        <v>REQ.05.03</v>
      </c>
      <c r="C7" s="110"/>
      <c r="D7" s="110"/>
      <c r="E7" s="110"/>
      <c r="F7" s="111"/>
      <c r="G7" s="111"/>
      <c r="H7" s="112"/>
      <c r="I7" s="112"/>
    </row>
    <row r="8" ht="15.75" customHeight="1">
      <c r="A8" s="28" t="str">
        <f t="shared" ref="A8:B8" si="3">#REF!</f>
        <v>#REF!</v>
      </c>
      <c r="B8" s="28" t="str">
        <f t="shared" si="3"/>
        <v>#REF!</v>
      </c>
      <c r="C8" s="110"/>
      <c r="D8" s="110"/>
      <c r="E8" s="110"/>
      <c r="F8" s="111"/>
      <c r="G8" s="111"/>
      <c r="H8" s="112"/>
      <c r="I8" s="112"/>
    </row>
    <row r="9" ht="15.75" customHeight="1">
      <c r="A9" s="28" t="str">
        <f t="shared" ref="A9:B9" si="4">#REF!</f>
        <v>#REF!</v>
      </c>
      <c r="B9" s="28" t="str">
        <f t="shared" si="4"/>
        <v>#REF!</v>
      </c>
      <c r="C9" s="110"/>
      <c r="D9" s="110"/>
      <c r="E9" s="110"/>
      <c r="F9" s="111"/>
      <c r="G9" s="111"/>
      <c r="H9" s="112"/>
      <c r="I9" s="112"/>
    </row>
    <row r="10" ht="15.75" customHeight="1">
      <c r="A10" s="28" t="str">
        <f>Requirements!B15</f>
        <v>Subsystem [Operation Level] Mobility</v>
      </c>
      <c r="B10" s="28" t="str">
        <f>Requirements!A15</f>
        <v>REQ.06.01</v>
      </c>
      <c r="C10" s="110"/>
      <c r="D10" s="110"/>
      <c r="E10" s="110"/>
      <c r="F10" s="111"/>
      <c r="G10" s="111"/>
      <c r="H10" s="112"/>
      <c r="I10" s="112"/>
    </row>
    <row r="11" ht="15.75" customHeight="1">
      <c r="A11" s="28" t="str">
        <f>Requirements!B16</f>
        <v>Subsystem [Operations Level] Science / Payload</v>
      </c>
      <c r="B11" s="28" t="str">
        <f>Requirements!A16</f>
        <v>REQ.06.02</v>
      </c>
      <c r="C11" s="110"/>
      <c r="D11" s="110"/>
      <c r="E11" s="110"/>
      <c r="F11" s="111"/>
      <c r="G11" s="111"/>
      <c r="H11" s="112"/>
      <c r="I11" s="112"/>
    </row>
    <row r="12" ht="15.75" customHeight="1">
      <c r="A12" s="28" t="str">
        <f>Requirements!B17</f>
        <v>Subsystem [Operations Level] COMMs</v>
      </c>
      <c r="B12" s="28" t="str">
        <f>Requirements!A17</f>
        <v>REQ.06.03</v>
      </c>
      <c r="C12" s="110"/>
      <c r="D12" s="110"/>
      <c r="E12" s="110"/>
      <c r="F12" s="111"/>
      <c r="G12" s="111"/>
      <c r="H12" s="112"/>
      <c r="I12" s="112"/>
    </row>
    <row r="13" ht="15.75" customHeight="1">
      <c r="A13" s="28" t="str">
        <f>Requirements!B18</f>
        <v/>
      </c>
      <c r="B13" s="28" t="str">
        <f>Requirements!A18</f>
        <v/>
      </c>
      <c r="C13" s="110"/>
      <c r="D13" s="110"/>
      <c r="E13" s="113"/>
      <c r="F13" s="110"/>
      <c r="G13" s="111"/>
      <c r="H13" s="112"/>
      <c r="I13" s="112"/>
    </row>
    <row r="14" ht="15.75" customHeight="1">
      <c r="A14" s="28" t="str">
        <f t="shared" ref="A14:B14" si="5">#REF!</f>
        <v>#REF!</v>
      </c>
      <c r="B14" s="28" t="str">
        <f t="shared" si="5"/>
        <v>#REF!</v>
      </c>
      <c r="C14" s="110"/>
      <c r="D14" s="110"/>
      <c r="E14" s="113"/>
      <c r="F14" s="110"/>
      <c r="G14" s="111"/>
      <c r="H14" s="112"/>
      <c r="I14" s="112"/>
    </row>
    <row r="15" ht="15.75" customHeight="1">
      <c r="A15" s="28" t="str">
        <f t="shared" ref="A15:B15" si="6">#REF!</f>
        <v>#REF!</v>
      </c>
      <c r="B15" s="28" t="str">
        <f t="shared" si="6"/>
        <v>#REF!</v>
      </c>
      <c r="C15" s="110"/>
      <c r="D15" s="110"/>
      <c r="E15" s="113"/>
      <c r="F15" s="110"/>
      <c r="G15" s="35"/>
      <c r="H15" s="114"/>
      <c r="I15" s="114"/>
    </row>
    <row r="16" ht="15.75" customHeight="1">
      <c r="A16" s="28" t="str">
        <f t="shared" ref="A16:B16" si="7">#REF!</f>
        <v>#REF!</v>
      </c>
      <c r="B16" s="28" t="str">
        <f t="shared" si="7"/>
        <v>#REF!</v>
      </c>
      <c r="C16" s="110"/>
      <c r="D16" s="110"/>
      <c r="E16" s="113"/>
      <c r="F16" s="110"/>
      <c r="G16" s="111"/>
      <c r="H16" s="112"/>
      <c r="I16" s="112"/>
    </row>
    <row r="17" ht="15.75" customHeight="1">
      <c r="A17" s="28" t="str">
        <f t="shared" ref="A17:B17" si="8">#REF!</f>
        <v>#REF!</v>
      </c>
      <c r="B17" s="28" t="str">
        <f t="shared" si="8"/>
        <v>#REF!</v>
      </c>
      <c r="C17" s="110"/>
      <c r="D17" s="110"/>
      <c r="E17" s="110"/>
      <c r="F17" s="111"/>
      <c r="G17" s="111"/>
      <c r="H17" s="112"/>
      <c r="I17" s="112"/>
    </row>
    <row r="18" ht="15.75" customHeight="1">
      <c r="A18" s="28" t="str">
        <f t="shared" ref="A18:B18" si="9">#REF!</f>
        <v>#REF!</v>
      </c>
      <c r="B18" s="28" t="str">
        <f t="shared" si="9"/>
        <v>#REF!</v>
      </c>
      <c r="C18" s="110"/>
      <c r="D18" s="110"/>
      <c r="E18" s="110"/>
      <c r="F18" s="111"/>
      <c r="G18" s="111"/>
      <c r="H18" s="115"/>
      <c r="I18" s="112"/>
    </row>
    <row r="19" ht="15.75" customHeight="1">
      <c r="A19" s="28" t="str">
        <f t="shared" ref="A19:B19" si="10">#REF!</f>
        <v>#REF!</v>
      </c>
      <c r="B19" s="28" t="str">
        <f t="shared" si="10"/>
        <v>#REF!</v>
      </c>
      <c r="C19" s="110"/>
      <c r="D19" s="110"/>
      <c r="E19" s="110"/>
      <c r="F19" s="111"/>
      <c r="G19" s="111"/>
      <c r="H19" s="112"/>
      <c r="I19" s="112"/>
    </row>
    <row r="20" ht="15.75" customHeight="1">
      <c r="A20" s="28" t="str">
        <f t="shared" ref="A20:B20" si="11">#REF!</f>
        <v>#REF!</v>
      </c>
      <c r="B20" s="28" t="str">
        <f t="shared" si="11"/>
        <v>#REF!</v>
      </c>
      <c r="C20" s="110"/>
      <c r="D20" s="110"/>
      <c r="E20" s="110"/>
      <c r="F20" s="111"/>
      <c r="G20" s="111"/>
      <c r="H20" s="116"/>
      <c r="I20" s="112"/>
    </row>
    <row r="21" ht="15.75" customHeight="1">
      <c r="A21" s="28" t="str">
        <f t="shared" ref="A21:B21" si="12">#REF!</f>
        <v>#REF!</v>
      </c>
      <c r="B21" s="28" t="str">
        <f t="shared" si="12"/>
        <v>#REF!</v>
      </c>
      <c r="C21" s="110"/>
      <c r="D21" s="110"/>
      <c r="E21" s="110"/>
      <c r="F21" s="111"/>
      <c r="G21" s="111"/>
      <c r="H21" s="112"/>
      <c r="I21" s="112"/>
    </row>
    <row r="22" ht="15.75" customHeight="1">
      <c r="A22" s="28" t="str">
        <f t="shared" ref="A22:B22" si="13">#REF!</f>
        <v>#REF!</v>
      </c>
      <c r="B22" s="28" t="str">
        <f t="shared" si="13"/>
        <v>#REF!</v>
      </c>
      <c r="C22" s="110"/>
      <c r="D22" s="110"/>
      <c r="E22" s="110"/>
      <c r="F22" s="111"/>
      <c r="G22" s="111"/>
      <c r="H22" s="112"/>
      <c r="I22" s="112"/>
    </row>
    <row r="23" ht="15.75" customHeight="1">
      <c r="A23" s="28" t="str">
        <f t="shared" ref="A23:B23" si="14">#REF!</f>
        <v>#REF!</v>
      </c>
      <c r="B23" s="28" t="str">
        <f t="shared" si="14"/>
        <v>#REF!</v>
      </c>
      <c r="C23" s="110"/>
      <c r="D23" s="110"/>
      <c r="E23" s="110"/>
      <c r="F23" s="111"/>
      <c r="G23" s="111"/>
      <c r="H23" s="112"/>
      <c r="I23" s="112"/>
    </row>
    <row r="24" ht="15.75" customHeight="1">
      <c r="A24" s="28" t="str">
        <f t="shared" ref="A24:B24" si="15">#REF!</f>
        <v>#REF!</v>
      </c>
      <c r="B24" s="28" t="str">
        <f t="shared" si="15"/>
        <v>#REF!</v>
      </c>
      <c r="C24" s="110"/>
      <c r="D24" s="110"/>
      <c r="E24" s="110"/>
      <c r="F24" s="111"/>
      <c r="G24" s="111"/>
      <c r="H24" s="112"/>
      <c r="I24" s="112"/>
    </row>
    <row r="25" ht="56.25" customHeight="1">
      <c r="A25" s="28" t="str">
        <f t="shared" ref="A25:B25" si="16">#REF!</f>
        <v>#REF!</v>
      </c>
      <c r="B25" s="28" t="str">
        <f t="shared" si="16"/>
        <v>#REF!</v>
      </c>
      <c r="C25" s="110"/>
      <c r="D25" s="110"/>
      <c r="E25" s="110"/>
      <c r="F25" s="111"/>
      <c r="G25" s="111"/>
      <c r="H25" s="112"/>
      <c r="I25" s="112"/>
    </row>
    <row r="26" ht="56.25" customHeight="1">
      <c r="A26" s="28" t="str">
        <f t="shared" ref="A26:B26" si="17">#REF!</f>
        <v>#REF!</v>
      </c>
      <c r="B26" s="28" t="str">
        <f t="shared" si="17"/>
        <v>#REF!</v>
      </c>
      <c r="C26" s="110"/>
      <c r="D26" s="110"/>
      <c r="E26" s="110"/>
      <c r="F26" s="111"/>
      <c r="G26" s="111"/>
      <c r="H26" s="112"/>
      <c r="I26" s="112"/>
    </row>
    <row r="27" ht="15.75" customHeight="1">
      <c r="A27" s="28" t="str">
        <f t="shared" ref="A27:B27" si="18">#REF!</f>
        <v>#REF!</v>
      </c>
      <c r="B27" s="28" t="str">
        <f t="shared" si="18"/>
        <v>#REF!</v>
      </c>
      <c r="C27" s="110"/>
      <c r="D27" s="110"/>
      <c r="E27" s="110"/>
      <c r="F27" s="110"/>
      <c r="G27" s="111"/>
      <c r="H27" s="112"/>
      <c r="I27" s="112"/>
    </row>
    <row r="28" ht="15.75" customHeight="1">
      <c r="A28" s="28" t="str">
        <f t="shared" ref="A28:B28" si="19">#REF!</f>
        <v>#REF!</v>
      </c>
      <c r="B28" s="28" t="str">
        <f t="shared" si="19"/>
        <v>#REF!</v>
      </c>
      <c r="C28" s="110"/>
      <c r="D28" s="110"/>
      <c r="E28" s="110"/>
      <c r="F28" s="110"/>
      <c r="G28" s="111"/>
      <c r="H28" s="112"/>
      <c r="I28" s="112"/>
    </row>
    <row r="29" ht="15.75" customHeight="1">
      <c r="A29" s="28" t="str">
        <f t="shared" ref="A29:B29" si="20">#REF!</f>
        <v>#REF!</v>
      </c>
      <c r="B29" s="28" t="str">
        <f t="shared" si="20"/>
        <v>#REF!</v>
      </c>
      <c r="C29" s="110"/>
      <c r="D29" s="110"/>
      <c r="E29" s="110"/>
      <c r="F29" s="111"/>
      <c r="G29" s="111"/>
      <c r="H29" s="112"/>
      <c r="I29" s="112"/>
    </row>
    <row r="30" ht="15.75" customHeight="1">
      <c r="A30" s="28" t="str">
        <f t="shared" ref="A30:B30" si="21">#REF!</f>
        <v>#REF!</v>
      </c>
      <c r="B30" s="28" t="str">
        <f t="shared" si="21"/>
        <v>#REF!</v>
      </c>
      <c r="C30" s="110"/>
      <c r="D30" s="110"/>
      <c r="E30" s="110"/>
      <c r="F30" s="35"/>
      <c r="G30" s="35"/>
      <c r="H30" s="117"/>
      <c r="I30" s="114"/>
    </row>
    <row r="31" ht="15.75" customHeight="1">
      <c r="A31" s="28" t="str">
        <f t="shared" ref="A31:B31" si="22">#REF!</f>
        <v>#REF!</v>
      </c>
      <c r="B31" s="28" t="str">
        <f t="shared" si="22"/>
        <v>#REF!</v>
      </c>
      <c r="C31" s="110"/>
      <c r="D31" s="110"/>
      <c r="E31" s="110"/>
      <c r="F31" s="111"/>
      <c r="G31" s="111"/>
      <c r="H31" s="118"/>
      <c r="I31" s="112"/>
    </row>
    <row r="32" ht="15.75" customHeight="1">
      <c r="A32" s="28" t="str">
        <f t="shared" ref="A32:B32" si="23">#REF!</f>
        <v>#REF!</v>
      </c>
      <c r="B32" s="28" t="str">
        <f t="shared" si="23"/>
        <v>#REF!</v>
      </c>
      <c r="C32" s="110"/>
      <c r="D32" s="110"/>
      <c r="E32" s="110"/>
      <c r="F32" s="111"/>
      <c r="G32" s="111"/>
      <c r="H32" s="112"/>
      <c r="I32" s="112"/>
    </row>
    <row r="33" ht="15.75" customHeight="1">
      <c r="A33" s="28" t="str">
        <f t="shared" ref="A33:B33" si="24">#REF!</f>
        <v>#REF!</v>
      </c>
      <c r="B33" s="28" t="str">
        <f t="shared" si="24"/>
        <v>#REF!</v>
      </c>
      <c r="C33" s="110"/>
      <c r="D33" s="110"/>
      <c r="E33" s="110"/>
      <c r="F33" s="111"/>
      <c r="G33" s="111"/>
      <c r="H33" s="112"/>
      <c r="I33" s="112"/>
    </row>
    <row r="34" ht="15.75" customHeight="1">
      <c r="A34" s="28" t="str">
        <f t="shared" ref="A34:B34" si="25">#REF!</f>
        <v>#REF!</v>
      </c>
      <c r="B34" s="28" t="str">
        <f t="shared" si="25"/>
        <v>#REF!</v>
      </c>
      <c r="C34" s="110"/>
      <c r="D34" s="110"/>
      <c r="E34" s="110"/>
      <c r="F34" s="111"/>
      <c r="G34" s="111"/>
      <c r="H34" s="112"/>
      <c r="I34" s="112"/>
    </row>
    <row r="35" ht="15.75" customHeight="1">
      <c r="A35" s="28" t="str">
        <f t="shared" ref="A35:B35" si="26">#REF!</f>
        <v>#REF!</v>
      </c>
      <c r="B35" s="28" t="str">
        <f t="shared" si="26"/>
        <v>#REF!</v>
      </c>
      <c r="C35" s="110"/>
      <c r="D35" s="110"/>
      <c r="E35" s="113"/>
      <c r="F35" s="111"/>
      <c r="G35" s="111"/>
      <c r="H35" s="112"/>
      <c r="I35" s="112"/>
    </row>
    <row r="36" ht="15.75" customHeight="1">
      <c r="A36" s="28" t="str">
        <f t="shared" ref="A36:B36" si="27">#REF!</f>
        <v>#REF!</v>
      </c>
      <c r="B36" s="28" t="str">
        <f t="shared" si="27"/>
        <v>#REF!</v>
      </c>
      <c r="C36" s="110"/>
      <c r="D36" s="110"/>
      <c r="E36" s="113"/>
      <c r="F36" s="111"/>
      <c r="G36" s="111"/>
      <c r="H36" s="112"/>
      <c r="I36" s="112"/>
    </row>
    <row r="37" ht="15.75" customHeight="1">
      <c r="A37" s="28"/>
      <c r="B37" s="28"/>
      <c r="C37" s="25"/>
      <c r="D37" s="25"/>
      <c r="E37" s="25"/>
      <c r="F37" s="35"/>
      <c r="G37" s="35"/>
      <c r="H37" s="114"/>
      <c r="I37" s="114"/>
    </row>
    <row r="38" ht="15.75" customHeight="1">
      <c r="A38" s="28" t="str">
        <f t="shared" ref="A38:B38" si="28">#REF!</f>
        <v>#REF!</v>
      </c>
      <c r="B38" s="28" t="str">
        <f t="shared" si="28"/>
        <v>#REF!</v>
      </c>
      <c r="C38" s="110"/>
      <c r="D38" s="110"/>
      <c r="E38" s="110"/>
      <c r="F38" s="35"/>
      <c r="G38" s="35"/>
      <c r="H38" s="112"/>
      <c r="I38" s="114"/>
    </row>
    <row r="39" ht="15.75" customHeight="1">
      <c r="A39" s="28" t="str">
        <f t="shared" ref="A39:B39" si="29">#REF!</f>
        <v>#REF!</v>
      </c>
      <c r="B39" s="28" t="str">
        <f t="shared" si="29"/>
        <v>#REF!</v>
      </c>
      <c r="C39" s="110"/>
      <c r="D39" s="110"/>
      <c r="E39" s="110"/>
      <c r="F39" s="35"/>
      <c r="G39" s="35"/>
      <c r="H39" s="112"/>
      <c r="I39" s="114"/>
    </row>
    <row r="40" ht="15.75" customHeight="1">
      <c r="A40" s="28"/>
      <c r="B40" s="28"/>
      <c r="C40" s="25"/>
      <c r="D40" s="25"/>
      <c r="E40" s="25"/>
      <c r="F40" s="35"/>
      <c r="G40" s="35"/>
      <c r="H40" s="114"/>
      <c r="I40" s="114"/>
    </row>
    <row r="41" ht="15.75" customHeight="1">
      <c r="A41" s="28"/>
      <c r="B41" s="28"/>
      <c r="C41" s="25"/>
      <c r="D41" s="25"/>
      <c r="E41" s="25"/>
      <c r="F41" s="35"/>
      <c r="G41" s="35"/>
      <c r="H41" s="114"/>
      <c r="I41" s="114"/>
    </row>
    <row r="42" ht="15.75" customHeight="1">
      <c r="A42" s="28"/>
      <c r="B42" s="28"/>
      <c r="C42" s="25"/>
      <c r="D42" s="25"/>
      <c r="E42" s="25"/>
      <c r="F42" s="35"/>
      <c r="G42" s="35"/>
      <c r="H42" s="114"/>
      <c r="I42" s="114"/>
    </row>
    <row r="43" ht="15.75" customHeight="1">
      <c r="A43" s="28"/>
      <c r="B43" s="28"/>
      <c r="C43" s="25"/>
      <c r="D43" s="25"/>
      <c r="E43" s="25"/>
      <c r="F43" s="35"/>
      <c r="G43" s="35"/>
      <c r="H43" s="114"/>
      <c r="I43" s="114"/>
    </row>
    <row r="44" ht="15.75" customHeight="1">
      <c r="A44" s="28"/>
      <c r="B44" s="28"/>
      <c r="C44" s="25"/>
      <c r="D44" s="25"/>
      <c r="E44" s="25"/>
      <c r="F44" s="35"/>
      <c r="G44" s="35"/>
      <c r="H44" s="114"/>
      <c r="I44" s="114"/>
    </row>
    <row r="45" ht="15.75" customHeight="1">
      <c r="A45" s="28"/>
      <c r="B45" s="28"/>
      <c r="C45" s="25"/>
      <c r="D45" s="25"/>
      <c r="E45" s="25"/>
      <c r="F45" s="35"/>
      <c r="G45" s="35"/>
      <c r="H45" s="114"/>
      <c r="I45" s="114"/>
    </row>
    <row r="46" ht="15.75" customHeight="1">
      <c r="A46" s="28"/>
      <c r="B46" s="28"/>
      <c r="C46" s="25"/>
      <c r="D46" s="25"/>
      <c r="E46" s="25"/>
      <c r="F46" s="35"/>
      <c r="G46" s="35"/>
      <c r="H46" s="114"/>
      <c r="I46" s="114"/>
    </row>
    <row r="47" ht="15.75" customHeight="1">
      <c r="A47" s="28"/>
      <c r="B47" s="28"/>
      <c r="C47" s="25"/>
      <c r="D47" s="25"/>
      <c r="E47" s="25"/>
      <c r="F47" s="35"/>
      <c r="G47" s="35"/>
      <c r="H47" s="114"/>
      <c r="I47" s="114"/>
    </row>
    <row r="48" ht="15.75" customHeight="1">
      <c r="A48" s="28"/>
      <c r="B48" s="28"/>
      <c r="C48" s="25"/>
      <c r="D48" s="25"/>
      <c r="E48" s="25"/>
      <c r="F48" s="35"/>
      <c r="G48" s="35"/>
      <c r="H48" s="114"/>
      <c r="I48" s="114"/>
    </row>
    <row r="49" ht="15.75" customHeight="1">
      <c r="A49" s="28"/>
      <c r="B49" s="28"/>
      <c r="C49" s="25"/>
      <c r="D49" s="25"/>
      <c r="E49" s="25"/>
      <c r="F49" s="35"/>
      <c r="G49" s="35"/>
      <c r="H49" s="114"/>
      <c r="I49" s="114"/>
    </row>
    <row r="50" ht="15.75" customHeight="1">
      <c r="A50" s="28"/>
      <c r="B50" s="28"/>
      <c r="C50" s="25"/>
      <c r="D50" s="25"/>
      <c r="E50" s="25"/>
      <c r="F50" s="35"/>
      <c r="G50" s="35"/>
      <c r="H50" s="114"/>
      <c r="I50" s="114"/>
    </row>
    <row r="51" ht="15.75" customHeight="1">
      <c r="A51" s="28"/>
      <c r="B51" s="28"/>
      <c r="C51" s="25"/>
      <c r="D51" s="25"/>
      <c r="E51" s="25"/>
      <c r="F51" s="35"/>
      <c r="G51" s="35"/>
      <c r="H51" s="114"/>
      <c r="I51" s="114"/>
    </row>
    <row r="52" ht="15.75" customHeight="1">
      <c r="A52" s="28"/>
      <c r="B52" s="28"/>
      <c r="C52" s="25"/>
      <c r="D52" s="25"/>
      <c r="E52" s="25"/>
      <c r="F52" s="35"/>
      <c r="G52" s="35"/>
      <c r="H52" s="114"/>
      <c r="I52" s="114"/>
    </row>
    <row r="53" ht="15.75" customHeight="1">
      <c r="A53" s="28"/>
      <c r="B53" s="28"/>
      <c r="C53" s="25"/>
      <c r="D53" s="25"/>
      <c r="E53" s="25"/>
      <c r="F53" s="35"/>
      <c r="G53" s="35"/>
      <c r="H53" s="114"/>
      <c r="I53" s="114"/>
    </row>
    <row r="54" ht="15.75" customHeight="1">
      <c r="A54" s="28"/>
      <c r="B54" s="28"/>
      <c r="C54" s="25"/>
      <c r="D54" s="25"/>
      <c r="E54" s="25"/>
      <c r="F54" s="35"/>
      <c r="G54" s="35"/>
      <c r="H54" s="114"/>
      <c r="I54" s="114"/>
    </row>
    <row r="55" ht="15.75" customHeight="1">
      <c r="A55" s="28"/>
      <c r="B55" s="28"/>
      <c r="C55" s="25"/>
      <c r="D55" s="25"/>
      <c r="E55" s="25"/>
      <c r="F55" s="35"/>
      <c r="G55" s="35"/>
      <c r="H55" s="114"/>
      <c r="I55" s="114"/>
    </row>
    <row r="56" ht="15.75" customHeight="1">
      <c r="A56" s="28"/>
      <c r="B56" s="28"/>
      <c r="C56" s="25"/>
      <c r="D56" s="25"/>
      <c r="E56" s="25"/>
      <c r="F56" s="35"/>
      <c r="G56" s="35"/>
      <c r="H56" s="114"/>
      <c r="I56" s="114"/>
    </row>
    <row r="57" ht="15.75" customHeight="1">
      <c r="A57" s="28"/>
      <c r="B57" s="28"/>
      <c r="C57" s="25"/>
      <c r="D57" s="25"/>
      <c r="E57" s="25"/>
      <c r="F57" s="35"/>
      <c r="G57" s="35"/>
      <c r="H57" s="114"/>
      <c r="I57" s="114"/>
    </row>
    <row r="58" ht="15.75" customHeight="1">
      <c r="A58" s="28"/>
      <c r="B58" s="28"/>
      <c r="C58" s="25"/>
      <c r="D58" s="25"/>
      <c r="E58" s="25"/>
      <c r="F58" s="35"/>
      <c r="G58" s="35"/>
      <c r="H58" s="114"/>
      <c r="I58" s="114"/>
    </row>
    <row r="59" ht="15.75" customHeight="1">
      <c r="A59" s="28"/>
      <c r="B59" s="28"/>
      <c r="C59" s="25"/>
      <c r="D59" s="25"/>
      <c r="E59" s="25"/>
      <c r="F59" s="35"/>
      <c r="G59" s="35"/>
      <c r="H59" s="114"/>
      <c r="I59" s="114"/>
    </row>
    <row r="60" ht="15.75" customHeight="1">
      <c r="A60" s="28"/>
      <c r="B60" s="28"/>
      <c r="C60" s="25"/>
      <c r="D60" s="25"/>
      <c r="E60" s="25"/>
      <c r="F60" s="35"/>
      <c r="G60" s="35"/>
      <c r="H60" s="114"/>
      <c r="I60" s="114"/>
    </row>
    <row r="61" ht="15.75" customHeight="1">
      <c r="A61" s="28"/>
      <c r="B61" s="28"/>
      <c r="C61" s="25"/>
      <c r="D61" s="25"/>
      <c r="E61" s="25"/>
      <c r="F61" s="35"/>
      <c r="G61" s="35"/>
      <c r="H61" s="114"/>
      <c r="I61" s="114"/>
    </row>
    <row r="62" ht="15.75" customHeight="1">
      <c r="A62" s="28"/>
      <c r="B62" s="28"/>
      <c r="C62" s="25"/>
      <c r="D62" s="25"/>
      <c r="E62" s="25"/>
      <c r="F62" s="35"/>
      <c r="G62" s="35"/>
      <c r="H62" s="114"/>
      <c r="I62" s="114"/>
    </row>
    <row r="63" ht="15.75" customHeight="1">
      <c r="A63" s="28"/>
      <c r="B63" s="28"/>
      <c r="C63" s="25"/>
      <c r="D63" s="25"/>
      <c r="E63" s="25"/>
      <c r="F63" s="35"/>
      <c r="G63" s="35"/>
      <c r="H63" s="114"/>
      <c r="I63" s="114"/>
    </row>
    <row r="64" ht="15.75" customHeight="1">
      <c r="A64" s="28"/>
      <c r="B64" s="28"/>
      <c r="C64" s="25"/>
      <c r="D64" s="25"/>
      <c r="E64" s="25"/>
      <c r="F64" s="35"/>
      <c r="G64" s="35"/>
      <c r="H64" s="114"/>
      <c r="I64" s="114"/>
    </row>
    <row r="65" ht="15.75" customHeight="1">
      <c r="A65" s="28"/>
      <c r="B65" s="28"/>
      <c r="C65" s="25"/>
      <c r="D65" s="25"/>
      <c r="E65" s="25"/>
      <c r="F65" s="35"/>
      <c r="G65" s="35"/>
      <c r="H65" s="114"/>
      <c r="I65" s="114"/>
    </row>
    <row r="66" ht="15.75" customHeight="1">
      <c r="A66" s="28"/>
      <c r="B66" s="28"/>
      <c r="C66" s="25"/>
      <c r="D66" s="25"/>
      <c r="E66" s="25"/>
      <c r="F66" s="35"/>
      <c r="G66" s="35"/>
      <c r="H66" s="114"/>
      <c r="I66" s="114"/>
    </row>
    <row r="67" ht="15.75" customHeight="1">
      <c r="A67" s="28"/>
      <c r="B67" s="28"/>
      <c r="C67" s="25"/>
      <c r="D67" s="25"/>
      <c r="E67" s="25"/>
      <c r="F67" s="35"/>
      <c r="G67" s="35"/>
      <c r="H67" s="114"/>
      <c r="I67" s="114"/>
    </row>
    <row r="68" ht="15.75" customHeight="1">
      <c r="A68" s="28"/>
      <c r="B68" s="28"/>
      <c r="C68" s="25"/>
      <c r="D68" s="25"/>
      <c r="E68" s="25"/>
      <c r="F68" s="35"/>
      <c r="G68" s="35"/>
      <c r="H68" s="114"/>
      <c r="I68" s="114"/>
    </row>
    <row r="69" ht="15.75" customHeight="1">
      <c r="A69" s="28"/>
      <c r="B69" s="28"/>
      <c r="C69" s="25"/>
      <c r="D69" s="25"/>
      <c r="E69" s="25"/>
      <c r="F69" s="35"/>
      <c r="G69" s="35"/>
      <c r="H69" s="114"/>
      <c r="I69" s="114"/>
    </row>
    <row r="70" ht="15.75" customHeight="1">
      <c r="A70" s="28"/>
      <c r="B70" s="28"/>
      <c r="C70" s="25"/>
      <c r="D70" s="25"/>
      <c r="E70" s="25"/>
      <c r="F70" s="35"/>
      <c r="G70" s="35"/>
      <c r="H70" s="114"/>
      <c r="I70" s="114"/>
    </row>
    <row r="71" ht="15.75" customHeight="1">
      <c r="A71" s="28"/>
      <c r="B71" s="28"/>
      <c r="C71" s="25"/>
      <c r="D71" s="25"/>
      <c r="E71" s="25"/>
      <c r="F71" s="35"/>
      <c r="G71" s="35"/>
      <c r="H71" s="114"/>
      <c r="I71" s="114"/>
    </row>
    <row r="72" ht="15.75" customHeight="1">
      <c r="A72" s="28"/>
      <c r="B72" s="28"/>
      <c r="C72" s="25"/>
      <c r="D72" s="25"/>
      <c r="E72" s="25"/>
      <c r="F72" s="35"/>
      <c r="G72" s="35"/>
      <c r="H72" s="114"/>
      <c r="I72" s="114"/>
    </row>
    <row r="73" ht="15.75" customHeight="1">
      <c r="A73" s="28"/>
      <c r="B73" s="28"/>
      <c r="C73" s="25"/>
      <c r="D73" s="25"/>
      <c r="E73" s="25"/>
      <c r="F73" s="35"/>
      <c r="G73" s="35"/>
      <c r="H73" s="114"/>
      <c r="I73" s="114"/>
    </row>
    <row r="74" ht="15.75" customHeight="1">
      <c r="A74" s="28"/>
      <c r="B74" s="28"/>
      <c r="C74" s="25"/>
      <c r="D74" s="25"/>
      <c r="E74" s="25"/>
      <c r="F74" s="35"/>
      <c r="G74" s="35"/>
      <c r="H74" s="114"/>
      <c r="I74" s="114"/>
    </row>
    <row r="75" ht="15.75" customHeight="1">
      <c r="A75" s="28"/>
      <c r="B75" s="28"/>
      <c r="C75" s="25"/>
      <c r="D75" s="25"/>
      <c r="E75" s="25"/>
      <c r="F75" s="35"/>
      <c r="G75" s="35"/>
      <c r="H75" s="114"/>
      <c r="I75" s="114"/>
    </row>
    <row r="76" ht="15.75" customHeight="1">
      <c r="A76" s="28"/>
      <c r="B76" s="28"/>
      <c r="C76" s="25"/>
      <c r="D76" s="25"/>
      <c r="E76" s="25"/>
      <c r="F76" s="35"/>
      <c r="G76" s="35"/>
      <c r="H76" s="114"/>
      <c r="I76" s="114"/>
    </row>
    <row r="77" ht="15.75" customHeight="1">
      <c r="A77" s="28"/>
      <c r="B77" s="28"/>
      <c r="C77" s="25"/>
      <c r="D77" s="25"/>
      <c r="E77" s="25"/>
      <c r="F77" s="35"/>
      <c r="G77" s="35"/>
      <c r="H77" s="114"/>
      <c r="I77" s="114"/>
    </row>
    <row r="78" ht="15.75" customHeight="1">
      <c r="A78" s="28"/>
      <c r="B78" s="28"/>
      <c r="C78" s="25"/>
      <c r="D78" s="25"/>
      <c r="E78" s="25"/>
      <c r="F78" s="35"/>
      <c r="G78" s="35"/>
      <c r="H78" s="114"/>
      <c r="I78" s="114"/>
    </row>
    <row r="79" ht="15.75" customHeight="1">
      <c r="A79" s="28"/>
      <c r="B79" s="28"/>
      <c r="C79" s="25"/>
      <c r="D79" s="25"/>
      <c r="E79" s="25"/>
      <c r="F79" s="35"/>
      <c r="G79" s="35"/>
      <c r="H79" s="114"/>
      <c r="I79" s="114"/>
    </row>
    <row r="80" ht="15.75" customHeight="1">
      <c r="A80" s="28"/>
      <c r="B80" s="28"/>
      <c r="C80" s="25"/>
      <c r="D80" s="25"/>
      <c r="E80" s="25"/>
      <c r="F80" s="35"/>
      <c r="G80" s="35"/>
      <c r="H80" s="114"/>
      <c r="I80" s="114"/>
    </row>
    <row r="81" ht="15.75" customHeight="1">
      <c r="A81" s="28"/>
      <c r="B81" s="28"/>
      <c r="C81" s="25"/>
      <c r="D81" s="25"/>
      <c r="E81" s="25"/>
      <c r="F81" s="35"/>
      <c r="G81" s="35"/>
      <c r="H81" s="114"/>
      <c r="I81" s="114"/>
    </row>
    <row r="82" ht="15.75" customHeight="1">
      <c r="A82" s="28"/>
      <c r="B82" s="28"/>
      <c r="C82" s="25"/>
      <c r="D82" s="25"/>
      <c r="E82" s="25"/>
      <c r="F82" s="35"/>
      <c r="G82" s="35"/>
      <c r="H82" s="114"/>
      <c r="I82" s="114"/>
    </row>
    <row r="83" ht="15.75" customHeight="1">
      <c r="A83" s="28"/>
      <c r="B83" s="28"/>
      <c r="C83" s="25"/>
      <c r="D83" s="25"/>
      <c r="E83" s="25"/>
      <c r="F83" s="35"/>
      <c r="G83" s="35"/>
      <c r="H83" s="114"/>
      <c r="I83" s="114"/>
    </row>
    <row r="84" ht="15.75" customHeight="1">
      <c r="A84" s="28"/>
      <c r="B84" s="28"/>
      <c r="C84" s="25"/>
      <c r="D84" s="25"/>
      <c r="E84" s="25"/>
      <c r="F84" s="35"/>
      <c r="G84" s="35"/>
      <c r="H84" s="114"/>
      <c r="I84" s="114"/>
    </row>
    <row r="85" ht="15.75" customHeight="1">
      <c r="A85" s="28"/>
      <c r="B85" s="28"/>
      <c r="C85" s="25"/>
      <c r="D85" s="25"/>
      <c r="E85" s="25"/>
      <c r="F85" s="35"/>
      <c r="G85" s="35"/>
      <c r="H85" s="114"/>
      <c r="I85" s="114"/>
    </row>
    <row r="86" ht="15.75" customHeight="1">
      <c r="A86" s="28"/>
      <c r="B86" s="28"/>
      <c r="C86" s="25"/>
      <c r="D86" s="25"/>
      <c r="E86" s="25"/>
      <c r="F86" s="35"/>
      <c r="G86" s="35"/>
      <c r="H86" s="114"/>
      <c r="I86" s="114"/>
    </row>
    <row r="87" ht="15.75" customHeight="1">
      <c r="A87" s="28"/>
      <c r="B87" s="28"/>
      <c r="C87" s="25"/>
      <c r="D87" s="25"/>
      <c r="E87" s="25"/>
      <c r="F87" s="35"/>
      <c r="G87" s="35"/>
      <c r="H87" s="114"/>
      <c r="I87" s="114"/>
    </row>
    <row r="88" ht="15.75" customHeight="1">
      <c r="A88" s="28"/>
      <c r="B88" s="28"/>
      <c r="C88" s="25"/>
      <c r="D88" s="25"/>
      <c r="E88" s="25"/>
      <c r="F88" s="35"/>
      <c r="G88" s="35"/>
      <c r="H88" s="114"/>
      <c r="I88" s="114"/>
    </row>
    <row r="89" ht="15.75" customHeight="1">
      <c r="A89" s="28"/>
      <c r="B89" s="28"/>
      <c r="C89" s="25"/>
      <c r="D89" s="25"/>
      <c r="E89" s="25"/>
      <c r="F89" s="35"/>
      <c r="G89" s="35"/>
      <c r="H89" s="114"/>
      <c r="I89" s="114"/>
    </row>
    <row r="90" ht="15.75" customHeight="1">
      <c r="A90" s="28"/>
      <c r="B90" s="28"/>
      <c r="C90" s="25"/>
      <c r="D90" s="25"/>
      <c r="E90" s="25"/>
      <c r="F90" s="35"/>
      <c r="G90" s="35"/>
      <c r="H90" s="114"/>
      <c r="I90" s="114"/>
    </row>
    <row r="91" ht="15.75" customHeight="1">
      <c r="A91" s="28"/>
      <c r="B91" s="28"/>
      <c r="C91" s="25"/>
      <c r="D91" s="25"/>
      <c r="E91" s="25"/>
      <c r="F91" s="35"/>
      <c r="G91" s="35"/>
      <c r="H91" s="114"/>
      <c r="I91" s="114"/>
    </row>
    <row r="92" ht="15.75" customHeight="1">
      <c r="A92" s="28"/>
      <c r="B92" s="28"/>
      <c r="C92" s="25"/>
      <c r="D92" s="25"/>
      <c r="E92" s="25"/>
      <c r="F92" s="35"/>
      <c r="G92" s="35"/>
      <c r="H92" s="114"/>
      <c r="I92" s="114"/>
    </row>
    <row r="93" ht="15.75" customHeight="1">
      <c r="A93" s="28"/>
      <c r="B93" s="28"/>
      <c r="C93" s="25"/>
      <c r="D93" s="25"/>
      <c r="E93" s="25"/>
      <c r="F93" s="35"/>
      <c r="G93" s="35"/>
      <c r="H93" s="114"/>
      <c r="I93" s="114"/>
    </row>
    <row r="94" ht="15.75" customHeight="1">
      <c r="A94" s="28"/>
      <c r="B94" s="28"/>
      <c r="C94" s="25"/>
      <c r="D94" s="25"/>
      <c r="E94" s="25"/>
      <c r="F94" s="35"/>
      <c r="G94" s="35"/>
      <c r="H94" s="114"/>
      <c r="I94" s="114"/>
    </row>
    <row r="95" ht="15.75" customHeight="1">
      <c r="A95" s="28"/>
      <c r="B95" s="28"/>
      <c r="C95" s="25"/>
      <c r="D95" s="25"/>
      <c r="E95" s="25"/>
      <c r="F95" s="35"/>
      <c r="G95" s="35"/>
      <c r="H95" s="114"/>
      <c r="I95" s="114"/>
    </row>
    <row r="96" ht="15.75" customHeight="1">
      <c r="A96" s="28"/>
      <c r="B96" s="28"/>
      <c r="C96" s="25"/>
      <c r="D96" s="25"/>
      <c r="E96" s="25"/>
      <c r="F96" s="35"/>
      <c r="G96" s="35"/>
      <c r="H96" s="114"/>
      <c r="I96" s="114"/>
    </row>
    <row r="97" ht="15.75" customHeight="1">
      <c r="A97" s="28"/>
      <c r="B97" s="28"/>
      <c r="C97" s="25"/>
      <c r="D97" s="25"/>
      <c r="E97" s="25"/>
      <c r="F97" s="35"/>
      <c r="G97" s="35"/>
      <c r="H97" s="114"/>
      <c r="I97" s="114"/>
    </row>
    <row r="98" ht="15.75" customHeight="1">
      <c r="A98" s="28"/>
      <c r="B98" s="28"/>
      <c r="C98" s="25"/>
      <c r="D98" s="25"/>
      <c r="E98" s="25"/>
      <c r="F98" s="35"/>
      <c r="G98" s="35"/>
      <c r="H98" s="114"/>
      <c r="I98" s="114"/>
    </row>
    <row r="99" ht="15.75" customHeight="1">
      <c r="A99" s="28"/>
      <c r="B99" s="28"/>
      <c r="C99" s="25"/>
      <c r="D99" s="25"/>
      <c r="E99" s="25"/>
      <c r="F99" s="35"/>
      <c r="G99" s="35"/>
      <c r="H99" s="114"/>
      <c r="I99" s="114"/>
    </row>
    <row r="100" ht="15.75" customHeight="1">
      <c r="A100" s="28"/>
      <c r="B100" s="28"/>
      <c r="C100" s="25"/>
      <c r="D100" s="25"/>
      <c r="E100" s="25"/>
      <c r="F100" s="35"/>
      <c r="G100" s="35"/>
      <c r="H100" s="114"/>
      <c r="I100" s="114"/>
    </row>
    <row r="101" ht="15.75" customHeight="1">
      <c r="A101" s="28"/>
      <c r="B101" s="28"/>
      <c r="C101" s="25"/>
      <c r="D101" s="25"/>
      <c r="E101" s="25"/>
      <c r="F101" s="35"/>
      <c r="G101" s="35"/>
      <c r="H101" s="114"/>
      <c r="I101" s="114"/>
    </row>
    <row r="102" ht="15.75" customHeight="1">
      <c r="A102" s="28"/>
      <c r="B102" s="28"/>
      <c r="C102" s="25"/>
      <c r="D102" s="25"/>
      <c r="E102" s="25"/>
      <c r="F102" s="35"/>
      <c r="G102" s="35"/>
      <c r="H102" s="114"/>
      <c r="I102" s="114"/>
    </row>
    <row r="103" ht="15.75" customHeight="1">
      <c r="A103" s="28"/>
      <c r="B103" s="28"/>
      <c r="C103" s="25"/>
      <c r="D103" s="25"/>
      <c r="E103" s="25"/>
      <c r="F103" s="35"/>
      <c r="G103" s="35"/>
      <c r="H103" s="114"/>
      <c r="I103" s="114"/>
    </row>
    <row r="104" ht="15.75" customHeight="1">
      <c r="A104" s="28"/>
      <c r="B104" s="28"/>
      <c r="C104" s="25"/>
      <c r="D104" s="25"/>
      <c r="E104" s="25"/>
      <c r="F104" s="35"/>
      <c r="G104" s="35"/>
      <c r="H104" s="114"/>
      <c r="I104" s="114"/>
    </row>
    <row r="105" ht="15.75" customHeight="1">
      <c r="A105" s="28"/>
      <c r="B105" s="28"/>
      <c r="C105" s="25"/>
      <c r="D105" s="25"/>
      <c r="E105" s="25"/>
      <c r="F105" s="35"/>
      <c r="G105" s="35"/>
      <c r="H105" s="114"/>
      <c r="I105" s="114"/>
    </row>
    <row r="106" ht="15.75" customHeight="1">
      <c r="A106" s="28"/>
      <c r="B106" s="28"/>
      <c r="C106" s="25"/>
      <c r="D106" s="25"/>
      <c r="E106" s="25"/>
      <c r="F106" s="35"/>
      <c r="G106" s="35"/>
      <c r="H106" s="114"/>
      <c r="I106" s="114"/>
    </row>
    <row r="107" ht="15.75" customHeight="1">
      <c r="A107" s="28"/>
      <c r="B107" s="28"/>
      <c r="C107" s="25"/>
      <c r="D107" s="25"/>
      <c r="E107" s="25"/>
      <c r="F107" s="35"/>
      <c r="G107" s="35"/>
      <c r="H107" s="114"/>
      <c r="I107" s="114"/>
    </row>
    <row r="108" ht="15.75" customHeight="1">
      <c r="A108" s="28"/>
      <c r="B108" s="28"/>
      <c r="C108" s="25"/>
      <c r="D108" s="25"/>
      <c r="E108" s="25"/>
      <c r="F108" s="35"/>
      <c r="G108" s="35"/>
      <c r="H108" s="114"/>
      <c r="I108" s="114"/>
    </row>
    <row r="109" ht="15.75" customHeight="1">
      <c r="A109" s="28"/>
      <c r="B109" s="28"/>
      <c r="C109" s="25"/>
      <c r="D109" s="25"/>
      <c r="E109" s="25"/>
      <c r="F109" s="35"/>
      <c r="G109" s="35"/>
      <c r="H109" s="114"/>
      <c r="I109" s="114"/>
    </row>
    <row r="110" ht="15.75" customHeight="1">
      <c r="A110" s="28"/>
      <c r="B110" s="28"/>
      <c r="C110" s="25"/>
      <c r="D110" s="25"/>
      <c r="E110" s="25"/>
      <c r="F110" s="35"/>
      <c r="G110" s="35"/>
      <c r="H110" s="114"/>
      <c r="I110" s="114"/>
    </row>
    <row r="111" ht="15.75" customHeight="1">
      <c r="A111" s="28"/>
      <c r="B111" s="28"/>
      <c r="C111" s="25"/>
      <c r="D111" s="25"/>
      <c r="E111" s="25"/>
      <c r="F111" s="35"/>
      <c r="G111" s="35"/>
      <c r="H111" s="114"/>
      <c r="I111" s="114"/>
    </row>
    <row r="112" ht="15.75" customHeight="1">
      <c r="A112" s="28"/>
      <c r="B112" s="28"/>
      <c r="C112" s="25"/>
      <c r="D112" s="25"/>
      <c r="E112" s="25"/>
      <c r="F112" s="35"/>
      <c r="G112" s="35"/>
      <c r="H112" s="114"/>
      <c r="I112" s="114"/>
    </row>
    <row r="113" ht="15.75" customHeight="1">
      <c r="A113" s="28"/>
      <c r="B113" s="28"/>
      <c r="C113" s="25"/>
      <c r="D113" s="25"/>
      <c r="E113" s="25"/>
      <c r="F113" s="35"/>
      <c r="G113" s="35"/>
      <c r="H113" s="114"/>
      <c r="I113" s="114"/>
    </row>
    <row r="114" ht="15.75" customHeight="1">
      <c r="A114" s="28"/>
      <c r="B114" s="28"/>
      <c r="C114" s="25"/>
      <c r="D114" s="25"/>
      <c r="E114" s="25"/>
      <c r="F114" s="35"/>
      <c r="G114" s="35"/>
      <c r="H114" s="114"/>
      <c r="I114" s="114"/>
    </row>
    <row r="115" ht="15.75" customHeight="1">
      <c r="A115" s="28"/>
      <c r="B115" s="28"/>
      <c r="C115" s="25"/>
      <c r="D115" s="25"/>
      <c r="E115" s="25"/>
      <c r="F115" s="35"/>
      <c r="G115" s="35"/>
      <c r="H115" s="114"/>
      <c r="I115" s="114"/>
    </row>
    <row r="116" ht="15.75" customHeight="1">
      <c r="A116" s="28"/>
      <c r="B116" s="28"/>
      <c r="C116" s="25"/>
      <c r="D116" s="25"/>
      <c r="E116" s="25"/>
      <c r="F116" s="35"/>
      <c r="G116" s="35"/>
      <c r="H116" s="114"/>
      <c r="I116" s="114"/>
    </row>
    <row r="117" ht="15.75" customHeight="1">
      <c r="A117" s="28"/>
      <c r="B117" s="28"/>
      <c r="C117" s="25"/>
      <c r="D117" s="25"/>
      <c r="E117" s="25"/>
      <c r="F117" s="35"/>
      <c r="G117" s="35"/>
      <c r="H117" s="114"/>
      <c r="I117" s="114"/>
    </row>
    <row r="118" ht="15.75" customHeight="1">
      <c r="A118" s="28"/>
      <c r="B118" s="28"/>
      <c r="C118" s="25"/>
      <c r="D118" s="25"/>
      <c r="E118" s="25"/>
      <c r="F118" s="35"/>
      <c r="G118" s="35"/>
      <c r="H118" s="114"/>
      <c r="I118" s="114"/>
    </row>
    <row r="119" ht="15.75" customHeight="1">
      <c r="A119" s="28"/>
      <c r="B119" s="28"/>
      <c r="C119" s="25"/>
      <c r="D119" s="25"/>
      <c r="E119" s="25"/>
      <c r="F119" s="35"/>
      <c r="G119" s="35"/>
      <c r="H119" s="114"/>
      <c r="I119" s="114"/>
    </row>
    <row r="120" ht="15.75" customHeight="1">
      <c r="A120" s="28"/>
      <c r="B120" s="28"/>
      <c r="C120" s="25"/>
      <c r="D120" s="25"/>
      <c r="E120" s="25"/>
      <c r="F120" s="35"/>
      <c r="G120" s="35"/>
      <c r="H120" s="114"/>
      <c r="I120" s="114"/>
    </row>
    <row r="121" ht="15.75" customHeight="1">
      <c r="A121" s="28"/>
      <c r="B121" s="28"/>
      <c r="C121" s="25"/>
      <c r="D121" s="25"/>
      <c r="E121" s="25"/>
      <c r="F121" s="35"/>
      <c r="G121" s="35"/>
      <c r="H121" s="114"/>
      <c r="I121" s="114"/>
    </row>
    <row r="122" ht="15.75" customHeight="1">
      <c r="A122" s="28"/>
      <c r="B122" s="28"/>
      <c r="C122" s="25"/>
      <c r="D122" s="25"/>
      <c r="E122" s="25"/>
      <c r="F122" s="35"/>
      <c r="G122" s="35"/>
      <c r="H122" s="114"/>
      <c r="I122" s="114"/>
    </row>
    <row r="123" ht="15.75" customHeight="1">
      <c r="A123" s="28"/>
      <c r="B123" s="28"/>
      <c r="C123" s="25"/>
      <c r="D123" s="25"/>
      <c r="E123" s="25"/>
      <c r="F123" s="35"/>
      <c r="G123" s="35"/>
      <c r="H123" s="114"/>
      <c r="I123" s="114"/>
    </row>
    <row r="124" ht="15.75" customHeight="1">
      <c r="A124" s="28"/>
      <c r="B124" s="28"/>
      <c r="C124" s="25"/>
      <c r="D124" s="25"/>
      <c r="E124" s="25"/>
      <c r="F124" s="35"/>
      <c r="G124" s="35"/>
      <c r="H124" s="114"/>
      <c r="I124" s="114"/>
    </row>
    <row r="125" ht="15.75" customHeight="1">
      <c r="A125" s="28"/>
      <c r="B125" s="28"/>
      <c r="C125" s="25"/>
      <c r="D125" s="25"/>
      <c r="E125" s="25"/>
      <c r="F125" s="35"/>
      <c r="G125" s="35"/>
      <c r="H125" s="114"/>
      <c r="I125" s="114"/>
    </row>
    <row r="126" ht="15.75" customHeight="1">
      <c r="A126" s="28"/>
      <c r="B126" s="28"/>
      <c r="C126" s="25"/>
      <c r="D126" s="25"/>
      <c r="E126" s="25"/>
      <c r="F126" s="35"/>
      <c r="G126" s="35"/>
      <c r="H126" s="114"/>
      <c r="I126" s="114"/>
    </row>
    <row r="127" ht="15.75" customHeight="1">
      <c r="A127" s="28"/>
      <c r="B127" s="28"/>
      <c r="C127" s="25"/>
      <c r="D127" s="25"/>
      <c r="E127" s="25"/>
      <c r="F127" s="35"/>
      <c r="G127" s="35"/>
      <c r="H127" s="114"/>
      <c r="I127" s="114"/>
    </row>
    <row r="128" ht="15.75" customHeight="1">
      <c r="A128" s="28"/>
      <c r="B128" s="28"/>
      <c r="C128" s="25"/>
      <c r="D128" s="25"/>
      <c r="E128" s="25"/>
      <c r="F128" s="35"/>
      <c r="G128" s="35"/>
      <c r="H128" s="114"/>
      <c r="I128" s="114"/>
    </row>
    <row r="129" ht="15.75" customHeight="1">
      <c r="A129" s="28"/>
      <c r="B129" s="28"/>
      <c r="C129" s="25"/>
      <c r="D129" s="25"/>
      <c r="E129" s="25"/>
      <c r="F129" s="35"/>
      <c r="G129" s="35"/>
      <c r="H129" s="114"/>
      <c r="I129" s="114"/>
    </row>
    <row r="130" ht="15.75" customHeight="1">
      <c r="A130" s="28"/>
      <c r="B130" s="28"/>
      <c r="C130" s="25"/>
      <c r="D130" s="25"/>
      <c r="E130" s="25"/>
      <c r="F130" s="35"/>
      <c r="G130" s="35"/>
      <c r="H130" s="114"/>
      <c r="I130" s="114"/>
    </row>
    <row r="131" ht="15.75" customHeight="1">
      <c r="A131" s="28"/>
      <c r="B131" s="28"/>
      <c r="C131" s="25"/>
      <c r="D131" s="25"/>
      <c r="E131" s="25"/>
      <c r="F131" s="35"/>
      <c r="G131" s="35"/>
      <c r="H131" s="114"/>
      <c r="I131" s="114"/>
    </row>
    <row r="132" ht="15.75" customHeight="1">
      <c r="A132" s="28"/>
      <c r="B132" s="28"/>
      <c r="C132" s="25"/>
      <c r="D132" s="25"/>
      <c r="E132" s="25"/>
      <c r="F132" s="35"/>
      <c r="G132" s="35"/>
      <c r="H132" s="114"/>
      <c r="I132" s="114"/>
    </row>
    <row r="133" ht="15.75" customHeight="1">
      <c r="A133" s="28"/>
      <c r="B133" s="28"/>
      <c r="C133" s="25"/>
      <c r="D133" s="25"/>
      <c r="E133" s="25"/>
      <c r="F133" s="35"/>
      <c r="G133" s="35"/>
      <c r="H133" s="114"/>
      <c r="I133" s="114"/>
    </row>
    <row r="134" ht="15.75" customHeight="1">
      <c r="A134" s="28"/>
      <c r="B134" s="28"/>
      <c r="C134" s="25"/>
      <c r="D134" s="25"/>
      <c r="E134" s="25"/>
      <c r="F134" s="35"/>
      <c r="G134" s="35"/>
      <c r="H134" s="114"/>
      <c r="I134" s="114"/>
    </row>
    <row r="135" ht="15.75" customHeight="1">
      <c r="A135" s="28"/>
      <c r="B135" s="28"/>
      <c r="C135" s="25"/>
      <c r="D135" s="25"/>
      <c r="E135" s="25"/>
      <c r="F135" s="35"/>
      <c r="G135" s="35"/>
      <c r="H135" s="114"/>
      <c r="I135" s="114"/>
    </row>
    <row r="136" ht="15.75" customHeight="1">
      <c r="A136" s="28"/>
      <c r="B136" s="28"/>
      <c r="C136" s="25"/>
      <c r="D136" s="25"/>
      <c r="E136" s="25"/>
      <c r="F136" s="35"/>
      <c r="G136" s="35"/>
      <c r="H136" s="114"/>
      <c r="I136" s="114"/>
    </row>
    <row r="137" ht="15.75" customHeight="1">
      <c r="A137" s="28"/>
      <c r="B137" s="28"/>
      <c r="C137" s="25"/>
      <c r="D137" s="25"/>
      <c r="E137" s="25"/>
      <c r="F137" s="35"/>
      <c r="G137" s="35"/>
      <c r="H137" s="114"/>
      <c r="I137" s="114"/>
    </row>
    <row r="138" ht="15.75" customHeight="1">
      <c r="A138" s="28"/>
      <c r="B138" s="28"/>
      <c r="C138" s="25"/>
      <c r="D138" s="25"/>
      <c r="E138" s="25"/>
      <c r="F138" s="35"/>
      <c r="G138" s="35"/>
      <c r="H138" s="114"/>
      <c r="I138" s="114"/>
    </row>
    <row r="139" ht="15.75" customHeight="1">
      <c r="A139" s="28"/>
      <c r="B139" s="28"/>
      <c r="C139" s="25"/>
      <c r="D139" s="25"/>
      <c r="E139" s="25"/>
      <c r="F139" s="35"/>
      <c r="G139" s="35"/>
      <c r="H139" s="114"/>
      <c r="I139" s="114"/>
    </row>
    <row r="140" ht="15.75" customHeight="1">
      <c r="A140" s="28"/>
      <c r="B140" s="28"/>
      <c r="C140" s="25"/>
      <c r="D140" s="25"/>
      <c r="E140" s="25"/>
      <c r="F140" s="35"/>
      <c r="G140" s="35"/>
      <c r="H140" s="114"/>
      <c r="I140" s="114"/>
    </row>
    <row r="141" ht="15.75" customHeight="1">
      <c r="A141" s="28"/>
      <c r="B141" s="28"/>
      <c r="C141" s="25"/>
      <c r="D141" s="25"/>
      <c r="E141" s="25"/>
      <c r="F141" s="35"/>
      <c r="G141" s="35"/>
      <c r="H141" s="114"/>
      <c r="I141" s="114"/>
    </row>
    <row r="142" ht="15.75" customHeight="1">
      <c r="A142" s="28"/>
      <c r="B142" s="28"/>
      <c r="C142" s="25"/>
      <c r="D142" s="25"/>
      <c r="E142" s="25"/>
      <c r="F142" s="35"/>
      <c r="G142" s="35"/>
      <c r="H142" s="114"/>
      <c r="I142" s="114"/>
    </row>
    <row r="143" ht="15.75" customHeight="1">
      <c r="A143" s="28"/>
      <c r="B143" s="28"/>
      <c r="C143" s="25"/>
      <c r="D143" s="25"/>
      <c r="E143" s="25"/>
      <c r="F143" s="35"/>
      <c r="G143" s="35"/>
      <c r="H143" s="114"/>
      <c r="I143" s="114"/>
    </row>
    <row r="144" ht="15.75" customHeight="1">
      <c r="A144" s="28"/>
      <c r="B144" s="28"/>
      <c r="C144" s="25"/>
      <c r="D144" s="25"/>
      <c r="E144" s="25"/>
      <c r="F144" s="35"/>
      <c r="G144" s="35"/>
      <c r="H144" s="114"/>
      <c r="I144" s="114"/>
    </row>
    <row r="145" ht="15.75" customHeight="1">
      <c r="A145" s="28"/>
      <c r="B145" s="28"/>
      <c r="C145" s="25"/>
      <c r="D145" s="25"/>
      <c r="E145" s="25"/>
      <c r="F145" s="35"/>
      <c r="G145" s="35"/>
      <c r="H145" s="114"/>
      <c r="I145" s="114"/>
    </row>
    <row r="146" ht="15.75" customHeight="1">
      <c r="A146" s="28"/>
      <c r="B146" s="28"/>
      <c r="C146" s="25"/>
      <c r="D146" s="25"/>
      <c r="E146" s="25"/>
      <c r="F146" s="35"/>
      <c r="G146" s="35"/>
      <c r="H146" s="114"/>
      <c r="I146" s="114"/>
    </row>
    <row r="147" ht="15.75" customHeight="1">
      <c r="A147" s="28"/>
      <c r="B147" s="28"/>
      <c r="C147" s="25"/>
      <c r="D147" s="25"/>
      <c r="E147" s="25"/>
      <c r="F147" s="35"/>
      <c r="G147" s="35"/>
      <c r="H147" s="114"/>
      <c r="I147" s="114"/>
    </row>
    <row r="148" ht="15.75" customHeight="1">
      <c r="A148" s="28"/>
      <c r="B148" s="28"/>
      <c r="C148" s="25"/>
      <c r="D148" s="25"/>
      <c r="E148" s="25"/>
      <c r="F148" s="35"/>
      <c r="G148" s="35"/>
      <c r="H148" s="114"/>
      <c r="I148" s="114"/>
    </row>
    <row r="149" ht="15.75" customHeight="1">
      <c r="A149" s="28"/>
      <c r="B149" s="28"/>
      <c r="C149" s="25"/>
      <c r="D149" s="25"/>
      <c r="E149" s="25"/>
      <c r="F149" s="35"/>
      <c r="G149" s="35"/>
      <c r="H149" s="114"/>
      <c r="I149" s="114"/>
    </row>
    <row r="150" ht="15.75" customHeight="1">
      <c r="A150" s="28"/>
      <c r="B150" s="28"/>
      <c r="C150" s="25"/>
      <c r="D150" s="25"/>
      <c r="E150" s="25"/>
      <c r="F150" s="35"/>
      <c r="G150" s="35"/>
      <c r="H150" s="114"/>
      <c r="I150" s="114"/>
    </row>
    <row r="151" ht="15.75" customHeight="1">
      <c r="A151" s="28"/>
      <c r="B151" s="28"/>
      <c r="C151" s="25"/>
      <c r="D151" s="25"/>
      <c r="E151" s="25"/>
      <c r="F151" s="35"/>
      <c r="G151" s="35"/>
      <c r="H151" s="114"/>
      <c r="I151" s="114"/>
    </row>
    <row r="152" ht="15.75" customHeight="1">
      <c r="A152" s="28"/>
      <c r="B152" s="28"/>
      <c r="C152" s="25"/>
      <c r="D152" s="25"/>
      <c r="E152" s="25"/>
      <c r="F152" s="35"/>
      <c r="G152" s="35"/>
      <c r="H152" s="114"/>
      <c r="I152" s="114"/>
    </row>
    <row r="153" ht="15.75" customHeight="1">
      <c r="A153" s="28"/>
      <c r="B153" s="28"/>
      <c r="C153" s="25"/>
      <c r="D153" s="25"/>
      <c r="E153" s="25"/>
      <c r="F153" s="35"/>
      <c r="G153" s="35"/>
      <c r="H153" s="114"/>
      <c r="I153" s="114"/>
    </row>
    <row r="154" ht="15.75" customHeight="1">
      <c r="A154" s="28"/>
      <c r="B154" s="28"/>
      <c r="C154" s="25"/>
      <c r="D154" s="25"/>
      <c r="E154" s="25"/>
      <c r="F154" s="35"/>
      <c r="G154" s="35"/>
      <c r="H154" s="114"/>
      <c r="I154" s="114"/>
    </row>
    <row r="155" ht="15.75" customHeight="1">
      <c r="A155" s="28"/>
      <c r="B155" s="28"/>
      <c r="C155" s="25"/>
      <c r="D155" s="25"/>
      <c r="E155" s="25"/>
      <c r="F155" s="35"/>
      <c r="G155" s="35"/>
      <c r="H155" s="114"/>
      <c r="I155" s="114"/>
    </row>
    <row r="156" ht="15.75" customHeight="1">
      <c r="A156" s="28"/>
      <c r="B156" s="28"/>
      <c r="C156" s="25"/>
      <c r="D156" s="25"/>
      <c r="E156" s="25"/>
      <c r="F156" s="35"/>
      <c r="G156" s="35"/>
      <c r="H156" s="114"/>
      <c r="I156" s="114"/>
    </row>
    <row r="157" ht="15.75" customHeight="1">
      <c r="A157" s="28"/>
      <c r="B157" s="28"/>
      <c r="C157" s="25"/>
      <c r="D157" s="25"/>
      <c r="E157" s="25"/>
      <c r="F157" s="35"/>
      <c r="G157" s="35"/>
      <c r="H157" s="114"/>
      <c r="I157" s="114"/>
    </row>
    <row r="158" ht="15.75" customHeight="1">
      <c r="A158" s="28"/>
      <c r="B158" s="28"/>
      <c r="C158" s="25"/>
      <c r="D158" s="25"/>
      <c r="E158" s="25"/>
      <c r="F158" s="35"/>
      <c r="G158" s="35"/>
      <c r="H158" s="114"/>
      <c r="I158" s="114"/>
    </row>
    <row r="159" ht="15.75" customHeight="1">
      <c r="A159" s="28"/>
      <c r="B159" s="28"/>
      <c r="C159" s="25"/>
      <c r="D159" s="25"/>
      <c r="E159" s="25"/>
      <c r="F159" s="35"/>
      <c r="G159" s="35"/>
      <c r="H159" s="114"/>
      <c r="I159" s="114"/>
    </row>
    <row r="160" ht="15.75" customHeight="1">
      <c r="A160" s="28"/>
      <c r="B160" s="28"/>
      <c r="C160" s="25"/>
      <c r="D160" s="25"/>
      <c r="E160" s="25"/>
      <c r="F160" s="35"/>
      <c r="G160" s="35"/>
      <c r="H160" s="114"/>
      <c r="I160" s="114"/>
    </row>
    <row r="161" ht="15.75" customHeight="1">
      <c r="A161" s="28"/>
      <c r="B161" s="28"/>
      <c r="C161" s="25"/>
      <c r="D161" s="25"/>
      <c r="E161" s="25"/>
      <c r="F161" s="35"/>
      <c r="G161" s="35"/>
      <c r="H161" s="114"/>
      <c r="I161" s="114"/>
    </row>
    <row r="162" ht="15.75" customHeight="1">
      <c r="A162" s="28"/>
      <c r="B162" s="28"/>
      <c r="C162" s="25"/>
      <c r="D162" s="25"/>
      <c r="E162" s="25"/>
      <c r="F162" s="35"/>
      <c r="G162" s="35"/>
      <c r="H162" s="114"/>
      <c r="I162" s="114"/>
    </row>
    <row r="163" ht="15.75" customHeight="1">
      <c r="A163" s="28"/>
      <c r="B163" s="28"/>
      <c r="C163" s="25"/>
      <c r="D163" s="25"/>
      <c r="E163" s="25"/>
      <c r="F163" s="35"/>
      <c r="G163" s="35"/>
      <c r="H163" s="114"/>
      <c r="I163" s="114"/>
    </row>
    <row r="164" ht="15.75" customHeight="1">
      <c r="A164" s="28"/>
      <c r="B164" s="28"/>
      <c r="C164" s="25"/>
      <c r="D164" s="25"/>
      <c r="E164" s="25"/>
      <c r="F164" s="35"/>
      <c r="G164" s="35"/>
      <c r="H164" s="114"/>
      <c r="I164" s="114"/>
    </row>
    <row r="165" ht="15.75" customHeight="1">
      <c r="A165" s="28"/>
      <c r="B165" s="28"/>
      <c r="C165" s="25"/>
      <c r="D165" s="25"/>
      <c r="E165" s="25"/>
      <c r="F165" s="35"/>
      <c r="G165" s="35"/>
      <c r="H165" s="114"/>
      <c r="I165" s="114"/>
    </row>
    <row r="166" ht="15.75" customHeight="1">
      <c r="A166" s="28"/>
      <c r="B166" s="28"/>
      <c r="C166" s="25"/>
      <c r="D166" s="25"/>
      <c r="E166" s="25"/>
      <c r="F166" s="35"/>
      <c r="G166" s="35"/>
      <c r="H166" s="114"/>
      <c r="I166" s="114"/>
    </row>
    <row r="167" ht="15.75" customHeight="1">
      <c r="A167" s="28"/>
      <c r="B167" s="28"/>
      <c r="C167" s="25"/>
      <c r="D167" s="25"/>
      <c r="E167" s="25"/>
      <c r="F167" s="35"/>
      <c r="G167" s="35"/>
      <c r="H167" s="114"/>
      <c r="I167" s="114"/>
    </row>
    <row r="168" ht="15.75" customHeight="1">
      <c r="A168" s="28"/>
      <c r="B168" s="28"/>
      <c r="C168" s="25"/>
      <c r="D168" s="25"/>
      <c r="E168" s="25"/>
      <c r="F168" s="35"/>
      <c r="G168" s="35"/>
      <c r="H168" s="114"/>
      <c r="I168" s="114"/>
    </row>
    <row r="169" ht="15.75" customHeight="1">
      <c r="A169" s="28"/>
      <c r="B169" s="28"/>
      <c r="C169" s="25"/>
      <c r="D169" s="25"/>
      <c r="E169" s="25"/>
      <c r="F169" s="35"/>
      <c r="G169" s="35"/>
      <c r="H169" s="114"/>
      <c r="I169" s="114"/>
    </row>
    <row r="170" ht="15.75" customHeight="1">
      <c r="A170" s="28"/>
      <c r="B170" s="28"/>
      <c r="C170" s="25"/>
      <c r="D170" s="25"/>
      <c r="E170" s="25"/>
      <c r="F170" s="35"/>
      <c r="G170" s="35"/>
      <c r="H170" s="114"/>
      <c r="I170" s="114"/>
    </row>
    <row r="171" ht="15.75" customHeight="1">
      <c r="A171" s="28"/>
      <c r="B171" s="28"/>
      <c r="C171" s="25"/>
      <c r="D171" s="25"/>
      <c r="E171" s="25"/>
      <c r="F171" s="35"/>
      <c r="G171" s="35"/>
      <c r="H171" s="114"/>
      <c r="I171" s="114"/>
    </row>
    <row r="172" ht="15.75" customHeight="1">
      <c r="A172" s="28"/>
      <c r="B172" s="28"/>
      <c r="C172" s="25"/>
      <c r="D172" s="25"/>
      <c r="E172" s="25"/>
      <c r="F172" s="35"/>
      <c r="G172" s="35"/>
      <c r="H172" s="114"/>
      <c r="I172" s="114"/>
    </row>
    <row r="173" ht="15.75" customHeight="1">
      <c r="A173" s="28"/>
      <c r="B173" s="28"/>
      <c r="C173" s="25"/>
      <c r="D173" s="25"/>
      <c r="E173" s="25"/>
      <c r="F173" s="35"/>
      <c r="G173" s="35"/>
      <c r="H173" s="114"/>
      <c r="I173" s="114"/>
    </row>
    <row r="174" ht="15.75" customHeight="1">
      <c r="A174" s="28"/>
      <c r="B174" s="28"/>
      <c r="C174" s="25"/>
      <c r="D174" s="25"/>
      <c r="E174" s="25"/>
      <c r="F174" s="35"/>
      <c r="G174" s="35"/>
      <c r="H174" s="114"/>
      <c r="I174" s="114"/>
    </row>
    <row r="175" ht="15.75" customHeight="1">
      <c r="A175" s="28"/>
      <c r="B175" s="28"/>
      <c r="C175" s="25"/>
      <c r="D175" s="25"/>
      <c r="E175" s="25"/>
      <c r="F175" s="35"/>
      <c r="G175" s="35"/>
      <c r="H175" s="114"/>
      <c r="I175" s="114"/>
    </row>
    <row r="176" ht="15.75" customHeight="1">
      <c r="A176" s="28"/>
      <c r="B176" s="28"/>
      <c r="C176" s="25"/>
      <c r="D176" s="25"/>
      <c r="E176" s="25"/>
      <c r="F176" s="35"/>
      <c r="G176" s="35"/>
      <c r="H176" s="114"/>
      <c r="I176" s="114"/>
    </row>
    <row r="177" ht="15.75" customHeight="1">
      <c r="A177" s="28"/>
      <c r="B177" s="28"/>
      <c r="C177" s="25"/>
      <c r="D177" s="25"/>
      <c r="E177" s="25"/>
      <c r="F177" s="35"/>
      <c r="G177" s="35"/>
      <c r="H177" s="114"/>
      <c r="I177" s="114"/>
    </row>
    <row r="178" ht="15.75" customHeight="1">
      <c r="A178" s="28"/>
      <c r="B178" s="28"/>
      <c r="C178" s="25"/>
      <c r="D178" s="25"/>
      <c r="E178" s="25"/>
      <c r="F178" s="35"/>
      <c r="G178" s="35"/>
      <c r="H178" s="114"/>
      <c r="I178" s="114"/>
    </row>
    <row r="179" ht="15.75" customHeight="1">
      <c r="A179" s="28"/>
      <c r="B179" s="28"/>
      <c r="C179" s="25"/>
      <c r="D179" s="25"/>
      <c r="E179" s="25"/>
      <c r="F179" s="35"/>
      <c r="G179" s="35"/>
      <c r="H179" s="114"/>
      <c r="I179" s="114"/>
    </row>
    <row r="180" ht="15.75" customHeight="1">
      <c r="A180" s="28"/>
      <c r="B180" s="28"/>
      <c r="C180" s="25"/>
      <c r="D180" s="25"/>
      <c r="E180" s="25"/>
      <c r="F180" s="35"/>
      <c r="G180" s="35"/>
      <c r="H180" s="114"/>
      <c r="I180" s="114"/>
    </row>
    <row r="181" ht="15.75" customHeight="1">
      <c r="A181" s="28"/>
      <c r="B181" s="28"/>
      <c r="C181" s="25"/>
      <c r="D181" s="25"/>
      <c r="E181" s="25"/>
      <c r="F181" s="35"/>
      <c r="G181" s="35"/>
      <c r="H181" s="114"/>
      <c r="I181" s="114"/>
    </row>
    <row r="182" ht="15.75" customHeight="1">
      <c r="A182" s="28"/>
      <c r="B182" s="28"/>
      <c r="C182" s="25"/>
      <c r="D182" s="25"/>
      <c r="E182" s="25"/>
      <c r="F182" s="35"/>
      <c r="G182" s="35"/>
      <c r="H182" s="114"/>
      <c r="I182" s="114"/>
    </row>
    <row r="183" ht="15.75" customHeight="1">
      <c r="A183" s="28"/>
      <c r="B183" s="28"/>
      <c r="C183" s="25"/>
      <c r="D183" s="25"/>
      <c r="E183" s="25"/>
      <c r="F183" s="35"/>
      <c r="G183" s="35"/>
      <c r="H183" s="114"/>
      <c r="I183" s="114"/>
    </row>
    <row r="184" ht="15.75" customHeight="1">
      <c r="A184" s="28"/>
      <c r="B184" s="28"/>
      <c r="C184" s="25"/>
      <c r="D184" s="25"/>
      <c r="E184" s="25"/>
      <c r="F184" s="35"/>
      <c r="G184" s="35"/>
      <c r="H184" s="114"/>
      <c r="I184" s="114"/>
    </row>
    <row r="185" ht="15.75" customHeight="1">
      <c r="A185" s="28"/>
      <c r="B185" s="28"/>
      <c r="C185" s="25"/>
      <c r="D185" s="25"/>
      <c r="E185" s="25"/>
      <c r="F185" s="35"/>
      <c r="G185" s="35"/>
      <c r="H185" s="114"/>
      <c r="I185" s="114"/>
    </row>
    <row r="186" ht="15.75" customHeight="1">
      <c r="A186" s="28"/>
      <c r="B186" s="28"/>
      <c r="C186" s="25"/>
      <c r="D186" s="25"/>
      <c r="E186" s="25"/>
      <c r="F186" s="35"/>
      <c r="G186" s="35"/>
      <c r="H186" s="114"/>
      <c r="I186" s="114"/>
    </row>
    <row r="187" ht="15.75" customHeight="1">
      <c r="A187" s="28"/>
      <c r="B187" s="28"/>
      <c r="C187" s="25"/>
      <c r="D187" s="25"/>
      <c r="E187" s="25"/>
      <c r="F187" s="35"/>
      <c r="G187" s="35"/>
      <c r="H187" s="114"/>
      <c r="I187" s="114"/>
    </row>
    <row r="188" ht="15.75" customHeight="1">
      <c r="A188" s="28"/>
      <c r="B188" s="28"/>
      <c r="C188" s="25"/>
      <c r="D188" s="25"/>
      <c r="E188" s="25"/>
      <c r="F188" s="35"/>
      <c r="G188" s="35"/>
      <c r="H188" s="114"/>
      <c r="I188" s="114"/>
    </row>
    <row r="189" ht="15.75" customHeight="1">
      <c r="A189" s="28"/>
      <c r="B189" s="28"/>
      <c r="C189" s="25"/>
      <c r="D189" s="25"/>
      <c r="E189" s="25"/>
      <c r="F189" s="35"/>
      <c r="G189" s="35"/>
      <c r="H189" s="114"/>
      <c r="I189" s="114"/>
    </row>
    <row r="190" ht="15.75" customHeight="1">
      <c r="A190" s="28"/>
      <c r="B190" s="28"/>
      <c r="C190" s="25"/>
      <c r="D190" s="25"/>
      <c r="E190" s="25"/>
      <c r="F190" s="35"/>
      <c r="G190" s="35"/>
      <c r="H190" s="114"/>
      <c r="I190" s="114"/>
    </row>
    <row r="191" ht="15.75" customHeight="1">
      <c r="A191" s="28"/>
      <c r="B191" s="28"/>
      <c r="C191" s="25"/>
      <c r="D191" s="25"/>
      <c r="E191" s="25"/>
      <c r="F191" s="35"/>
      <c r="G191" s="35"/>
      <c r="H191" s="114"/>
      <c r="I191" s="114"/>
    </row>
    <row r="192" ht="15.75" customHeight="1">
      <c r="A192" s="28"/>
      <c r="B192" s="28"/>
      <c r="C192" s="25"/>
      <c r="D192" s="25"/>
      <c r="E192" s="25"/>
      <c r="F192" s="35"/>
      <c r="G192" s="35"/>
      <c r="H192" s="114"/>
      <c r="I192" s="114"/>
    </row>
    <row r="193" ht="15.75" customHeight="1">
      <c r="A193" s="28"/>
      <c r="B193" s="28"/>
      <c r="C193" s="25"/>
      <c r="D193" s="25"/>
      <c r="E193" s="25"/>
      <c r="F193" s="35"/>
      <c r="G193" s="35"/>
      <c r="H193" s="114"/>
      <c r="I193" s="114"/>
    </row>
    <row r="194" ht="15.75" customHeight="1">
      <c r="A194" s="28"/>
      <c r="B194" s="28"/>
      <c r="C194" s="25"/>
      <c r="D194" s="25"/>
      <c r="E194" s="25"/>
      <c r="F194" s="35"/>
      <c r="G194" s="35"/>
      <c r="H194" s="114"/>
      <c r="I194" s="114"/>
    </row>
    <row r="195" ht="15.75" customHeight="1">
      <c r="A195" s="28"/>
      <c r="B195" s="28"/>
      <c r="C195" s="25"/>
      <c r="D195" s="25"/>
      <c r="E195" s="25"/>
      <c r="F195" s="35"/>
      <c r="G195" s="35"/>
      <c r="H195" s="114"/>
      <c r="I195" s="114"/>
    </row>
    <row r="196" ht="15.75" customHeight="1">
      <c r="A196" s="28"/>
      <c r="B196" s="28"/>
      <c r="C196" s="25"/>
      <c r="D196" s="25"/>
      <c r="E196" s="25"/>
      <c r="F196" s="35"/>
      <c r="G196" s="35"/>
      <c r="H196" s="114"/>
      <c r="I196" s="114"/>
    </row>
    <row r="197" ht="15.75" customHeight="1">
      <c r="A197" s="28"/>
      <c r="B197" s="28"/>
      <c r="C197" s="25"/>
      <c r="D197" s="25"/>
      <c r="E197" s="25"/>
      <c r="F197" s="35"/>
      <c r="G197" s="35"/>
      <c r="H197" s="114"/>
      <c r="I197" s="114"/>
    </row>
    <row r="198" ht="15.75" customHeight="1">
      <c r="A198" s="28"/>
      <c r="B198" s="28"/>
      <c r="C198" s="25"/>
      <c r="D198" s="25"/>
      <c r="E198" s="25"/>
      <c r="F198" s="35"/>
      <c r="G198" s="35"/>
      <c r="H198" s="114"/>
      <c r="I198" s="114"/>
    </row>
    <row r="199" ht="15.75" customHeight="1">
      <c r="A199" s="28"/>
      <c r="B199" s="28"/>
      <c r="C199" s="25"/>
      <c r="D199" s="25"/>
      <c r="E199" s="25"/>
      <c r="F199" s="35"/>
      <c r="G199" s="35"/>
      <c r="H199" s="114"/>
      <c r="I199" s="114"/>
    </row>
    <row r="200" ht="15.75" customHeight="1">
      <c r="A200" s="28"/>
      <c r="B200" s="28"/>
      <c r="C200" s="25"/>
      <c r="D200" s="25"/>
      <c r="E200" s="25"/>
      <c r="F200" s="35"/>
      <c r="G200" s="35"/>
      <c r="H200" s="114"/>
      <c r="I200" s="114"/>
    </row>
    <row r="201" ht="15.75" customHeight="1">
      <c r="A201" s="28"/>
      <c r="B201" s="28"/>
      <c r="C201" s="25"/>
      <c r="D201" s="25"/>
      <c r="E201" s="25"/>
      <c r="F201" s="35"/>
      <c r="G201" s="35"/>
      <c r="H201" s="114"/>
      <c r="I201" s="114"/>
    </row>
    <row r="202" ht="15.75" customHeight="1">
      <c r="A202" s="28"/>
      <c r="B202" s="28"/>
      <c r="C202" s="25"/>
      <c r="D202" s="25"/>
      <c r="E202" s="25"/>
      <c r="F202" s="35"/>
      <c r="G202" s="35"/>
      <c r="H202" s="114"/>
      <c r="I202" s="114"/>
    </row>
    <row r="203" ht="15.75" customHeight="1">
      <c r="A203" s="28"/>
      <c r="B203" s="28"/>
      <c r="C203" s="25"/>
      <c r="D203" s="25"/>
      <c r="E203" s="25"/>
      <c r="F203" s="35"/>
      <c r="G203" s="35"/>
      <c r="H203" s="114"/>
      <c r="I203" s="114"/>
    </row>
    <row r="204" ht="15.75" customHeight="1">
      <c r="A204" s="28"/>
      <c r="B204" s="28"/>
      <c r="C204" s="25"/>
      <c r="D204" s="25"/>
      <c r="E204" s="25"/>
      <c r="F204" s="35"/>
      <c r="G204" s="35"/>
      <c r="H204" s="114"/>
      <c r="I204" s="114"/>
    </row>
    <row r="205" ht="15.75" customHeight="1">
      <c r="A205" s="28"/>
      <c r="B205" s="28"/>
      <c r="C205" s="25"/>
      <c r="D205" s="25"/>
      <c r="E205" s="25"/>
      <c r="F205" s="35"/>
      <c r="G205" s="35"/>
      <c r="H205" s="114"/>
      <c r="I205" s="114"/>
    </row>
    <row r="206" ht="15.75" customHeight="1">
      <c r="A206" s="28"/>
      <c r="B206" s="28"/>
      <c r="C206" s="25"/>
      <c r="D206" s="25"/>
      <c r="E206" s="25"/>
      <c r="F206" s="35"/>
      <c r="G206" s="35"/>
      <c r="H206" s="114"/>
      <c r="I206" s="114"/>
    </row>
    <row r="207" ht="15.75" customHeight="1">
      <c r="A207" s="28"/>
      <c r="B207" s="28"/>
      <c r="C207" s="25"/>
      <c r="D207" s="25"/>
      <c r="E207" s="25"/>
      <c r="F207" s="35"/>
      <c r="G207" s="35"/>
      <c r="H207" s="114"/>
      <c r="I207" s="114"/>
    </row>
    <row r="208" ht="15.75" customHeight="1">
      <c r="A208" s="28"/>
      <c r="B208" s="28"/>
      <c r="C208" s="25"/>
      <c r="D208" s="25"/>
      <c r="E208" s="25"/>
      <c r="F208" s="35"/>
      <c r="G208" s="35"/>
      <c r="H208" s="114"/>
      <c r="I208" s="114"/>
    </row>
    <row r="209" ht="15.75" customHeight="1">
      <c r="A209" s="28"/>
      <c r="B209" s="28"/>
      <c r="C209" s="25"/>
      <c r="D209" s="25"/>
      <c r="E209" s="25"/>
      <c r="F209" s="35"/>
      <c r="G209" s="35"/>
      <c r="H209" s="114"/>
      <c r="I209" s="114"/>
    </row>
    <row r="210" ht="15.75" customHeight="1">
      <c r="A210" s="28"/>
      <c r="B210" s="28"/>
      <c r="C210" s="25"/>
      <c r="D210" s="25"/>
      <c r="E210" s="25"/>
      <c r="F210" s="35"/>
      <c r="G210" s="35"/>
      <c r="H210" s="114"/>
      <c r="I210" s="114"/>
    </row>
    <row r="211" ht="15.75" customHeight="1">
      <c r="A211" s="28"/>
      <c r="B211" s="28"/>
      <c r="C211" s="25"/>
      <c r="D211" s="25"/>
      <c r="E211" s="25"/>
      <c r="F211" s="35"/>
      <c r="G211" s="35"/>
      <c r="H211" s="114"/>
      <c r="I211" s="114"/>
    </row>
    <row r="212" ht="15.75" customHeight="1">
      <c r="A212" s="28"/>
      <c r="B212" s="28"/>
      <c r="C212" s="25"/>
      <c r="D212" s="25"/>
      <c r="E212" s="25"/>
      <c r="F212" s="35"/>
      <c r="G212" s="35"/>
      <c r="H212" s="114"/>
      <c r="I212" s="114"/>
    </row>
    <row r="213" ht="15.75" customHeight="1">
      <c r="A213" s="28"/>
      <c r="B213" s="28"/>
      <c r="C213" s="25"/>
      <c r="D213" s="25"/>
      <c r="E213" s="25"/>
      <c r="F213" s="35"/>
      <c r="G213" s="35"/>
      <c r="H213" s="114"/>
      <c r="I213" s="114"/>
    </row>
    <row r="214" ht="15.75" customHeight="1">
      <c r="A214" s="28"/>
      <c r="B214" s="28"/>
      <c r="C214" s="25"/>
      <c r="D214" s="25"/>
      <c r="E214" s="25"/>
      <c r="F214" s="35"/>
      <c r="G214" s="35"/>
      <c r="H214" s="114"/>
      <c r="I214" s="114"/>
    </row>
    <row r="215" ht="15.75" customHeight="1">
      <c r="A215" s="28"/>
      <c r="B215" s="28"/>
      <c r="C215" s="25"/>
      <c r="D215" s="25"/>
      <c r="E215" s="25"/>
      <c r="F215" s="35"/>
      <c r="G215" s="35"/>
      <c r="H215" s="114"/>
      <c r="I215" s="114"/>
    </row>
    <row r="216" ht="15.75" customHeight="1">
      <c r="A216" s="28"/>
      <c r="B216" s="28"/>
      <c r="C216" s="25"/>
      <c r="D216" s="25"/>
      <c r="E216" s="25"/>
      <c r="F216" s="35"/>
      <c r="G216" s="35"/>
      <c r="H216" s="114"/>
      <c r="I216" s="114"/>
    </row>
    <row r="217" ht="15.75" customHeight="1">
      <c r="A217" s="28"/>
      <c r="B217" s="28"/>
      <c r="C217" s="25"/>
      <c r="D217" s="25"/>
      <c r="E217" s="25"/>
      <c r="F217" s="35"/>
      <c r="G217" s="35"/>
      <c r="H217" s="114"/>
      <c r="I217" s="114"/>
    </row>
    <row r="218" ht="15.75" customHeight="1">
      <c r="A218" s="28"/>
      <c r="B218" s="28"/>
      <c r="C218" s="25"/>
      <c r="D218" s="25"/>
      <c r="E218" s="25"/>
      <c r="F218" s="35"/>
      <c r="G218" s="35"/>
      <c r="H218" s="114"/>
      <c r="I218" s="114"/>
    </row>
    <row r="219" ht="15.75" customHeight="1">
      <c r="A219" s="28"/>
      <c r="B219" s="28"/>
      <c r="C219" s="25"/>
      <c r="D219" s="25"/>
      <c r="E219" s="25"/>
      <c r="F219" s="35"/>
      <c r="G219" s="35"/>
      <c r="H219" s="114"/>
      <c r="I219" s="114"/>
    </row>
    <row r="220" ht="15.75" customHeight="1">
      <c r="A220" s="28"/>
      <c r="B220" s="28"/>
      <c r="C220" s="25"/>
      <c r="D220" s="25"/>
      <c r="E220" s="25"/>
      <c r="F220" s="35"/>
      <c r="G220" s="35"/>
      <c r="H220" s="114"/>
      <c r="I220" s="114"/>
    </row>
    <row r="221" ht="15.75" customHeight="1">
      <c r="A221" s="28"/>
      <c r="B221" s="28"/>
      <c r="C221" s="25"/>
      <c r="D221" s="25"/>
      <c r="E221" s="25"/>
      <c r="F221" s="35"/>
      <c r="G221" s="35"/>
      <c r="H221" s="114"/>
      <c r="I221" s="114"/>
    </row>
    <row r="222" ht="15.75" customHeight="1">
      <c r="A222" s="28"/>
      <c r="B222" s="28"/>
      <c r="C222" s="25"/>
      <c r="D222" s="25"/>
      <c r="E222" s="25"/>
      <c r="F222" s="35"/>
      <c r="G222" s="35"/>
      <c r="H222" s="114"/>
      <c r="I222" s="114"/>
    </row>
    <row r="223" ht="15.75" customHeight="1">
      <c r="A223" s="28"/>
      <c r="B223" s="28"/>
      <c r="C223" s="25"/>
      <c r="D223" s="25"/>
      <c r="E223" s="25"/>
      <c r="F223" s="35"/>
      <c r="G223" s="35"/>
      <c r="H223" s="114"/>
      <c r="I223" s="114"/>
    </row>
    <row r="224" ht="15.75" customHeight="1">
      <c r="A224" s="28"/>
      <c r="B224" s="28"/>
      <c r="C224" s="25"/>
      <c r="D224" s="25"/>
      <c r="E224" s="25"/>
      <c r="F224" s="35"/>
      <c r="G224" s="35"/>
      <c r="H224" s="114"/>
      <c r="I224" s="114"/>
    </row>
    <row r="225" ht="15.75" customHeight="1">
      <c r="A225" s="28"/>
      <c r="B225" s="28"/>
      <c r="C225" s="25"/>
      <c r="D225" s="25"/>
      <c r="E225" s="25"/>
      <c r="F225" s="35"/>
      <c r="G225" s="35"/>
      <c r="H225" s="114"/>
      <c r="I225" s="114"/>
    </row>
    <row r="226" ht="15.75" customHeight="1">
      <c r="A226" s="28"/>
      <c r="B226" s="28"/>
      <c r="C226" s="25"/>
      <c r="D226" s="25"/>
      <c r="E226" s="25"/>
      <c r="F226" s="35"/>
      <c r="G226" s="35"/>
      <c r="H226" s="114"/>
      <c r="I226" s="114"/>
    </row>
    <row r="227" ht="15.75" customHeight="1">
      <c r="A227" s="28"/>
      <c r="B227" s="28"/>
      <c r="C227" s="25"/>
      <c r="D227" s="25"/>
      <c r="E227" s="25"/>
      <c r="F227" s="35"/>
      <c r="G227" s="35"/>
      <c r="H227" s="114"/>
      <c r="I227" s="114"/>
    </row>
    <row r="228" ht="15.75" customHeight="1">
      <c r="A228" s="28"/>
      <c r="B228" s="28"/>
      <c r="C228" s="25"/>
      <c r="D228" s="25"/>
      <c r="E228" s="25"/>
      <c r="F228" s="35"/>
      <c r="G228" s="35"/>
      <c r="H228" s="114"/>
      <c r="I228" s="114"/>
    </row>
    <row r="229" ht="15.75" customHeight="1">
      <c r="A229" s="28"/>
      <c r="B229" s="28"/>
      <c r="C229" s="25"/>
      <c r="D229" s="25"/>
      <c r="E229" s="25"/>
      <c r="F229" s="35"/>
      <c r="G229" s="35"/>
      <c r="H229" s="114"/>
      <c r="I229" s="114"/>
    </row>
    <row r="230" ht="15.75" customHeight="1">
      <c r="A230" s="28"/>
      <c r="B230" s="28"/>
      <c r="C230" s="25"/>
      <c r="D230" s="25"/>
      <c r="E230" s="25"/>
      <c r="F230" s="35"/>
      <c r="G230" s="35"/>
      <c r="H230" s="114"/>
      <c r="I230" s="114"/>
    </row>
    <row r="231" ht="15.75" customHeight="1">
      <c r="A231" s="28"/>
      <c r="B231" s="28"/>
      <c r="C231" s="25"/>
      <c r="D231" s="25"/>
      <c r="E231" s="25"/>
      <c r="F231" s="35"/>
      <c r="G231" s="35"/>
      <c r="H231" s="114"/>
      <c r="I231" s="114"/>
    </row>
    <row r="232" ht="15.75" customHeight="1">
      <c r="A232" s="28"/>
      <c r="B232" s="28"/>
      <c r="C232" s="25"/>
      <c r="D232" s="25"/>
      <c r="E232" s="25"/>
      <c r="F232" s="35"/>
      <c r="G232" s="35"/>
      <c r="H232" s="114"/>
      <c r="I232" s="114"/>
    </row>
    <row r="233" ht="15.75" customHeight="1">
      <c r="A233" s="28"/>
      <c r="B233" s="28"/>
      <c r="C233" s="25"/>
      <c r="D233" s="25"/>
      <c r="E233" s="25"/>
      <c r="F233" s="35"/>
      <c r="G233" s="35"/>
      <c r="H233" s="114"/>
      <c r="I233" s="114"/>
    </row>
    <row r="234" ht="15.75" customHeight="1">
      <c r="A234" s="28"/>
      <c r="B234" s="28"/>
      <c r="C234" s="25"/>
      <c r="D234" s="25"/>
      <c r="E234" s="25"/>
      <c r="F234" s="35"/>
      <c r="G234" s="35"/>
      <c r="H234" s="114"/>
      <c r="I234" s="114"/>
    </row>
    <row r="235" ht="15.75" customHeight="1">
      <c r="A235" s="28"/>
      <c r="B235" s="28"/>
      <c r="C235" s="25"/>
      <c r="D235" s="25"/>
      <c r="E235" s="25"/>
      <c r="F235" s="35"/>
      <c r="G235" s="35"/>
      <c r="H235" s="114"/>
      <c r="I235" s="114"/>
    </row>
    <row r="236" ht="15.75" customHeight="1">
      <c r="A236" s="28"/>
      <c r="B236" s="28"/>
      <c r="C236" s="25"/>
      <c r="D236" s="25"/>
      <c r="E236" s="25"/>
      <c r="F236" s="35"/>
      <c r="G236" s="35"/>
      <c r="H236" s="114"/>
      <c r="I236" s="114"/>
    </row>
    <row r="237" ht="15.75" customHeight="1">
      <c r="A237" s="28"/>
      <c r="B237" s="28"/>
      <c r="C237" s="25"/>
      <c r="D237" s="25"/>
      <c r="E237" s="25"/>
      <c r="F237" s="35"/>
      <c r="G237" s="35"/>
      <c r="H237" s="114"/>
      <c r="I237" s="114"/>
    </row>
    <row r="238" ht="15.75" customHeight="1">
      <c r="A238" s="28"/>
      <c r="B238" s="28"/>
      <c r="C238" s="25"/>
      <c r="D238" s="25"/>
      <c r="E238" s="25"/>
      <c r="F238" s="35"/>
      <c r="G238" s="35"/>
      <c r="H238" s="114"/>
      <c r="I238" s="114"/>
    </row>
    <row r="239" ht="15.75" customHeight="1">
      <c r="A239" s="28"/>
      <c r="B239" s="28"/>
      <c r="C239" s="25"/>
      <c r="D239" s="25"/>
      <c r="E239" s="25"/>
      <c r="F239" s="35"/>
      <c r="G239" s="35"/>
      <c r="H239" s="114"/>
      <c r="I239" s="114"/>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119" t="s">
        <v>208</v>
      </c>
      <c r="B1" s="119" t="s">
        <v>209</v>
      </c>
      <c r="C1" s="119" t="s">
        <v>210</v>
      </c>
      <c r="D1" s="119" t="s">
        <v>211</v>
      </c>
      <c r="E1" s="119" t="s">
        <v>212</v>
      </c>
      <c r="F1" s="120" t="s">
        <v>213</v>
      </c>
      <c r="G1" s="121" t="s">
        <v>214</v>
      </c>
      <c r="H1" s="122" t="s">
        <v>215</v>
      </c>
      <c r="I1" s="119" t="s">
        <v>216</v>
      </c>
      <c r="J1" s="119" t="s">
        <v>217</v>
      </c>
      <c r="K1" s="119" t="s">
        <v>291</v>
      </c>
      <c r="L1" s="119" t="s">
        <v>219</v>
      </c>
      <c r="M1" s="123"/>
    </row>
    <row r="2">
      <c r="A2" s="124" t="s">
        <v>292</v>
      </c>
      <c r="B2" s="124" t="s">
        <v>293</v>
      </c>
      <c r="C2" s="124" t="s">
        <v>294</v>
      </c>
      <c r="D2" s="124" t="s">
        <v>223</v>
      </c>
      <c r="E2" s="124" t="s">
        <v>295</v>
      </c>
      <c r="F2" s="124" t="s">
        <v>296</v>
      </c>
      <c r="G2" s="124" t="s">
        <v>297</v>
      </c>
      <c r="H2" s="124" t="s">
        <v>298</v>
      </c>
      <c r="I2" s="124" t="s">
        <v>228</v>
      </c>
      <c r="J2" s="124" t="s">
        <v>299</v>
      </c>
      <c r="K2" s="124" t="s">
        <v>230</v>
      </c>
      <c r="L2" s="124" t="s">
        <v>300</v>
      </c>
      <c r="M2" s="123"/>
    </row>
    <row r="3">
      <c r="A3" s="124" t="s">
        <v>301</v>
      </c>
      <c r="B3" s="124" t="s">
        <v>302</v>
      </c>
      <c r="C3" s="124" t="s">
        <v>303</v>
      </c>
      <c r="D3" s="124" t="s">
        <v>234</v>
      </c>
      <c r="E3" s="124" t="s">
        <v>304</v>
      </c>
      <c r="F3" s="124" t="s">
        <v>305</v>
      </c>
      <c r="G3" s="124" t="s">
        <v>306</v>
      </c>
      <c r="H3" s="124" t="s">
        <v>307</v>
      </c>
      <c r="I3" s="124" t="s">
        <v>239</v>
      </c>
      <c r="J3" s="124" t="s">
        <v>308</v>
      </c>
      <c r="K3" s="124" t="s">
        <v>309</v>
      </c>
      <c r="L3" s="124" t="s">
        <v>310</v>
      </c>
      <c r="M3" s="123"/>
    </row>
    <row r="4">
      <c r="A4" s="124" t="s">
        <v>311</v>
      </c>
      <c r="B4" s="124" t="s">
        <v>312</v>
      </c>
      <c r="C4" s="124" t="s">
        <v>313</v>
      </c>
      <c r="D4" s="124" t="s">
        <v>245</v>
      </c>
      <c r="E4" s="124" t="s">
        <v>314</v>
      </c>
      <c r="F4" s="124" t="s">
        <v>315</v>
      </c>
      <c r="G4" s="124" t="s">
        <v>316</v>
      </c>
      <c r="H4" s="124" t="s">
        <v>317</v>
      </c>
      <c r="I4" s="124" t="s">
        <v>228</v>
      </c>
      <c r="J4" s="124" t="s">
        <v>318</v>
      </c>
      <c r="K4" s="124" t="s">
        <v>230</v>
      </c>
      <c r="L4" s="124" t="s">
        <v>319</v>
      </c>
      <c r="M4" s="125"/>
    </row>
    <row r="5">
      <c r="A5" s="124" t="s">
        <v>320</v>
      </c>
      <c r="B5" s="124" t="s">
        <v>321</v>
      </c>
      <c r="C5" s="124" t="s">
        <v>322</v>
      </c>
      <c r="D5" s="124" t="s">
        <v>245</v>
      </c>
      <c r="E5" s="124" t="s">
        <v>323</v>
      </c>
      <c r="F5" s="124" t="s">
        <v>324</v>
      </c>
      <c r="G5" s="124" t="s">
        <v>325</v>
      </c>
      <c r="H5" s="124" t="s">
        <v>326</v>
      </c>
      <c r="I5" s="124" t="s">
        <v>239</v>
      </c>
      <c r="J5" s="124" t="s">
        <v>327</v>
      </c>
      <c r="K5" s="124" t="s">
        <v>328</v>
      </c>
      <c r="L5" s="124" t="s">
        <v>329</v>
      </c>
      <c r="M5" s="125"/>
    </row>
    <row r="6">
      <c r="A6" s="124" t="s">
        <v>330</v>
      </c>
      <c r="B6" s="124" t="s">
        <v>331</v>
      </c>
      <c r="C6" s="124" t="s">
        <v>332</v>
      </c>
      <c r="D6" s="124" t="s">
        <v>245</v>
      </c>
      <c r="E6" s="124" t="s">
        <v>333</v>
      </c>
      <c r="F6" s="124" t="s">
        <v>334</v>
      </c>
      <c r="G6" s="124" t="s">
        <v>335</v>
      </c>
      <c r="H6" s="124" t="s">
        <v>336</v>
      </c>
      <c r="I6" s="124" t="s">
        <v>239</v>
      </c>
      <c r="J6" s="124" t="s">
        <v>337</v>
      </c>
      <c r="K6" s="124" t="s">
        <v>278</v>
      </c>
      <c r="L6" s="124" t="s">
        <v>338</v>
      </c>
      <c r="M6" s="125"/>
    </row>
    <row r="7">
      <c r="A7" s="124" t="s">
        <v>339</v>
      </c>
      <c r="B7" s="124" t="s">
        <v>340</v>
      </c>
      <c r="C7" s="124" t="s">
        <v>341</v>
      </c>
      <c r="D7" s="124" t="s">
        <v>245</v>
      </c>
      <c r="E7" s="124" t="s">
        <v>342</v>
      </c>
      <c r="F7" s="124" t="s">
        <v>343</v>
      </c>
      <c r="G7" s="124" t="s">
        <v>344</v>
      </c>
      <c r="H7" s="124" t="s">
        <v>345</v>
      </c>
      <c r="I7" s="124" t="s">
        <v>228</v>
      </c>
      <c r="J7" s="124" t="s">
        <v>346</v>
      </c>
      <c r="K7" s="124" t="s">
        <v>347</v>
      </c>
      <c r="L7" s="124" t="s">
        <v>348</v>
      </c>
      <c r="M7" s="125"/>
    </row>
    <row r="8">
      <c r="A8" s="124" t="s">
        <v>349</v>
      </c>
      <c r="B8" s="124" t="s">
        <v>350</v>
      </c>
      <c r="C8" s="124" t="s">
        <v>351</v>
      </c>
      <c r="D8" s="124" t="s">
        <v>245</v>
      </c>
      <c r="E8" s="124" t="s">
        <v>352</v>
      </c>
      <c r="F8" s="124" t="s">
        <v>353</v>
      </c>
      <c r="G8" s="124" t="s">
        <v>354</v>
      </c>
      <c r="H8" s="124" t="s">
        <v>355</v>
      </c>
      <c r="I8" s="124" t="s">
        <v>239</v>
      </c>
      <c r="J8" s="124" t="s">
        <v>356</v>
      </c>
      <c r="K8" s="124" t="s">
        <v>357</v>
      </c>
      <c r="L8" s="124" t="s">
        <v>358</v>
      </c>
      <c r="M8" s="125"/>
    </row>
    <row r="9">
      <c r="A9" s="124" t="s">
        <v>359</v>
      </c>
      <c r="B9" s="124" t="s">
        <v>360</v>
      </c>
      <c r="C9" s="124" t="s">
        <v>361</v>
      </c>
      <c r="D9" s="124" t="s">
        <v>245</v>
      </c>
      <c r="E9" s="124" t="s">
        <v>362</v>
      </c>
      <c r="F9" s="124" t="s">
        <v>363</v>
      </c>
      <c r="G9" s="124" t="s">
        <v>364</v>
      </c>
      <c r="H9" s="124" t="s">
        <v>365</v>
      </c>
      <c r="I9" s="124" t="s">
        <v>276</v>
      </c>
      <c r="J9" s="124" t="s">
        <v>366</v>
      </c>
      <c r="K9" s="124" t="s">
        <v>230</v>
      </c>
      <c r="L9" s="124" t="s">
        <v>358</v>
      </c>
      <c r="M9" s="125"/>
    </row>
    <row r="10">
      <c r="A10" s="124" t="s">
        <v>367</v>
      </c>
      <c r="B10" s="124" t="s">
        <v>368</v>
      </c>
      <c r="C10" s="124" t="s">
        <v>369</v>
      </c>
      <c r="D10" s="124" t="s">
        <v>245</v>
      </c>
      <c r="E10" s="124" t="s">
        <v>370</v>
      </c>
      <c r="F10" s="124" t="s">
        <v>371</v>
      </c>
      <c r="G10" s="124" t="s">
        <v>372</v>
      </c>
      <c r="H10" s="124" t="s">
        <v>373</v>
      </c>
      <c r="I10" s="124" t="s">
        <v>239</v>
      </c>
      <c r="J10" s="124" t="s">
        <v>374</v>
      </c>
      <c r="K10" s="124" t="s">
        <v>375</v>
      </c>
      <c r="L10" s="124" t="s">
        <v>358</v>
      </c>
      <c r="M10" s="125"/>
    </row>
    <row r="11">
      <c r="A11" s="124" t="s">
        <v>376</v>
      </c>
      <c r="B11" s="124" t="s">
        <v>377</v>
      </c>
      <c r="C11" s="124" t="s">
        <v>378</v>
      </c>
      <c r="D11" s="124" t="s">
        <v>245</v>
      </c>
      <c r="E11" s="124" t="s">
        <v>379</v>
      </c>
      <c r="F11" s="124" t="s">
        <v>380</v>
      </c>
      <c r="G11" s="124" t="s">
        <v>381</v>
      </c>
      <c r="H11" s="124" t="s">
        <v>382</v>
      </c>
      <c r="I11" s="124" t="s">
        <v>239</v>
      </c>
      <c r="J11" s="124" t="s">
        <v>383</v>
      </c>
      <c r="K11" s="124" t="s">
        <v>278</v>
      </c>
      <c r="L11" s="124" t="s">
        <v>384</v>
      </c>
      <c r="M11" s="125"/>
    </row>
    <row r="12">
      <c r="A12" s="124" t="s">
        <v>376</v>
      </c>
      <c r="B12" s="124" t="s">
        <v>385</v>
      </c>
      <c r="C12" s="124" t="s">
        <v>386</v>
      </c>
      <c r="D12" s="124" t="s">
        <v>245</v>
      </c>
      <c r="E12" s="124" t="s">
        <v>387</v>
      </c>
      <c r="F12" s="124" t="s">
        <v>388</v>
      </c>
      <c r="G12" s="124" t="s">
        <v>389</v>
      </c>
      <c r="H12" s="124" t="s">
        <v>390</v>
      </c>
      <c r="I12" s="124" t="s">
        <v>239</v>
      </c>
      <c r="J12" s="124" t="s">
        <v>391</v>
      </c>
      <c r="K12" s="124" t="s">
        <v>278</v>
      </c>
      <c r="L12" s="124" t="s">
        <v>384</v>
      </c>
      <c r="M12" s="125"/>
    </row>
    <row r="13">
      <c r="A13" s="124" t="s">
        <v>392</v>
      </c>
      <c r="B13" s="124" t="s">
        <v>393</v>
      </c>
      <c r="C13" s="124" t="s">
        <v>394</v>
      </c>
      <c r="D13" s="124" t="s">
        <v>245</v>
      </c>
      <c r="E13" s="124" t="s">
        <v>389</v>
      </c>
      <c r="F13" s="124" t="s">
        <v>395</v>
      </c>
      <c r="G13" s="124" t="s">
        <v>396</v>
      </c>
      <c r="H13" s="124" t="s">
        <v>397</v>
      </c>
      <c r="I13" s="124" t="s">
        <v>239</v>
      </c>
      <c r="J13" s="124" t="s">
        <v>398</v>
      </c>
      <c r="K13" s="124" t="s">
        <v>399</v>
      </c>
      <c r="L13" s="124" t="s">
        <v>384</v>
      </c>
      <c r="M13" s="125"/>
    </row>
    <row r="14">
      <c r="A14" s="124" t="s">
        <v>400</v>
      </c>
      <c r="B14" s="124" t="s">
        <v>401</v>
      </c>
      <c r="C14" s="124" t="s">
        <v>402</v>
      </c>
      <c r="D14" s="124" t="s">
        <v>245</v>
      </c>
      <c r="E14" s="124" t="s">
        <v>403</v>
      </c>
      <c r="F14" s="124" t="s">
        <v>404</v>
      </c>
      <c r="G14" s="124" t="s">
        <v>405</v>
      </c>
      <c r="H14" s="124" t="s">
        <v>406</v>
      </c>
      <c r="I14" s="124" t="s">
        <v>276</v>
      </c>
      <c r="J14" s="124" t="s">
        <v>407</v>
      </c>
      <c r="K14" s="124" t="s">
        <v>408</v>
      </c>
      <c r="L14" s="124" t="s">
        <v>358</v>
      </c>
      <c r="M14" s="125"/>
    </row>
    <row r="15">
      <c r="A15" s="124" t="s">
        <v>409</v>
      </c>
      <c r="B15" s="126" t="s">
        <v>410</v>
      </c>
      <c r="C15" s="124" t="s">
        <v>411</v>
      </c>
      <c r="D15" s="124" t="s">
        <v>245</v>
      </c>
      <c r="E15" s="124" t="s">
        <v>412</v>
      </c>
      <c r="F15" s="124" t="s">
        <v>413</v>
      </c>
      <c r="G15" s="124" t="s">
        <v>414</v>
      </c>
      <c r="H15" s="124" t="s">
        <v>415</v>
      </c>
      <c r="I15" s="124" t="s">
        <v>276</v>
      </c>
      <c r="J15" s="124" t="s">
        <v>416</v>
      </c>
      <c r="K15" s="124" t="s">
        <v>417</v>
      </c>
      <c r="L15" s="124" t="s">
        <v>418</v>
      </c>
      <c r="M15" s="125"/>
    </row>
    <row r="16">
      <c r="A16" s="124" t="s">
        <v>419</v>
      </c>
      <c r="B16" s="124" t="s">
        <v>420</v>
      </c>
      <c r="C16" s="124" t="s">
        <v>421</v>
      </c>
      <c r="D16" s="124" t="s">
        <v>234</v>
      </c>
      <c r="E16" s="124" t="s">
        <v>422</v>
      </c>
      <c r="F16" s="124" t="s">
        <v>423</v>
      </c>
      <c r="G16" s="124" t="s">
        <v>424</v>
      </c>
      <c r="H16" s="124" t="s">
        <v>425</v>
      </c>
      <c r="I16" s="124" t="s">
        <v>276</v>
      </c>
      <c r="J16" s="124" t="s">
        <v>426</v>
      </c>
      <c r="K16" s="124" t="s">
        <v>230</v>
      </c>
      <c r="L16" s="124" t="s">
        <v>427</v>
      </c>
      <c r="M16" s="127"/>
    </row>
    <row r="17" ht="23.25" customHeight="1">
      <c r="A17" s="103"/>
      <c r="B17" s="103"/>
      <c r="C17" s="103"/>
      <c r="D17" s="103"/>
      <c r="E17" s="103"/>
      <c r="F17" s="103"/>
      <c r="G17" s="103"/>
      <c r="H17" s="103"/>
      <c r="I17" s="103"/>
      <c r="J17" s="103"/>
      <c r="K17" s="103"/>
      <c r="L17" s="103"/>
      <c r="M17" s="127"/>
    </row>
  </sheetData>
  <printOptions/>
  <pageMargins bottom="0.75" footer="0.0" header="0.0" left="0.7" right="0.7" top="0.75"/>
  <pageSetup paperSize="3" scale="91"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128" t="s">
        <v>198</v>
      </c>
      <c r="B1" s="129" t="s">
        <v>428</v>
      </c>
      <c r="C1" s="121" t="s">
        <v>429</v>
      </c>
      <c r="E1" s="130" t="s">
        <v>430</v>
      </c>
      <c r="F1" s="131"/>
    </row>
    <row r="2" ht="14.25" customHeight="1">
      <c r="A2" s="132">
        <v>0.0</v>
      </c>
      <c r="B2" s="133" t="s">
        <v>431</v>
      </c>
      <c r="C2" s="134" t="s">
        <v>432</v>
      </c>
      <c r="E2" s="135" t="s">
        <v>433</v>
      </c>
      <c r="F2" s="136" t="s">
        <v>434</v>
      </c>
    </row>
    <row r="3" ht="14.25" customHeight="1">
      <c r="A3" s="137">
        <v>0.0</v>
      </c>
      <c r="B3" s="104" t="s">
        <v>435</v>
      </c>
      <c r="C3" s="138" t="s">
        <v>436</v>
      </c>
      <c r="E3" s="139" t="s">
        <v>437</v>
      </c>
      <c r="F3" s="131"/>
    </row>
    <row r="4" ht="14.25" customHeight="1">
      <c r="A4" s="137">
        <v>0.0</v>
      </c>
      <c r="B4" s="104" t="s">
        <v>438</v>
      </c>
      <c r="C4" s="138" t="s">
        <v>439</v>
      </c>
      <c r="E4" s="140" t="s">
        <v>432</v>
      </c>
      <c r="F4" s="141">
        <v>15.0</v>
      </c>
    </row>
    <row r="5" ht="14.25" customHeight="1">
      <c r="A5" s="137">
        <v>0.0</v>
      </c>
      <c r="B5" s="104" t="s">
        <v>440</v>
      </c>
      <c r="C5" s="138" t="s">
        <v>441</v>
      </c>
      <c r="E5" s="140" t="s">
        <v>436</v>
      </c>
      <c r="F5" s="141">
        <v>15.0</v>
      </c>
    </row>
    <row r="6" ht="14.25" customHeight="1">
      <c r="A6" s="137">
        <v>0.0</v>
      </c>
      <c r="B6" s="104" t="s">
        <v>442</v>
      </c>
      <c r="C6" s="138" t="s">
        <v>443</v>
      </c>
      <c r="E6" s="140" t="s">
        <v>439</v>
      </c>
      <c r="F6" s="141">
        <v>90.0</v>
      </c>
    </row>
    <row r="7" ht="14.25" customHeight="1">
      <c r="A7" s="137">
        <v>0.0</v>
      </c>
      <c r="B7" s="104" t="s">
        <v>444</v>
      </c>
      <c r="C7" s="138" t="s">
        <v>445</v>
      </c>
      <c r="E7" s="140" t="s">
        <v>441</v>
      </c>
      <c r="F7" s="141">
        <v>60.0</v>
      </c>
    </row>
    <row r="8" ht="14.25" customHeight="1">
      <c r="A8" s="137">
        <v>0.0</v>
      </c>
      <c r="B8" s="104" t="s">
        <v>446</v>
      </c>
      <c r="C8" s="138" t="s">
        <v>447</v>
      </c>
      <c r="E8" s="140" t="s">
        <v>443</v>
      </c>
      <c r="F8" s="141">
        <v>120.0</v>
      </c>
    </row>
    <row r="9" ht="14.25" customHeight="1">
      <c r="A9" s="137">
        <v>0.0</v>
      </c>
      <c r="B9" s="104" t="s">
        <v>448</v>
      </c>
      <c r="C9" s="138" t="s">
        <v>449</v>
      </c>
      <c r="E9" s="140" t="s">
        <v>445</v>
      </c>
      <c r="F9" s="141">
        <v>120.0</v>
      </c>
    </row>
    <row r="10" ht="14.25" customHeight="1">
      <c r="A10" s="142">
        <v>0.0</v>
      </c>
      <c r="B10" s="143" t="s">
        <v>450</v>
      </c>
      <c r="C10" s="144" t="s">
        <v>451</v>
      </c>
      <c r="E10" s="140" t="s">
        <v>447</v>
      </c>
      <c r="F10" s="145">
        <v>120.0</v>
      </c>
    </row>
    <row r="11" ht="14.25" customHeight="1">
      <c r="A11" s="132">
        <v>1.0</v>
      </c>
      <c r="B11" s="146" t="s">
        <v>452</v>
      </c>
      <c r="C11" s="134" t="s">
        <v>453</v>
      </c>
      <c r="E11" s="140" t="s">
        <v>449</v>
      </c>
      <c r="F11" s="145">
        <v>180.0</v>
      </c>
    </row>
    <row r="12" ht="14.25" customHeight="1">
      <c r="A12" s="137">
        <v>1.0</v>
      </c>
      <c r="B12" s="104" t="s">
        <v>454</v>
      </c>
      <c r="C12" s="138" t="s">
        <v>455</v>
      </c>
      <c r="E12" s="147" t="s">
        <v>451</v>
      </c>
      <c r="F12" s="145">
        <v>720.0</v>
      </c>
    </row>
    <row r="13" ht="14.25" customHeight="1">
      <c r="A13" s="137">
        <v>1.0</v>
      </c>
      <c r="B13" s="104" t="s">
        <v>456</v>
      </c>
      <c r="C13" s="138" t="s">
        <v>457</v>
      </c>
      <c r="E13" s="139" t="s">
        <v>458</v>
      </c>
      <c r="F13" s="131"/>
    </row>
    <row r="14" ht="14.25" customHeight="1">
      <c r="A14" s="137">
        <v>1.0</v>
      </c>
      <c r="B14" s="104" t="s">
        <v>459</v>
      </c>
      <c r="C14" s="138" t="s">
        <v>460</v>
      </c>
      <c r="E14" s="140" t="s">
        <v>453</v>
      </c>
      <c r="F14" s="141">
        <v>60.0</v>
      </c>
    </row>
    <row r="15" ht="14.25" customHeight="1">
      <c r="A15" s="137">
        <v>1.0</v>
      </c>
      <c r="B15" s="104" t="s">
        <v>461</v>
      </c>
      <c r="C15" s="138" t="s">
        <v>462</v>
      </c>
      <c r="E15" s="140" t="s">
        <v>455</v>
      </c>
      <c r="F15" s="141">
        <v>60.0</v>
      </c>
    </row>
    <row r="16" ht="14.25" customHeight="1">
      <c r="A16" s="137">
        <v>1.0</v>
      </c>
      <c r="B16" s="104" t="s">
        <v>463</v>
      </c>
      <c r="C16" s="138" t="s">
        <v>464</v>
      </c>
      <c r="E16" s="140" t="s">
        <v>457</v>
      </c>
      <c r="F16" s="141">
        <v>240.0</v>
      </c>
    </row>
    <row r="17" ht="14.25" customHeight="1">
      <c r="A17" s="137">
        <v>1.0</v>
      </c>
      <c r="B17" s="104" t="s">
        <v>465</v>
      </c>
      <c r="C17" s="138" t="s">
        <v>466</v>
      </c>
      <c r="E17" s="140" t="s">
        <v>460</v>
      </c>
      <c r="F17" s="141">
        <v>60.0</v>
      </c>
    </row>
    <row r="18" ht="14.25" customHeight="1">
      <c r="A18" s="142">
        <v>1.0</v>
      </c>
      <c r="B18" s="143" t="s">
        <v>467</v>
      </c>
      <c r="C18" s="144" t="s">
        <v>451</v>
      </c>
      <c r="E18" s="140" t="s">
        <v>462</v>
      </c>
      <c r="F18" s="145">
        <v>240.0</v>
      </c>
    </row>
    <row r="19" ht="14.25" customHeight="1">
      <c r="A19" s="132">
        <v>2.0</v>
      </c>
      <c r="B19" s="133" t="s">
        <v>468</v>
      </c>
      <c r="C19" s="134" t="s">
        <v>469</v>
      </c>
      <c r="E19" s="140" t="s">
        <v>464</v>
      </c>
      <c r="F19" s="141">
        <v>90.0</v>
      </c>
    </row>
    <row r="20" ht="14.25" customHeight="1">
      <c r="A20" s="137">
        <v>2.0</v>
      </c>
      <c r="B20" s="104" t="s">
        <v>470</v>
      </c>
      <c r="C20" s="138" t="s">
        <v>471</v>
      </c>
      <c r="E20" s="140" t="s">
        <v>466</v>
      </c>
      <c r="F20" s="141">
        <v>210.0</v>
      </c>
    </row>
    <row r="21" ht="14.25" customHeight="1">
      <c r="A21" s="137">
        <v>2.0</v>
      </c>
      <c r="B21" s="104" t="s">
        <v>472</v>
      </c>
      <c r="C21" s="138" t="s">
        <v>473</v>
      </c>
      <c r="E21" s="140" t="s">
        <v>469</v>
      </c>
      <c r="F21" s="141">
        <v>60.0</v>
      </c>
    </row>
    <row r="22" ht="14.25" customHeight="1">
      <c r="A22" s="137">
        <v>2.0</v>
      </c>
      <c r="B22" s="104" t="s">
        <v>474</v>
      </c>
      <c r="C22" s="138" t="s">
        <v>475</v>
      </c>
      <c r="E22" s="140" t="s">
        <v>471</v>
      </c>
      <c r="F22" s="141">
        <v>300.0</v>
      </c>
    </row>
    <row r="23" ht="14.25" customHeight="1">
      <c r="A23" s="137">
        <v>2.0</v>
      </c>
      <c r="B23" s="104" t="s">
        <v>476</v>
      </c>
      <c r="C23" s="138" t="s">
        <v>464</v>
      </c>
      <c r="E23" s="140" t="s">
        <v>473</v>
      </c>
      <c r="F23" s="141">
        <v>60.0</v>
      </c>
    </row>
    <row r="24" ht="14.25" customHeight="1">
      <c r="A24" s="137">
        <v>2.0</v>
      </c>
      <c r="B24" s="104" t="s">
        <v>477</v>
      </c>
      <c r="C24" s="138" t="s">
        <v>478</v>
      </c>
      <c r="E24" s="140" t="s">
        <v>475</v>
      </c>
      <c r="F24" s="141">
        <v>240.0</v>
      </c>
    </row>
    <row r="25" ht="14.25" customHeight="1">
      <c r="A25" s="142">
        <v>2.0</v>
      </c>
      <c r="B25" s="143" t="s">
        <v>479</v>
      </c>
      <c r="C25" s="148" t="s">
        <v>451</v>
      </c>
      <c r="E25" s="140" t="s">
        <v>464</v>
      </c>
      <c r="F25" s="145">
        <v>90.0</v>
      </c>
    </row>
    <row r="26" ht="14.25" customHeight="1">
      <c r="A26" s="149" t="s">
        <v>480</v>
      </c>
      <c r="C26" s="150"/>
      <c r="E26" s="140" t="s">
        <v>478</v>
      </c>
      <c r="F26" s="145">
        <v>270.0</v>
      </c>
    </row>
    <row r="27" ht="14.25" customHeight="1">
      <c r="A27" s="151">
        <v>46106.0</v>
      </c>
      <c r="B27" s="133" t="s">
        <v>481</v>
      </c>
      <c r="C27" s="152" t="s">
        <v>368</v>
      </c>
      <c r="E27" s="139" t="s">
        <v>482</v>
      </c>
      <c r="F27" s="131"/>
    </row>
    <row r="28" ht="14.25" customHeight="1">
      <c r="A28" s="153">
        <v>46106.0</v>
      </c>
      <c r="B28" s="104" t="s">
        <v>481</v>
      </c>
      <c r="C28" s="154" t="s">
        <v>483</v>
      </c>
      <c r="E28" s="141" t="s">
        <v>368</v>
      </c>
      <c r="F28" s="141">
        <v>60.0</v>
      </c>
    </row>
    <row r="29" ht="14.25" customHeight="1">
      <c r="A29" s="153">
        <v>46106.0</v>
      </c>
      <c r="B29" s="104" t="s">
        <v>481</v>
      </c>
      <c r="C29" s="154" t="s">
        <v>484</v>
      </c>
      <c r="E29" s="141" t="s">
        <v>483</v>
      </c>
      <c r="F29" s="141">
        <v>240.0</v>
      </c>
    </row>
    <row r="30" ht="14.25" customHeight="1">
      <c r="A30" s="153">
        <v>46106.0</v>
      </c>
      <c r="B30" s="104" t="s">
        <v>481</v>
      </c>
      <c r="C30" s="154" t="s">
        <v>485</v>
      </c>
      <c r="E30" s="141" t="s">
        <v>484</v>
      </c>
      <c r="F30" s="141">
        <v>300.0</v>
      </c>
    </row>
    <row r="31" ht="14.25" customHeight="1">
      <c r="A31" s="153">
        <v>46106.0</v>
      </c>
      <c r="B31" s="104" t="s">
        <v>481</v>
      </c>
      <c r="C31" s="154" t="s">
        <v>486</v>
      </c>
      <c r="E31" s="141" t="s">
        <v>485</v>
      </c>
      <c r="F31" s="141">
        <v>90.0</v>
      </c>
    </row>
    <row r="32" ht="14.25" customHeight="1">
      <c r="A32" s="155">
        <v>46106.0</v>
      </c>
      <c r="B32" s="143" t="s">
        <v>481</v>
      </c>
      <c r="C32" s="148" t="s">
        <v>451</v>
      </c>
      <c r="E32" s="141" t="s">
        <v>486</v>
      </c>
      <c r="F32" s="141">
        <v>270.0</v>
      </c>
    </row>
    <row r="33" ht="14.25" customHeight="1">
      <c r="A33" s="156" t="s">
        <v>487</v>
      </c>
      <c r="E33" s="141" t="s">
        <v>488</v>
      </c>
      <c r="F33" s="141">
        <v>120.0</v>
      </c>
    </row>
    <row r="34" ht="14.25" customHeight="1">
      <c r="A34" s="132">
        <v>26.0</v>
      </c>
      <c r="B34" s="133" t="s">
        <v>489</v>
      </c>
      <c r="C34" s="152" t="s">
        <v>490</v>
      </c>
      <c r="E34" s="141" t="s">
        <v>490</v>
      </c>
      <c r="F34" s="141">
        <v>120.0</v>
      </c>
    </row>
    <row r="35" ht="14.25" customHeight="1">
      <c r="A35" s="137">
        <v>26.0</v>
      </c>
      <c r="B35" s="104" t="s">
        <v>491</v>
      </c>
      <c r="C35" s="154" t="s">
        <v>488</v>
      </c>
      <c r="E35" s="141" t="s">
        <v>451</v>
      </c>
      <c r="F35" s="141">
        <v>240.0</v>
      </c>
    </row>
    <row r="36" ht="14.25" customHeight="1">
      <c r="A36" s="137">
        <v>26.0</v>
      </c>
      <c r="B36" s="104" t="s">
        <v>492</v>
      </c>
      <c r="C36" s="154" t="s">
        <v>451</v>
      </c>
      <c r="E36" s="139" t="s">
        <v>487</v>
      </c>
      <c r="F36" s="131"/>
    </row>
    <row r="37" ht="14.25" customHeight="1">
      <c r="A37" s="132">
        <v>27.0</v>
      </c>
      <c r="B37" s="133" t="s">
        <v>493</v>
      </c>
      <c r="C37" s="152" t="s">
        <v>490</v>
      </c>
      <c r="E37" s="141" t="s">
        <v>490</v>
      </c>
      <c r="F37" s="145">
        <v>360.0</v>
      </c>
    </row>
    <row r="38" ht="14.25" customHeight="1">
      <c r="A38" s="137">
        <v>27.0</v>
      </c>
      <c r="B38" s="104" t="s">
        <v>494</v>
      </c>
      <c r="C38" s="154" t="s">
        <v>488</v>
      </c>
      <c r="E38" s="141" t="s">
        <v>488</v>
      </c>
      <c r="F38" s="145">
        <v>360.0</v>
      </c>
    </row>
    <row r="39" ht="14.25" customHeight="1">
      <c r="A39" s="137">
        <v>27.0</v>
      </c>
      <c r="B39" s="104" t="s">
        <v>495</v>
      </c>
      <c r="C39" s="154" t="s">
        <v>451</v>
      </c>
      <c r="E39" s="141" t="s">
        <v>496</v>
      </c>
      <c r="F39" s="145">
        <v>360.0</v>
      </c>
    </row>
    <row r="40" ht="14.25" customHeight="1">
      <c r="A40" s="132">
        <v>28.0</v>
      </c>
      <c r="B40" s="133" t="s">
        <v>497</v>
      </c>
      <c r="C40" s="152" t="s">
        <v>496</v>
      </c>
      <c r="E40" s="141" t="s">
        <v>498</v>
      </c>
      <c r="F40" s="145">
        <v>360.0</v>
      </c>
    </row>
    <row r="41" ht="14.25" customHeight="1">
      <c r="A41" s="137">
        <v>28.0</v>
      </c>
      <c r="B41" s="104" t="s">
        <v>499</v>
      </c>
      <c r="C41" s="154" t="s">
        <v>498</v>
      </c>
      <c r="E41" s="157" t="s">
        <v>500</v>
      </c>
      <c r="F41" s="158"/>
    </row>
    <row r="42" ht="14.25" customHeight="1">
      <c r="A42" s="137">
        <v>28.0</v>
      </c>
      <c r="B42" s="104" t="s">
        <v>501</v>
      </c>
      <c r="C42" s="154" t="s">
        <v>451</v>
      </c>
      <c r="E42" s="141" t="s">
        <v>502</v>
      </c>
      <c r="F42" s="141">
        <v>360.0</v>
      </c>
    </row>
    <row r="43" ht="14.25" customHeight="1">
      <c r="A43" s="132">
        <v>29.0</v>
      </c>
      <c r="B43" s="133" t="s">
        <v>503</v>
      </c>
      <c r="C43" s="152" t="s">
        <v>502</v>
      </c>
      <c r="E43" s="141" t="s">
        <v>504</v>
      </c>
      <c r="F43" s="141">
        <v>360.0</v>
      </c>
    </row>
    <row r="44" ht="14.25" customHeight="1">
      <c r="A44" s="137">
        <v>29.0</v>
      </c>
      <c r="B44" s="104" t="s">
        <v>505</v>
      </c>
      <c r="C44" s="154" t="s">
        <v>504</v>
      </c>
      <c r="E44" s="141" t="s">
        <v>506</v>
      </c>
      <c r="F44" s="141">
        <v>90.0</v>
      </c>
    </row>
    <row r="45" ht="14.25" customHeight="1">
      <c r="A45" s="142">
        <v>29.0</v>
      </c>
      <c r="B45" s="143" t="s">
        <v>507</v>
      </c>
      <c r="C45" s="154" t="s">
        <v>451</v>
      </c>
      <c r="E45" s="145" t="s">
        <v>508</v>
      </c>
      <c r="F45" s="141">
        <v>30.0</v>
      </c>
    </row>
    <row r="46" ht="14.25" customHeight="1">
      <c r="A46" s="159" t="s">
        <v>509</v>
      </c>
      <c r="C46" s="160"/>
      <c r="E46" s="141" t="s">
        <v>510</v>
      </c>
      <c r="F46" s="141">
        <v>30.0</v>
      </c>
    </row>
    <row r="47" ht="14.25" customHeight="1">
      <c r="A47" s="132">
        <v>30.0</v>
      </c>
      <c r="B47" s="133" t="s">
        <v>511</v>
      </c>
      <c r="C47" s="154" t="s">
        <v>506</v>
      </c>
      <c r="E47" s="141" t="s">
        <v>512</v>
      </c>
      <c r="F47" s="145">
        <v>30.0</v>
      </c>
    </row>
    <row r="48" ht="14.25" customHeight="1">
      <c r="A48" s="137">
        <v>30.0</v>
      </c>
      <c r="B48" s="161" t="s">
        <v>513</v>
      </c>
      <c r="C48" s="162" t="s">
        <v>508</v>
      </c>
      <c r="E48" s="141" t="s">
        <v>514</v>
      </c>
      <c r="F48" s="145">
        <v>60.0</v>
      </c>
    </row>
    <row r="49" ht="14.25" customHeight="1">
      <c r="A49" s="137">
        <v>30.0</v>
      </c>
      <c r="B49" s="104" t="s">
        <v>515</v>
      </c>
      <c r="C49" s="154" t="s">
        <v>510</v>
      </c>
      <c r="F49" s="163"/>
    </row>
    <row r="50" ht="14.25" customHeight="1">
      <c r="A50" s="137">
        <v>30.0</v>
      </c>
      <c r="B50" s="104" t="s">
        <v>516</v>
      </c>
      <c r="C50" s="154" t="s">
        <v>512</v>
      </c>
      <c r="F50" s="163"/>
    </row>
    <row r="51" ht="14.25" customHeight="1">
      <c r="A51" s="142">
        <v>30.0</v>
      </c>
      <c r="B51" s="143" t="s">
        <v>517</v>
      </c>
      <c r="C51" s="148" t="s">
        <v>514</v>
      </c>
      <c r="F51" s="163"/>
    </row>
    <row r="52" ht="14.25" customHeight="1">
      <c r="A52" s="164"/>
      <c r="B52" s="164"/>
      <c r="C52" s="150"/>
      <c r="F52" s="163"/>
    </row>
    <row r="53" ht="14.25" customHeight="1">
      <c r="A53" s="164"/>
      <c r="B53" s="164"/>
      <c r="C53" s="150"/>
      <c r="F53" s="163"/>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
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M.S. &amp; Objectives" sheetId="2" r:id="rId6"/>
    <sheet state="visible" name="Requirements" sheetId="3" r:id="rId7"/>
    <sheet state="visible" name="Payload" sheetId="4" r:id="rId8"/>
    <sheet state="visible" name="Outline Key Phases of the Missi" sheetId="5" r:id="rId9"/>
    <sheet state="hidden" name="ImplementationStatus" sheetId="6" r:id="rId10"/>
    <sheet state="hidden" name="Concept of Operations Timeline" sheetId="7" r:id="rId11"/>
    <sheet state="hidden" name="minute-by-minute breakdown" sheetId="8" r:id="rId12"/>
    <sheet state="hidden" name="Mass Budget" sheetId="9" r:id="rId13"/>
    <sheet state="hidden" name=" Structures Decision Matrix" sheetId="10" r:id="rId14"/>
    <sheet state="hidden" name="Power Decision Matrix" sheetId="11" r:id="rId15"/>
    <sheet state="hidden" name="0. Power Allocation" sheetId="12" r:id="rId16"/>
    <sheet state="hidden" name="1. Subsystem (OnOff)" sheetId="13" r:id="rId17"/>
    <sheet state="hidden" name="2. Power by Mode" sheetId="14" r:id="rId18"/>
    <sheet state="hidden" name="3. Mode Plot Data" sheetId="15" r:id="rId19"/>
    <sheet state="hidden" name="3a. Typical Mode Sequence (Powe" sheetId="16" r:id="rId20"/>
    <sheet state="hidden" name="3b. Typical Mode Sequence (Ener" sheetId="17" r:id="rId21"/>
    <sheet state="hidden" name="STK Data" sheetId="18" r:id="rId22"/>
    <sheet state="hidden" name="Power Consumption (Orbit Passin" sheetId="19" r:id="rId23"/>
    <sheet state="hidden" name="Power Consumption (Orbit Not Pa" sheetId="20" r:id="rId24"/>
    <sheet state="visible" name="Heat Loads" sheetId="21" r:id="rId25"/>
    <sheet state="visible" name="Heat Trade Study" sheetId="22" r:id="rId26"/>
    <sheet state="visible" name="Communications Trade Study" sheetId="23" r:id="rId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ID#AAAAm-5BtF0
    (2023-01-13 07:20:11)
An additional percentage of the component power to add. This margin can help to avoid unexpected power loss during the mission.
Set to 0% for original power values.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ID#AAAAm-5BtGI
    (2023-01-13 07:20:11)
An additional percentage of the component power to add. This margin can help to avoid unexpected power loss during the mission.
Set to 0% for original power values.</t>
      </text>
    </comment>
  </commentList>
</comments>
</file>

<file path=xl/sharedStrings.xml><?xml version="1.0" encoding="utf-8"?>
<sst xmlns="http://schemas.openxmlformats.org/spreadsheetml/2006/main" count="2433" uniqueCount="1056">
  <si>
    <t>Category</t>
  </si>
  <si>
    <t xml:space="preserve"> </t>
  </si>
  <si>
    <t>Subsystem / Focus</t>
  </si>
  <si>
    <t>Sheet Link</t>
  </si>
  <si>
    <t>Description / Quick Notes</t>
  </si>
  <si>
    <t>Level</t>
  </si>
  <si>
    <t>0.0 Program Control</t>
  </si>
  <si>
    <t>OBJECTIVES &amp; REQUIREMENTS</t>
  </si>
  <si>
    <t>Mission Overview</t>
  </si>
  <si>
    <t>M.S. &amp; Objectives</t>
  </si>
  <si>
    <t>Objective or Requirement Statement</t>
  </si>
  <si>
    <t>Timestamp_UTC</t>
  </si>
  <si>
    <t>Date Last Updated</t>
  </si>
  <si>
    <t>Sol</t>
  </si>
  <si>
    <t>Pressure_mbar</t>
  </si>
  <si>
    <t>AirTemp_C</t>
  </si>
  <si>
    <t>GroundTemp_C</t>
  </si>
  <si>
    <t>Source(s)</t>
  </si>
  <si>
    <t>Humidity_pct</t>
  </si>
  <si>
    <t>High-level milestones &amp; project goals.</t>
  </si>
  <si>
    <t>WindSpeed_mps</t>
  </si>
  <si>
    <t>WindDir_deg</t>
  </si>
  <si>
    <t>System/ Subsystem(s) Affected?</t>
  </si>
  <si>
    <t>Dust_OpticalDepth</t>
  </si>
  <si>
    <t>Radiation_Wm2</t>
  </si>
  <si>
    <t>Status?</t>
  </si>
  <si>
    <t>Data_Quality_Flag</t>
  </si>
  <si>
    <t>CHANGE LOG</t>
  </si>
  <si>
    <t>Systems Engineering</t>
  </si>
  <si>
    <t>Reasoning</t>
  </si>
  <si>
    <t>Requirements</t>
  </si>
  <si>
    <t>Revisions to the Objective/ Requirement</t>
  </si>
  <si>
    <t>Master system and subsystem tracking.</t>
  </si>
  <si>
    <t>1.0 Payload &amp; Science</t>
  </si>
  <si>
    <t>Reasons/ Justification</t>
  </si>
  <si>
    <t>Core Instruments</t>
  </si>
  <si>
    <t>Payload</t>
  </si>
  <si>
    <t>Breakdown of scientific sensors and components.</t>
  </si>
  <si>
    <t>ASSOCIATED RISKS</t>
  </si>
  <si>
    <t>2.0 Operations</t>
  </si>
  <si>
    <t>Mission Timeline</t>
  </si>
  <si>
    <t>Associated Risks with Requirement</t>
  </si>
  <si>
    <t>VERIFICATION &amp; VALIDATION (V&amp;V)</t>
  </si>
  <si>
    <t>Testing Method</t>
  </si>
  <si>
    <t>Outline Key Phases</t>
  </si>
  <si>
    <t>Verification Plan</t>
  </si>
  <si>
    <t>Validation Plan</t>
  </si>
  <si>
    <t>Chronological breakdown of mission elapsed time.</t>
  </si>
  <si>
    <t>Any Pre-Actions Needed?</t>
  </si>
  <si>
    <t>Concept of Operations Timeline</t>
  </si>
  <si>
    <t>Time (UTC or Mission Elapsed Time)</t>
  </si>
  <si>
    <t>minute-by-minute breakdown</t>
  </si>
  <si>
    <t>Robot Function / Mode</t>
  </si>
  <si>
    <t>Primary Objective / Milestone</t>
  </si>
  <si>
    <t>3.0 Mechanical &amp; Structure</t>
  </si>
  <si>
    <t>Mass Tracking</t>
  </si>
  <si>
    <t>Operation Mode (Teleop / Autonomous / Semi-Autonomous / Scripted)</t>
  </si>
  <si>
    <t xml:space="preserve">Notes For Final Presentation. </t>
  </si>
  <si>
    <t>Mass Budget</t>
  </si>
  <si>
    <t>Inputs (e.g., command, signal, state)</t>
  </si>
  <si>
    <t>Margin calculations and weight allocations.</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</si>
  <si>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</si>
  <si>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Expected Outputs (e.g., telemetry, sensor data)</t>
  </si>
  <si>
    <t>Data Products Generated</t>
  </si>
  <si>
    <t>System, Subsystem, or Component Level?</t>
  </si>
  <si>
    <t>Hardware Trade Studies</t>
  </si>
  <si>
    <t>Structures Decision Matrix</t>
  </si>
  <si>
    <t>Verification Method</t>
  </si>
  <si>
    <t>Associated Risk or Sensitivity (High/Med/Low)</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</si>
  <si>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</si>
  <si>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Comparative analysis of chassis designs.</t>
  </si>
  <si>
    <t>Date of when the requirement statement was last revised.</t>
  </si>
  <si>
    <t>Dependencies / Predecessor Actions</t>
  </si>
  <si>
    <t>Where did this requirement come from? Is this based on literature, stakeholder, testing standards, etc? Include links if possible.</t>
  </si>
  <si>
    <t>Estimated Duration</t>
  </si>
  <si>
    <t>Does this matter on a system level? If not, which subsystems does this directly affect? Consider the interfaces as well. Which subsystems are responsible?</t>
  </si>
  <si>
    <t>Accomplished or unaccomplished?</t>
  </si>
  <si>
    <t>Notes</t>
  </si>
  <si>
    <t>List by chronological order, with most recent revisions FIRST. Include... (year.month.date) Revision 1 comment, (year.month.date) Revision 2 comment</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</si>
  <si>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</si>
  <si>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Why was the revision made?</t>
  </si>
  <si>
    <t>Launch day, 0-1 (Mission Elapsed Time)</t>
  </si>
  <si>
    <t>Launch And Commissioning</t>
  </si>
  <si>
    <t>List the associated risk numbers.</t>
  </si>
  <si>
    <t>Spacecraft Separation and initial health checks</t>
  </si>
  <si>
    <t>Scripted/Autonomous</t>
  </si>
  <si>
    <t>Verification - Does it meet the specification need? Are we building our product right?</t>
  </si>
  <si>
    <t>Validation - Does it meet the customer need? Did we build the right product?</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</si>
  <si>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</si>
  <si>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Launch vehicle separation signal, onboard startup sequences</t>
  </si>
  <si>
    <t>Spacecraft status telemetry, power system telemetry, communication link confirmation</t>
  </si>
  <si>
    <t>Initial spacecraft health report, subsystem status logs</t>
  </si>
  <si>
    <t>Verify successful separation communication establishment, and nominal subsystem health/</t>
  </si>
  <si>
    <t>High</t>
  </si>
  <si>
    <t>Successful vehicle loading and spacecraft deployment</t>
  </si>
  <si>
    <t>1 day</t>
  </si>
  <si>
    <t>Cruise Phase, Years 0-6</t>
  </si>
  <si>
    <t>MISSION STATEMENT</t>
  </si>
  <si>
    <t>Cruise And Approach</t>
  </si>
  <si>
    <t>Maintain spacecraft health and perform trajectory correction maneuvers</t>
  </si>
  <si>
    <t>Semi-Autonomous</t>
  </si>
  <si>
    <t>Ground-planned trajectory updates, star tracker measurements, navigation state estimates</t>
  </si>
  <si>
    <t>Navigation telemetry, spacecraft health telemetry, maneuver confirmation</t>
  </si>
  <si>
    <t>Trajectory correction logs, navigation solution history</t>
  </si>
  <si>
    <t>Requirement No.</t>
  </si>
  <si>
    <t>Verify trajectory remains within mission tolerance and all spacecraft systems remain operational</t>
  </si>
  <si>
    <t>Medium</t>
  </si>
  <si>
    <t>Completion of launch and commision phase</t>
  </si>
  <si>
    <t>Source</t>
  </si>
  <si>
    <t>~6 years</t>
  </si>
  <si>
    <t>Requirement</t>
  </si>
  <si>
    <t>Europa Orbital Insertion and Reconnaissance</t>
  </si>
  <si>
    <t>Europa Orbit Insertion And Orbital Reconnaissance</t>
  </si>
  <si>
    <t>Deploy orbital agents and identify suitable landing region</t>
  </si>
  <si>
    <t>Implementation</t>
  </si>
  <si>
    <t>Autonomous</t>
  </si>
  <si>
    <t>Orbital state estimates, terrain imaging data, radar survey measurements</t>
  </si>
  <si>
    <t>Surface maps, hazard maps, candidate landing sites</t>
  </si>
  <si>
    <t>Validation Before TVC</t>
  </si>
  <si>
    <t>Global terrain map, landing site assessment report</t>
  </si>
  <si>
    <t>Verify successful orbital insertion, orbiter deployment, and identification of viable landing zones.</t>
  </si>
  <si>
    <t>Status (MET/ WIP/ UNMET)</t>
  </si>
  <si>
    <t>Successful arrival at Europa and orbital insertion burn</t>
  </si>
  <si>
    <t>30 Days</t>
  </si>
  <si>
    <t>What work did you do for this requirement this semester</t>
  </si>
  <si>
    <t>Surface Operations Day 0-5</t>
  </si>
  <si>
    <t>Instructions (do not copy this column)</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</si>
  <si>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</si>
  <si>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</si>
  <si>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</si>
  <si>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</si>
  <si>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System checkout report, calibration datasets, local terrain map</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</si>
  <si>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</si>
  <si>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</si>
  <si>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</si>
  <si>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</si>
  <si>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</si>
  <si>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</si>
  <si>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</si>
  <si>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</si>
  <si>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</si>
  <si>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</si>
  <si>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Successful rover deployment and payload calibration</t>
  </si>
  <si>
    <t>Surface Operations Day 35-50</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</si>
  <si>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</si>
  <si>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</si>
  <si>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</si>
  <si>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</si>
  <si>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</si>
  <si>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Verify all science data successfully transmitted and spacecraft enters safe passivated state</t>
  </si>
  <si>
    <t>Low</t>
  </si>
  <si>
    <t>Completion of science objectives and final site selection</t>
  </si>
  <si>
    <t>15 days</t>
  </si>
  <si>
    <t>The multi-agent Europa surface system shall autonomously characterize the ice shell and identify a cryobot insertion site, operating without real-time Earth support.</t>
  </si>
  <si>
    <t>-</t>
  </si>
  <si>
    <t>REQ.01.01</t>
  </si>
  <si>
    <t>System [Mission level]</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</si>
  <si>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</si>
  <si>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</si>
  <si>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Do not edit Columns A - C. To update them, use the "Requirements" sheet.</t>
  </si>
  <si>
    <t>NASA FY 2026-2027 SBIR Solicitation, Topic COMNAV.1.S26B, 2025</t>
  </si>
  <si>
    <t>OBJ.01</t>
  </si>
  <si>
    <t>System</t>
  </si>
  <si>
    <t xml:space="preserve">Estimated Duration </t>
  </si>
  <si>
    <t>Unaccomplished</t>
  </si>
  <si>
    <t>System Level</t>
  </si>
  <si>
    <t>The system shall demonstrate autonomous multi-agent coordination and consensus-based decision making without Earth communication links</t>
  </si>
  <si>
    <t>Launch Day</t>
  </si>
  <si>
    <t>Launch &amp; Commission</t>
  </si>
  <si>
    <t>This objective addresses the multi-agent coordination shortfall ranked 139th in NASA's Civil Space Technology Shortfall Rankings, which identifies cooperative task planning as a near-term priority (STMD]</t>
  </si>
  <si>
    <t>Deploy Spacecraft And Establish Communications</t>
  </si>
  <si>
    <t>In Column A, look for your subsystem's requirements.</t>
  </si>
  <si>
    <t>Launch  separation signal, startup sequences</t>
  </si>
  <si>
    <t>Telemetry, power status, comm link</t>
  </si>
  <si>
    <t>Initial health report</t>
  </si>
  <si>
    <t>Verify separation and subsystem health</t>
  </si>
  <si>
    <t>Launch vehicle deployment</t>
  </si>
  <si>
    <t>In Column D, state how you are implementing design / assembly / integration / testing plans to meet the requirement.</t>
  </si>
  <si>
    <t>Mission Start</t>
  </si>
  <si>
    <t>Cruise Years 1-6</t>
  </si>
  <si>
    <t>Cruise &amp; Approach</t>
  </si>
  <si>
    <t>Transit To Europa</t>
  </si>
  <si>
    <t>Risk-01: Single-point autonomy failure with no fallback human override</t>
  </si>
  <si>
    <t>In Column E, state the status - if the Requirement is Met, Unmet, or a Work in Progress (WIP) based on the Implementation description.</t>
  </si>
  <si>
    <t>Navigation measurements, trajectory updates</t>
  </si>
  <si>
    <t>Navigation telemetry</t>
  </si>
  <si>
    <t>Trajectory correction logs</t>
  </si>
  <si>
    <t>Verify trajectory tolerance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</si>
  <si>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</si>
  <si>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</si>
  <si>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Launch Complete</t>
  </si>
  <si>
    <t>Be sure to state in Column F if the Implementation/Status has been updated.</t>
  </si>
  <si>
    <t>Demonstrate that the mission objectives are achieved across three independent HILL runs without Earth support</t>
  </si>
  <si>
    <t>6 years</t>
  </si>
  <si>
    <t>Periodic health monitoring</t>
  </si>
  <si>
    <t>OBJ.02</t>
  </si>
  <si>
    <t>Subsystem Mobility</t>
  </si>
  <si>
    <t>The rover shall traverse Europa's surface terrain and maintain localization using onboard sensors and inter-agent ranging</t>
  </si>
  <si>
    <t>Europa Arrival</t>
  </si>
  <si>
    <t>Europa  Orbit Insertion</t>
  </si>
  <si>
    <t>This objective addresses NASA's identified gap in autonomous navigation without Earth-based support, as stated in the FY 2026-2027 SBIR solicitation Topic COMNAV.1.S26B [SBIR]</t>
  </si>
  <si>
    <t>Achieve Stable Europa Orbit</t>
  </si>
  <si>
    <t>Orbital state measurements</t>
  </si>
  <si>
    <t>REQ.01.02</t>
  </si>
  <si>
    <t>Orbital telemetry</t>
  </si>
  <si>
    <t>Orbit determination solution</t>
  </si>
  <si>
    <t>Verify stable orbit</t>
  </si>
  <si>
    <t>Cruise Complete</t>
  </si>
  <si>
    <t>The system shall survive and maintain operational status after exposure to total ionizing dose of no less than 100 krad over the nominal mission lifetime.</t>
  </si>
  <si>
    <t>Critical maneuver</t>
  </si>
  <si>
    <t>Jupiter's magnetosphere delivers radiation doses far exceeding near-Earth missions. Europas Clipper's radiation vault architecture targets ~100 krad as the design threshold. Radiation environment directly drives the shielded vault requirement. Traceable to OBJ.01</t>
  </si>
  <si>
    <t>Orbit Day 1-15</t>
  </si>
  <si>
    <t>Terrain Mapping</t>
  </si>
  <si>
    <t>OBJ.03</t>
  </si>
  <si>
    <t>Generate Landing Candidates</t>
  </si>
  <si>
    <t>Subsystem Science/Payload</t>
  </si>
  <si>
    <t>The system shall characterize ice shell thickness using a ground penetrating radar sounder and identify candidate insertion sites</t>
  </si>
  <si>
    <t>Orbital imagery, radar scans</t>
  </si>
  <si>
    <t>This objective supports the science goals outlined in the Decadal Survey, which identifies Europa's subsurface ocean as a primary target for astrobiology and calls for characterization of the ice shell to assess habitability. [OWL]</t>
  </si>
  <si>
    <t>Hazard maps</t>
  </si>
  <si>
    <r>
      <t xml:space="preserve">National Academies, Origins Worlds and Life Decadal Survey 2023–2032, </t>
    </r>
    <r>
      <rPr>
        <color rgb="FF1155CC"/>
        <u/>
      </rPr>
      <t>https://www.nationalacademies.org/read/26522</t>
    </r>
    <r>
      <rPr/>
      <t>; Galileo spacecraft radiation vault design heritage</t>
    </r>
  </si>
  <si>
    <t>Global terrain maps</t>
  </si>
  <si>
    <t>Verify terrain coverage</t>
  </si>
  <si>
    <t>Orbit Insertion complete</t>
  </si>
  <si>
    <t>15 das</t>
  </si>
  <si>
    <t>Orbital Agent 1</t>
  </si>
  <si>
    <t>Orbit Day 15-30</t>
  </si>
  <si>
    <t>Communications Relay &amp; Localization Support</t>
  </si>
  <si>
    <t>Validate Landing Regions</t>
  </si>
  <si>
    <t>Orbital navigation data</t>
  </si>
  <si>
    <t>Localization updates</t>
  </si>
  <si>
    <t>Navigation support database</t>
  </si>
  <si>
    <t>Verify location accuracy</t>
  </si>
  <si>
    <t>Terrain Mapping complete</t>
  </si>
  <si>
    <t>OBJ.04</t>
  </si>
  <si>
    <t>Orbital Agent 2</t>
  </si>
  <si>
    <t>Subsystem COMMs</t>
  </si>
  <si>
    <t>Surface Day 0</t>
  </si>
  <si>
    <t>The inter-agent mesh network shall maintain coordination under degraded connectivity and radiation induced faults</t>
  </si>
  <si>
    <t>Rover Landing</t>
  </si>
  <si>
    <t>Safe Landing</t>
  </si>
  <si>
    <t>System, Electronics, Power</t>
  </si>
  <si>
    <t>This objective addresses NASA's identified gap in autonomous distributed spacecraft operations without Earth-based navigational support, per SBIR Topic COMNAV.1.S26B. [SBIR]</t>
  </si>
  <si>
    <t>Landing guidance sensors</t>
  </si>
  <si>
    <t>Landing telemetry</t>
  </si>
  <si>
    <t>Landing performance report</t>
  </si>
  <si>
    <t>RISK-02: Accumulated single event upsets degrade consensus algorithm convergence before mission completion.</t>
  </si>
  <si>
    <t>Verify touchdown location</t>
  </si>
  <si>
    <t>Landing Site selected</t>
  </si>
  <si>
    <t>Co-60 gamma irradiation of all radiation-sensitive components to 110 krad (10% margin). Monitor functional performance throughout exposure.</t>
  </si>
  <si>
    <t>4 hrs</t>
  </si>
  <si>
    <t>Verify all components pass functional tests at end of life dose with no loss of required functionality</t>
  </si>
  <si>
    <t>Highest risk phase</t>
  </si>
  <si>
    <t>Validate the integrated rover and relay nodes complete simulated mission operations after TID exposure.</t>
  </si>
  <si>
    <t>Surface Day 1</t>
  </si>
  <si>
    <t>Payload Initialization</t>
  </si>
  <si>
    <t>Activate Science Payloads</t>
  </si>
  <si>
    <t>Startup commands</t>
  </si>
  <si>
    <t>Instrument health telemetry</t>
  </si>
  <si>
    <t>Payload status report</t>
  </si>
  <si>
    <t>Verify payload functionality</t>
  </si>
  <si>
    <t>Landing Complete</t>
  </si>
  <si>
    <t>REQ.01.03</t>
  </si>
  <si>
    <t>6 hrs</t>
  </si>
  <si>
    <t>New 2.4 activity</t>
  </si>
  <si>
    <t>Surface Day 1-2</t>
  </si>
  <si>
    <t>The system shall maintain a minimum inter-agent network connectivity of two active relay nodes at all times during surface operations to ensure consensus is achievable.</t>
  </si>
  <si>
    <t>Radar Calibration</t>
  </si>
  <si>
    <t>Calibrate Radar Sonar</t>
  </si>
  <si>
    <t>Consensus algorithms require a minimum connected graph to guarantee convergence. Two active relays plus a surface rover guarantee a 3-node connected topology as the minimum viable configuration. Traceable to OBJ.01 and OBJ.04.</t>
  </si>
  <si>
    <t>Calibration routines</t>
  </si>
  <si>
    <r>
      <t xml:space="preserve">NASA STMD Civil Space Technology Shortfall Rankings, Jul. 2024, </t>
    </r>
    <r>
      <rPr>
        <color rgb="FF1155CC"/>
        <u/>
      </rPr>
      <t>https://www.nasa.gov/wp-content/uploads/2024/07/civil-space-shortfall-ranking-july-2024.pdf</t>
    </r>
  </si>
  <si>
    <t>Calibration measurements</t>
  </si>
  <si>
    <t>Calibration dataset</t>
  </si>
  <si>
    <t>Verify measurement accuracy</t>
  </si>
  <si>
    <t>Payload initialization complete</t>
  </si>
  <si>
    <t>Surface Day 2-5</t>
  </si>
  <si>
    <t>Traverse Planning</t>
  </si>
  <si>
    <t>System, COMMs</t>
  </si>
  <si>
    <t>Generate Survey Route</t>
  </si>
  <si>
    <t>Terrain maps, hazard maps</t>
  </si>
  <si>
    <t>Planned route</t>
  </si>
  <si>
    <t>Navigation plan</t>
  </si>
  <si>
    <t>Verify route safety</t>
  </si>
  <si>
    <t>Calibration complete</t>
  </si>
  <si>
    <t>3 days</t>
  </si>
  <si>
    <t>RISK-03: Simultaneous radiation-induced failure of multiple relay nodes isolating the surface rover.</t>
  </si>
  <si>
    <t>Surface Day 5-20</t>
  </si>
  <si>
    <t>Autonomous Navigation</t>
  </si>
  <si>
    <t>Transverse Survey Area</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</si>
  <si>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</si>
  <si>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</si>
  <si>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Terrain maps, localization estimates</t>
  </si>
  <si>
    <t>Validate that the surface rover completes a traverse plan using map data from a degraded 2-relay configuration.</t>
  </si>
  <si>
    <t>Position updates</t>
  </si>
  <si>
    <t>Traverse logs</t>
  </si>
  <si>
    <t>Verify localization accuracy</t>
  </si>
  <si>
    <t>Route planning complete</t>
  </si>
  <si>
    <t>Expanded from 2.3</t>
  </si>
  <si>
    <t>Radar Data Collected</t>
  </si>
  <si>
    <t>REQ.02.01</t>
  </si>
  <si>
    <t>Acquire Subsurface Measurements</t>
  </si>
  <si>
    <t>Subsystem [Operations Level] Mobility</t>
  </si>
  <si>
    <t>Radar returns</t>
  </si>
  <si>
    <t>Ice thickness estimates</t>
  </si>
  <si>
    <t>The surface robot shall maintain a localization accuracy of no worse than +-0.5 m relative to its last known position during any traverse segments up to 50 m in the absence of GPS.</t>
  </si>
  <si>
    <t>Radar profiles</t>
  </si>
  <si>
    <t>Verify coverage requirements</t>
  </si>
  <si>
    <t>Cryobot insertion site selection requires meter-level positioning to match the radar identified thin ice candidate. +-0.5 over 59 m segments in consistent with visual odometry performance on Mars rovers. Traceable to OBJ.02</t>
  </si>
  <si>
    <t>NASA FY 2026-2027 SBIR Solicitation, Topic COMNAV.1.S26B; Mars Curiosity rover visual odometry heritage</t>
  </si>
  <si>
    <t>Navigation Active</t>
  </si>
  <si>
    <t>Mobility, GNC</t>
  </si>
  <si>
    <t>Surface Day 10-22</t>
  </si>
  <si>
    <t>RISK-04: Ice surface texture homogeneity reducing visual odometry feature tracking quality.</t>
  </si>
  <si>
    <t>Subsurface Map Generation</t>
  </si>
  <si>
    <t>Create Ice-Shell Model</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</si>
  <si>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</si>
  <si>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</si>
  <si>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Subsurface maps</t>
  </si>
  <si>
    <t>Validate that the rover navigates to and stops within +-0.5 m of a designated waypoint representing a candidate insertion site.</t>
  </si>
  <si>
    <t>Ice thickness map</t>
  </si>
  <si>
    <t>Verify map completeness</t>
  </si>
  <si>
    <t>Data collection underway</t>
  </si>
  <si>
    <t>12 days</t>
  </si>
  <si>
    <t>Surface Day 22-26</t>
  </si>
  <si>
    <t>Consensus Validation</t>
  </si>
  <si>
    <t>Rank Candidate Cryobot Spots</t>
  </si>
  <si>
    <t>Terrain maps, Ice maps</t>
  </si>
  <si>
    <t>Site rankings</t>
  </si>
  <si>
    <t>REQ.03.01</t>
  </si>
  <si>
    <t>Subsystem [Operations Level] Science / Payload</t>
  </si>
  <si>
    <t>Site evaluation report</t>
  </si>
  <si>
    <t>The ground-penetrating radar sounder shall resolve ice shell thickness to within +-10% accuracy for ice layers between 1 km and 30 km depth, producing a subsurface map at the minimum spatial resolution of 100 m along the traverse track.</t>
  </si>
  <si>
    <t>Verify selection criteria</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</si>
  <si>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</si>
  <si>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</si>
  <si>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Map generation complete</t>
  </si>
  <si>
    <t>Science/Payload, Power</t>
  </si>
  <si>
    <t>4 days</t>
  </si>
  <si>
    <t>Surface Day 26-28</t>
  </si>
  <si>
    <t>RISK-05: Ice shell heterogeneity or brine inclusions creating radar clutter that degrades thickness estimates.</t>
  </si>
  <si>
    <t>Cryobot Site selection</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</si>
  <si>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</si>
  <si>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</si>
  <si>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</si>
  <si>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Select Optimal Insertion Site</t>
  </si>
  <si>
    <t>Candidate rankings</t>
  </si>
  <si>
    <t>Selected coordinates</t>
  </si>
  <si>
    <t>Cryobot insertion package</t>
  </si>
  <si>
    <t>Verify mission criteria</t>
  </si>
  <si>
    <t>Consensus validation complete</t>
  </si>
  <si>
    <t>2 days</t>
  </si>
  <si>
    <t>REQ.04.01</t>
  </si>
  <si>
    <t>Mission success metric</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</si>
  <si>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</si>
  <si>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</si>
  <si>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</si>
  <si>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</si>
  <si>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</si>
  <si>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 xml:space="preserve"> Mission Elapsed Time (min)</t>
  </si>
  <si>
    <t>Surface Day 29-30</t>
  </si>
  <si>
    <t>Data transmission &amp; End Mission</t>
  </si>
  <si>
    <t xml:space="preserve">RISK-06: Radiation induced burst errors exceeding 30% packet loss on multiple links simultaneously, stalling consensus. </t>
  </si>
  <si>
    <t>Downlink Archive And Close Mission</t>
  </si>
  <si>
    <t>Software-in-the-loop consensus simulation: Introduce 30% packet loss on each inter-agent link and measure convergence time across 100 test runs.</t>
  </si>
  <si>
    <t>Science archive</t>
  </si>
  <si>
    <t>Verify the consensus convergence time remains &lt;10 minutes across all 100 test runs with 30% packet loss.</t>
  </si>
  <si>
    <t>Mode:  Sub-Activity</t>
  </si>
  <si>
    <t>Archive transmission</t>
  </si>
  <si>
    <t>Validate that the rover initiates a traverse using a map update produced by the consensus protocol under the degraded link test condition.</t>
  </si>
  <si>
    <t>Final mission report</t>
  </si>
  <si>
    <t>Minute By Minute Ranges</t>
  </si>
  <si>
    <t>Verify archive receipt</t>
  </si>
  <si>
    <t>Site selection complete</t>
  </si>
  <si>
    <t>Mission end</t>
  </si>
  <si>
    <t>REQ.03.02</t>
  </si>
  <si>
    <t>Subsystem [Operation Level} Science / payload</t>
  </si>
  <si>
    <t>0-15</t>
  </si>
  <si>
    <t>Europa Descent And Landing</t>
  </si>
  <si>
    <t>The radar sounder antenna shall be mounted such that the antenna boresight remains within +-5 of nadir during all active sounding operations; the rover shall halt traversal if the measured surface slope exceeds 20 to maintain pointing compliance.</t>
  </si>
  <si>
    <t xml:space="preserve">Mode </t>
  </si>
  <si>
    <t>A nadir pointing antenna is required to minimize geometric error in the two-way travel time measurement. . Off nadir tilt reduces basal reflection return strength and introduces range error that degrades</t>
  </si>
  <si>
    <t>Duration (min)</t>
  </si>
  <si>
    <t xml:space="preserve"> National Academies, Origins Worlds and Life Decadal Survey 2023–2032; Europa Clipper REASON instrument documentation</t>
  </si>
  <si>
    <t>Science/Payload, Structures, Mobility</t>
  </si>
  <si>
    <t>16-30</t>
  </si>
  <si>
    <t>Verify Successful Landing</t>
  </si>
  <si>
    <t>Initialization</t>
  </si>
  <si>
    <t>RISK-05: Ice shell heterogeneity creating radar clutter that degrades thickness estimates; RISK-04: Ice surface texture reducing visual odometry quality (slope-stop logic dependency)</t>
  </si>
  <si>
    <t>31-120</t>
  </si>
  <si>
    <t>Bench test antenna mounting fixture: tilt rover chassis to 5° increments and measure antenna boresight deviation using an inclinometer. Verify pointing error stays within ±5° across the full range of surface slopes up to 20°.</t>
  </si>
  <si>
    <t>Rover Commissioning And Health Checks</t>
  </si>
  <si>
    <t>Verify that antenna boresight deviation does not exceed ±5° of nadir across all chassis tilt angles up to 20° slope</t>
  </si>
  <si>
    <t>Validate that the rover correctly halts traversal and resumes sounding when slope threshold is exceeded during an analog terrain field test.</t>
  </si>
  <si>
    <t>121-180</t>
  </si>
  <si>
    <t>Orbital Communications Verification</t>
  </si>
  <si>
    <t>REQ.03.03</t>
  </si>
  <si>
    <t>181-300</t>
  </si>
  <si>
    <t>Localization Initialization</t>
  </si>
  <si>
    <t>The rover power subsystem shall reserve a dedicated peak power allocation for radar sounder transmission pulses and shall command drive motor shutdown during each active sounding window to prevent power contention with the RTG continuous output.</t>
  </si>
  <si>
    <t>301-420</t>
  </si>
  <si>
    <t>Radar Payload Initialization</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</si>
  <si>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</si>
  <si>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</si>
  <si>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421-540</t>
  </si>
  <si>
    <t>Radar Calibration And Validation</t>
  </si>
  <si>
    <t>Science/Payload, Power, Mobility</t>
  </si>
  <si>
    <t>541-720</t>
  </si>
  <si>
    <t>Initial Site Characterization</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</si>
  <si>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</si>
  <si>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</si>
  <si>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</si>
  <si>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</si>
  <si>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721-1440</t>
  </si>
  <si>
    <t>Subsystem</t>
  </si>
  <si>
    <t>Night Low-Power Thermal Management</t>
  </si>
  <si>
    <t>REQ.03.04</t>
  </si>
  <si>
    <t xml:space="preserve"> Subsystem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</si>
  <si>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</si>
  <si>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Component</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</si>
  <si>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</si>
  <si>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</si>
  <si>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</si>
  <si>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 xml:space="preserve">Qty. </t>
  </si>
  <si>
    <t>1441-1500</t>
  </si>
  <si>
    <t>Mass (kg)</t>
  </si>
  <si>
    <t>RISK-06: Radiation induced burst errors exceeding 30% packet loss stalling consensus; RISK-05: Ice shell heterogeneity generating excess CLUTTER traces inflating data volume</t>
  </si>
  <si>
    <t>Autonomous Traverse Plan</t>
  </si>
  <si>
    <t>Notes and Rational</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</si>
  <si>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</si>
  <si>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</si>
  <si>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</si>
  <si>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1501-1560</t>
  </si>
  <si>
    <t>Orbital Terrain Mapping Update</t>
  </si>
  <si>
    <t>1561-1800</t>
  </si>
  <si>
    <t>Surface Survey Block A</t>
  </si>
  <si>
    <t>Activation State</t>
  </si>
  <si>
    <t>Total Mass (kg)</t>
  </si>
  <si>
    <t>1801-1860</t>
  </si>
  <si>
    <t>REQ.05.01</t>
  </si>
  <si>
    <t>Localization Verification</t>
  </si>
  <si>
    <t>Subsystem [Operational Level] Thermal</t>
  </si>
  <si>
    <t>1861-2100</t>
  </si>
  <si>
    <t>% Dry Mass</t>
  </si>
  <si>
    <t>Radar Data Collection Block A</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</si>
  <si>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</si>
  <si>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</si>
  <si>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2101-2190</t>
  </si>
  <si>
    <t>National Academies, Origins Worlds and Life Decadal Survey 2023–2032; NASA RTG thermal heritage</t>
  </si>
  <si>
    <t>Communication Relay Pass</t>
  </si>
  <si>
    <t>Thermal, Power, Structures</t>
  </si>
  <si>
    <t>Structure</t>
  </si>
  <si>
    <t>2191-2400</t>
  </si>
  <si>
    <t>Surface Survey Block B</t>
  </si>
  <si>
    <t>Primary equipment decks/plates</t>
  </si>
  <si>
    <t>2401-2880</t>
  </si>
  <si>
    <t>2881-2940</t>
  </si>
  <si>
    <t>Systems Warm-Up</t>
  </si>
  <si>
    <t>RISK-07: Thermal control failure during extended night-mode causing battery cell damage and mission termination</t>
  </si>
  <si>
    <t>2941-3240</t>
  </si>
  <si>
    <t>Radar Data Collection Block B</t>
  </si>
  <si>
    <t>Thermal-Vacuum chamber test: Subject the integrated rover to Europa analog thermal cycling (90K surface, simulated RTG waste heat input) and monitor avionics and battery temperatures across a full 23 hour sol cycle including night-mode.</t>
  </si>
  <si>
    <t>Verify that avionics and battery temperatures remain within required bounds across three consecutive sol cycles in the thermal vacuum chamber with no active ground commands.</t>
  </si>
  <si>
    <t>Validate that the rover completes a simulated surface traverse sol following a full night-mode thermal cycle without any subsystem degradation or heater fault events.</t>
  </si>
  <si>
    <t>Parametric sizing for rover avionics and GPR antenna footprints</t>
  </si>
  <si>
    <t>3241-3300</t>
  </si>
  <si>
    <t>Autonomous Hazard Assertion Plan</t>
  </si>
  <si>
    <t>3301-3540</t>
  </si>
  <si>
    <t>Surface Survey Block C</t>
  </si>
  <si>
    <t>REQ.05.02</t>
  </si>
  <si>
    <t>Subsystem [Operations Level] CDH</t>
  </si>
  <si>
    <t>3541-3630</t>
  </si>
  <si>
    <t>The command and data handling subsystem shall detect and autonomously recover from a single-event latchup in any processor core within 330 seconds of occurrence, restoring nominal operations without ground intervention, and shall log each latchup event to non-volatile memory with a timestamp and affected core identifier.</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</si>
  <si>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</si>
  <si>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3631-3900</t>
  </si>
  <si>
    <t>National Academies, Origins Worlds and Life Decadal Survey 2023–2032; NASA STMD Civil Space Technology Shortfall Rankings, Jul. 2024; Galileo spacecraft radiation heritage</t>
  </si>
  <si>
    <t>Subsurface Ice Map Generation</t>
  </si>
  <si>
    <t>CDH, Electronics</t>
  </si>
  <si>
    <t>3900-4320</t>
  </si>
  <si>
    <t>Hardware-in-the-loop fault injection: Inject simulated single-event latchup signals into each processor core and measure time from latchup detection to nominal operation restoration across 50 test runs per core.</t>
  </si>
  <si>
    <t>Verify that the recovery from the latchup injection occurs within 30 seconds across all 50 test runs for each core, and that each event is correctly logged to non-volatile memory with timestamp and code ID.</t>
  </si>
  <si>
    <t>STEADY STATE OPERATIONS</t>
  </si>
  <si>
    <t>Validate that the rover autonomously continues a planned traverse sequence without human intervention following a lachup event injected mid-traverse during an analog mission simulation.</t>
  </si>
  <si>
    <t>REQ.05.03</t>
  </si>
  <si>
    <t>Repeating Daily Cycle</t>
  </si>
  <si>
    <t>Subsystem [Operations Level] Power</t>
  </si>
  <si>
    <t>Steady State</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</si>
  <si>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</si>
  <si>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</si>
  <si>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NASA RTG power system heritage; Europa Clipper power budget architecture; NASA FY 2026–2027 SBIR Solicitation, Topic COMNAV.1.S26B</t>
  </si>
  <si>
    <t>Power, CDH, Thermal, Mobility</t>
  </si>
  <si>
    <t>Survey Operations</t>
  </si>
  <si>
    <t>Radar Data Collection</t>
  </si>
  <si>
    <t>Communications Relay Pass</t>
  </si>
  <si>
    <t>Landing Legs (struts and footpads)</t>
  </si>
  <si>
    <t>RISK-02: Accumulated single event upsets degrade consensus algorithm convergence before mission completion. RISK-07: Thermal control failure during extended night-mode causing battery cell damage and mission termination</t>
  </si>
  <si>
    <t>Subsurface Ice Map Updates</t>
  </si>
  <si>
    <t>2.59 kg/leg sized to tolerate &lt;12g vertical, 6g lateral touchdown loads</t>
  </si>
  <si>
    <t>Hardware-in-the-Loop power budget simulation: Run a full synthetic sol sequence with simultaneous drive, sounding, heating, and consensus relay operations and monitor RTG output margin continuously across 550 test cycles, including injected anomaly events.</t>
  </si>
  <si>
    <t>Verify that the total per-sol energy draw does not exceed 90% of RTG nominal output across all 50 test cycles, including cycles with injected anomaly events that trigger unschedules heater and relay draws.</t>
  </si>
  <si>
    <t>Thermal</t>
  </si>
  <si>
    <t>Validate that the rover completes a full simulated traverse sol with one injected latch up and one slope-stop event without triggering a power fault or dropping below that 10% reserve margin.</t>
  </si>
  <si>
    <t>SITE SELECTION PHASE</t>
  </si>
  <si>
    <t>Autonomous Consensus Validation</t>
  </si>
  <si>
    <t>REQ.06.01</t>
  </si>
  <si>
    <t>Subsystem [Operation Level] Mobility</t>
  </si>
  <si>
    <t>36001-36360</t>
  </si>
  <si>
    <t>Candidate Site Ranking</t>
  </si>
  <si>
    <t>The rover shall autonomously plan and execute a surface traverrse of no less than 100m per sol across Europa analog terrain, pausing at intervals no greater than 100m along-track to perform a radar sounding stop, and shall resume traversal upon sounding completion without requiring a ground uplink.</t>
  </si>
  <si>
    <t>The mission objective requires building a spatially continuous subsurface ice map at &lt;100m along-track resolution (REQ.03.01). To meet that resolution the rover must stop and sound at least every 100m, then continue. With no real-time Earth support (REQ.01.01), the stop-and-sound cycle must be fully onboard. The 100m/sol minimum traverse rate ensures the science map grows at a pace consistent with the 30-sol surface operations window. Traceable to OBJ.02 and OBJ.03.</t>
  </si>
  <si>
    <t>Stiffener/ brackets/ frames</t>
  </si>
  <si>
    <t>National Academies, Origins Worlds and Life Decadal Survey 2023–2032; Europa Clipper REASON instrument documentation; NASA FY 2026–2027 SBIR Solicitation, Topic COMNAV.1.S26B</t>
  </si>
  <si>
    <t>Mobility, GNC, Science/Payload</t>
  </si>
  <si>
    <t>36361-36720</t>
  </si>
  <si>
    <t>~0.515 kg each; prevent deck deflection under landing loads</t>
  </si>
  <si>
    <t>36721-37440</t>
  </si>
  <si>
    <t>Power</t>
  </si>
  <si>
    <t>37441-37800</t>
  </si>
  <si>
    <t>Field test on analog terrain: command the rover to execute a 100m traverse with stop-and-sound events at &lt;100m intervals and measure total traverse distance completed and number of sounding stops executed across 10 runs.</t>
  </si>
  <si>
    <t>Verify that the rover completes &gt;100m of traverse per simulated sol and executes a sounding stop at every &lt;100m interval across all 10 test runs without a ground uplink command.</t>
  </si>
  <si>
    <t>Validate that the subsurface map generated from a full simulated traverse sol contains valid radar traces at &lt;100m along-track spacing covering the full traverse distance.</t>
  </si>
  <si>
    <t>37801-38160</t>
  </si>
  <si>
    <t>Fasteners and support hardware</t>
  </si>
  <si>
    <t>REQ.06.02</t>
  </si>
  <si>
    <t>38161-38880</t>
  </si>
  <si>
    <t>integration allowance ~q.5-2% of structural mass; cryogenic-rated titanium M5/M6</t>
  </si>
  <si>
    <t>Final Site Assessment</t>
  </si>
  <si>
    <t>The rover's onboard site-selection algorithm shall autonomously evaluate each NOMINAL-flagged radar trace against the cryobot insertion criteria (ice thickness &lt; 5 km, surface slope &lt; 20. terrain roughness index &lt;0.7) and shall flag a candidate insertion site within one sol of the criteria first being satisfied without a ground intervention.</t>
  </si>
  <si>
    <t>Comms</t>
  </si>
  <si>
    <t>The terminal mission objective is identifying an optimal cryobot insertion site autonomously. With a 44-minute light delay, Earth cannot evaluate radar data and issue a site selection decision in real time. The onboard algorithm must continuously evaluate incoming traces and trigger the site flags as soon as conditions are met. The one-sol response bound ensures the mission does not waste traverse budget driving past a viable site. Traceable to OBJ.03.</t>
  </si>
  <si>
    <t>38881-39240</t>
  </si>
  <si>
    <t>Science/Payload, CDH</t>
  </si>
  <si>
    <t>Cryobot Site Selection</t>
  </si>
  <si>
    <t>39241-39600</t>
  </si>
  <si>
    <t xml:space="preserve">RISK-05: Ice shell heterogeneity creating radar clutter that degrades thickness estimates; </t>
  </si>
  <si>
    <t>End Of Mission</t>
  </si>
  <si>
    <t>Software-in-the-loop simulation: inject synthetic radar trace datasets containing pre-seed candidate sites at known positions and measure whether the onboard algorithm flags the correct site within one sol of the criteria being met across 50 test runs.</t>
  </si>
  <si>
    <t xml:space="preserve">Fastener contingency reserve </t>
  </si>
  <si>
    <t>Verify that the site-selection algorithm correctly flags all pre-seeded candidate sites within one sol of criteria satisfaction and produces zero false positive flags on CLUTTER or NOISE_FLOOR traces across all 50 runs,</t>
  </si>
  <si>
    <t>Validate that during an analog terrain field traverse, the algorithm flags a candidate site matching pre-surveyed thin-ice analog targets within one sol of the rover reaching the qualifying zone.</t>
  </si>
  <si>
    <t>39601-40320</t>
  </si>
  <si>
    <t>5% structural mass contingency; spare fasteners / integration allowance</t>
  </si>
  <si>
    <t>Final Science Archive Generation</t>
  </si>
  <si>
    <t>Avionics/OBC</t>
  </si>
  <si>
    <t>40321-40680</t>
  </si>
  <si>
    <t>REQ.06.03</t>
  </si>
  <si>
    <t>Subsystem [Operations Level] COMMs</t>
  </si>
  <si>
    <t>Final Terrain Map Validation</t>
  </si>
  <si>
    <t>The rover shall autonomously transmit a daily science summary packet to the orbital relay network containing the sol's Daily Summary record (traverse distance, valid trace count, minimum ice thickness, candidate site count, and mean consensus convergence time) within 2 hours of completing each sol's radar data collection window, without requiring a ground-initiated downlink command/</t>
  </si>
  <si>
    <t>40681-41040</t>
  </si>
  <si>
    <t>Earth-based scientists and mission planners require timely sol-by-sol progress data to assess whether mission objectives are being met and to prepare contingency plans within the non-deterministic relay window. With a 44-minute light delay, the rover cannot wait for a downlink command; it must autonomously initiate transmission when the data is ready. The 2-hour bound ensures the daily summary reaches before the next sol's traverse planning begins, maintaining operational cadence. Traceable to OBJ.01 and OBJ.04</t>
  </si>
  <si>
    <t>NASA STMD Civil Space Technology Shortfall Rankings, Jul. 2024; NASA FY 2026–2027 SBIR Solicitation, Topic COMNAV.1.S26B</t>
  </si>
  <si>
    <t>Final Data Dump</t>
  </si>
  <si>
    <t xml:space="preserve">Antenna mast &amp; mounting bracket </t>
  </si>
  <si>
    <t>COMMS, CDH, Science/Payload</t>
  </si>
  <si>
    <t>41041-41760</t>
  </si>
  <si>
    <t>GPR antenna pedestal, Al tube + SS fasteners + thermal isolators for nadir pointing</t>
  </si>
  <si>
    <t>River Surfing</t>
  </si>
  <si>
    <t>RISK-06: Radiation induced burst errors exceeding 30% packet loss stalling consensus; RISK-05: Ice shell heterogeneity creating radar clutter that degrades thickness estimates</t>
  </si>
  <si>
    <t>END OF MISSION</t>
  </si>
  <si>
    <t>Verify that the daily summary packet is autonomously transmitted and confirmed received at the relay node within 2 hours of data collection completion across all 30 test runs, including degraded-link runs.</t>
  </si>
  <si>
    <t>Validate that a complete daily summary record is successfully reconstructed from a compressed packet received through the inter-agent mesh under 30% packet loss conditions during an end-to-end mission simulation.</t>
  </si>
  <si>
    <t>Payload Surfing</t>
  </si>
  <si>
    <t>41761-41850</t>
  </si>
  <si>
    <t xml:space="preserve">Radiation shielding vault enclosure </t>
  </si>
  <si>
    <t>REQ.07.01</t>
  </si>
  <si>
    <t>Communications Shutdown</t>
  </si>
  <si>
    <t>Ti-6Al-4V box cavity ~.3m x .25m x 0.22m ; attenuates dose to &lt;=1 krad/sol per REQ.01.02</t>
  </si>
  <si>
    <t>Subsystem [Design] Structures</t>
  </si>
  <si>
    <t>41851-41880</t>
  </si>
  <si>
    <t>Harness and Integration</t>
  </si>
  <si>
    <t>The rover chassis and landing leg structure shall accommodate vertical landing loads of 12 g and lateral loads of 6 g touchdown, with each leg sized to distribute peak contact forces across four footpads without permanent deformation or buckling.</t>
  </si>
  <si>
    <t>Passivation / Final Health Beacon</t>
  </si>
  <si>
    <t>Europa Clipper impact analysis shows worse-case terrain encounters. Landing dynamics on low- gravity icy surface require robust leg geometry to prevent tipping or frame cracking. Traceable to mission landing phase success.</t>
  </si>
  <si>
    <t>Nacional Academies Decadal Survey; Mars rover landing heritage (Perseverance suspension); Europa Clipper mission architecture</t>
  </si>
  <si>
    <t>41881-41910</t>
  </si>
  <si>
    <t>Lead/polyethylene radiation liner</t>
  </si>
  <si>
    <t>0.75" polyethylene + 0.125' lead facingl selective shielding for flight computer</t>
  </si>
  <si>
    <t>Software</t>
  </si>
  <si>
    <t>Structures, Mobility, GNC</t>
  </si>
  <si>
    <t>41911-41940</t>
  </si>
  <si>
    <t>41941-42000</t>
  </si>
  <si>
    <t>Thermal interface pads</t>
  </si>
  <si>
    <t>Kapton + adodine interface; minimize thermal short through vault wall at 90K</t>
  </si>
  <si>
    <t>RISK-08: Landing leg plastic deformation or buckling under 12 g vertical /6g lateral loads, causing frame misalignment and mobility failure.</t>
  </si>
  <si>
    <t>TOTAL</t>
  </si>
  <si>
    <t>FEA nonlinear analysis: Model landing leg assembly under peak 12g vertical and 6 g lateral loads; verify material yield safety factor &gt;= 1.5 across all elements. Test on two candidate leg geometries (tapered strut vs constant diameter).</t>
  </si>
  <si>
    <t>Verify leg structure remains elastic (no permanent deformation) under 120% of worse-case landing load envelope. Confirm peak stress stays below material yield to all four leg attachment points across 50 simulated touchdown scenarios.</t>
  </si>
  <si>
    <t>Validate by drop test: Lower fully integrated rover 1.2m onto rigid analog regolith target at 12 g equivalent impact; measure leg deformation, frame alignment post-impact, and mobility performance on 20 slopes.</t>
  </si>
  <si>
    <t>REQ.07.02</t>
  </si>
  <si>
    <t>The primary equipment deck, fastener selection, and all structural material shall remain within material specification limits (yield strength, fatigue life) when exposed to sustained cryogenic operation at EUropa surface temperature of 90k (-183c) over the 30- sol mission lifetime.</t>
  </si>
  <si>
    <t>Aluminum and titanium alloys experience reduced ductility and altered fatigue properties at cryogenic temperatures. Fastener materials must remain ductile to avoid brittle fracture during thermal cycling. Noground repair possible. Traceable to OBJ.01</t>
  </si>
  <si>
    <t>MLI Blanket attachment structure</t>
  </si>
  <si>
    <t>National Academies Decadal Survey; Galileo spacecraft cryogenic experience; MMPTE cryogenic materials database</t>
  </si>
  <si>
    <t>Thin-gauge brackets &amp; clips for MLI retention + radiator support</t>
  </si>
  <si>
    <t>Each criterion was evaluated against every other using a pairwise comparison method. Values were
assigned in 0.25 increments between 0 and 1, where:
• A value of 0.5 indicates equal importance.
• Values of 0.25 or 0.75 indicate one criterion is moderately more important than the other.
• Values of 0 or 1 reflect extreme preference toward one criterion, rendering the other negligible.
The comparisons are symmetric such that the sum of each pair equals 1. Total weights were summed
and normalized to create priority values for each criterion.</t>
  </si>
  <si>
    <t>Structures, Thermal, Power</t>
  </si>
  <si>
    <t>Radiator support frame</t>
  </si>
  <si>
    <t>RISK-09: Brittle fracture of fasteners or primary structure during thermal cycling 90k -&gt; operational range (-20C); Risk-10: Reduced fatigue margin under sustained cryogenic vibration.</t>
  </si>
  <si>
    <t>Al tube frame for radiator mounting; thermal decoupling</t>
  </si>
  <si>
    <t>Thermal-vacuum cycling test: Subject candidate fastener materials and deck plate samples to 30 cycles of simulated Europa surface (90K hold for 2hr, warm to -20C, cool back). Measure fracture toughness, dimensional change, and surface crack initiation via SEM.</t>
  </si>
  <si>
    <t>Mass Cp Limit (kg)</t>
  </si>
  <si>
    <t>Verify all fasteners and primary deck material remain in ductile regime (Charpy impact energy &gt;5 J/cm^2) at 90K. Confirm zero crack initiation on structure after 30 thermal cycles. Measure dimensional stability: &lt;2% shrinkage over full temperature range.</t>
  </si>
  <si>
    <t>REQ.07.03</t>
  </si>
  <si>
    <t>MLI blankets</t>
  </si>
  <si>
    <t>The radiation shielding valut enclosing the flight computer and power distribution unit shall provide sufficient material thickness to attenuate the Europa radiation environment to0 a dose rate of &lt;= 1 krad per sol at the electronics level, maintaining structural stiffness and mass allocation within the 28.5 kg structures budget.</t>
  </si>
  <si>
    <t>Criteria</t>
  </si>
  <si>
    <t>Radiation dose accumulation (REQ.01.02) is mitigated by shielding geometry and material selection. nRTG and shielder vault approach (Europa Clipper heritage) required structural integration of shielding layers. Balances protection vs mass. Traceable to REQ.01.02, OBj.01.</t>
  </si>
  <si>
    <t>Areal density 0.35 kg/m^3 x 18.05 m^2 equivalent coverage (lander and appendages)</t>
  </si>
  <si>
    <t>Europa Clipper radiation vault design; Galileo spacecraft documentation; JPL REASON instrument shielding analysis</t>
  </si>
  <si>
    <t>Load Bearing Capacity</t>
  </si>
  <si>
    <t>Allowable Mass Growth: 25% of dry mass</t>
  </si>
  <si>
    <t>Structures, Power, Electronics, CDH</t>
  </si>
  <si>
    <t>Thermal Conductivity</t>
  </si>
  <si>
    <t>Mass per leg</t>
  </si>
  <si>
    <t>Safety Margin at Yield</t>
  </si>
  <si>
    <t>Manufacturability &amp; TRL</t>
  </si>
  <si>
    <t>RISK-02: Accumulated single event upset if shielding dose rate exceeds 1 krad/sol threshold; Risk-11: Mass overflow if shielding vault exceeds 28.5 kg budget.</t>
  </si>
  <si>
    <t>GEANT4 Monte Carlo radiation transport simulations: Model jovian particle spectrum incident on rover. Vary shielding layer (polyethylene, l,ead, or hybrid) and thickness; compute dose rate at flight computer location across 100,000 particle histories. Cross-validate with SRIM for heavy ion stopping power.</t>
  </si>
  <si>
    <t>Verify shielding material and geometry reduce external dose rate (~5 krad/sol ambient) to &lt;=1 krad/sol at flight computer board level. Confirm mass of vault assembly (enclosure + fasteners + thermal interface) stays &lt;=3.2 kg allocated within structures budget (28.5kg total).</t>
  </si>
  <si>
    <t>Validate by placing radiation-sensitive test diodes inside shielded vault prototype, exposing Co-60 gamma source at calibrated dose rate, and confirming internal diode reading matches GEANT4 prediction within +-15%. Then validate via end-to-end HILL: run mission simulation with shielded flight computer after accumulated 110 krad exposure (10% margin) and verify CDH autonomy performance (latchup detection/recover per REQ.05.02) remains nominal.</t>
  </si>
  <si>
    <t>Cryogenic Ductility</t>
  </si>
  <si>
    <t>Weight</t>
  </si>
  <si>
    <t>Normalized</t>
  </si>
  <si>
    <t>REQ.08.01</t>
  </si>
  <si>
    <t>System [EPS, Power Generation]</t>
  </si>
  <si>
    <t>Load Bearing Capability</t>
  </si>
  <si>
    <t>The power system shall generate a minimum of 110 We at the beginning of life via an MMRTG--class radioisotope generator and shall deliver no less than 80 We continuous electrical output upon European arrival, providing at least 1.9 kWh of usable energy per sol throughout the 30-sol surface mission.</t>
  </si>
  <si>
    <t>Solar power is not viable at Jupiter distance. MMRTG output degrades ~4.8% per year so a110 We BOL unit delivers ~82 We after the 6-year cruise. Sizing to end-of-cruise output rather than BOL ensures the steady-state surface loads (avionics, heatrers, commons) is covered with margin for the full surface phase. Traceable to OBJ.01 and REQ.05.03.</t>
  </si>
  <si>
    <t xml:space="preserve"> Perseverance/Curiosity MMRTG performance heritage; NASA RTG power system heritage; Europa Clipper power architecture</t>
  </si>
  <si>
    <t>Radiators / heat-pipe panels</t>
  </si>
  <si>
    <t>4.79 kg/panel @ 6.0 kg/m^2, sized for 400-500 W rejection</t>
  </si>
  <si>
    <t>Power, Thermal, System</t>
  </si>
  <si>
    <t>RISK-12: RTG output degradation exceeding predicted 4.8%/yr curve, eroding surface ops energy margin</t>
  </si>
  <si>
    <t>Battery packs (survival 12 h)</t>
  </si>
  <si>
    <t>Electrical ground test of RTG simulator on flight representative bus: measure deliver power at simulated BOL and end-of-cruise degradation states across full thermal operating range.</t>
  </si>
  <si>
    <t>Verify &gt; 110 We at BOL conditions and &gt;80 We at simulated 6-year degradation state, confirming &gt;1.9 kWh/sol delivered to the bus.</t>
  </si>
  <si>
    <t>Validate that a full simulated surface sol (traverse, sounding, relay pass, night mode) completes on &lt;80 We continuous input plus battery load-leveling without a power fault.</t>
  </si>
  <si>
    <t>0.22-0.3 kg/kW.150 Wh/kg = 16 kg, +20% margin = 19.2 kg</t>
  </si>
  <si>
    <t>PDU and high current cabling</t>
  </si>
  <si>
    <t>REQ.08.02</t>
  </si>
  <si>
    <t>0.22-0.3 kg/kW deliveredm harness allowance (heritage EPS scaling)</t>
  </si>
  <si>
    <t>Subsystem [ EPS, Battery Storage and Thermal Control]</t>
  </si>
  <si>
    <t>The energy storage system shall provide a minimum of 2.4 kWh usable capacity to 1) load-level intermittent peak draws (drive motors, radar transmission, X-band downlink) exceeding continuous RTG output, and 2) sustain night-mode survival heating and critical avionics for no less than 12 hours, while maintaining cell temperature above -20C per REQ.05.01</t>
  </si>
  <si>
    <t>The RTG provides fixed continuous output with no surge capability; peak surface loads (~100-125 W during traverse and sounding) exceed the ~80 We available, so the battery must buffer the difference. Cell capacity drops sharply at cryogenic temperatures, driving the co-located thermal requirement. 19.2 kg pack at 150 Wh/kg gives 2.l88 kWh usable reflects ~85% depth-of--discharge limit. Traceable to OBJ.01 and REQ.05.01</t>
  </si>
  <si>
    <t>RTG</t>
  </si>
  <si>
    <t>Mass budget battery sizing (19.2 kg, 150 Wh/kg); NASA primary battery design heritage; National Academies OWL Decadal Survey 2023–2032</t>
  </si>
  <si>
    <t>Main power source</t>
  </si>
  <si>
    <t>Heater</t>
  </si>
  <si>
    <t>Power, Thermal</t>
  </si>
  <si>
    <t>Heating unit</t>
  </si>
  <si>
    <t>UHF radio and cabling</t>
  </si>
  <si>
    <t xml:space="preserve">Thermal-vacuum endurance test replicating a 12-hour night-mode cycle at Europa analog temperatures with survival heater and avionics load profile applied. </t>
  </si>
  <si>
    <t>Verify pack delivers &gt;2.4 kWh usable and maintains bus voltage above cutoff through the full 12-hour night discharge with cells held above -20C</t>
  </si>
  <si>
    <t>Validate the rover completes three consecutive simulated sol cycles (peak load-leveling by day, 12-hour survival discharge by night) with no capacity fault or cell degradation</t>
  </si>
  <si>
    <t>Mass per Leg</t>
  </si>
  <si>
    <t>Heritage UHF radios 1.5-2kg; midpoint with harness</t>
  </si>
  <si>
    <t>REQ.08.03</t>
  </si>
  <si>
    <t>Subsystem [EPS,Power distribution, and Fault Management]</t>
  </si>
  <si>
    <t>CX-band transponder</t>
  </si>
  <si>
    <t>The power distribution unit shall autonomously detect and isolate a faulted load bus within 100 kms of overcurrent or undervoltage detection, maintain uninterrupted power to critical loads  (flight computer, survival heaters, UHF radio), and log each fault event to non-volatile memory, without ground intervention.</t>
  </si>
  <si>
    <t>Safety Margin at yield</t>
  </si>
  <si>
    <t>DSN-compatible SDST heritage mass ~3.0 kg</t>
  </si>
  <si>
    <t>The 344-minute-one-way light delay makes ground-commanded fault recovery impossible, and Jupiter's radiation environment makes lathrup-induced overcurrent events likely (REQ.05.02). A cascading bus fault during night mode would be mission-terminal. The PDU is housed inside the radiation vault per REQ.07.04, but fault containment logic must still bound any single faulute. Traceable to OBJ.01, Req.05.02,  and REQ.05.03</t>
  </si>
  <si>
    <t>NASA Fault Management Handbook; Galileo spacecraft radiation heritage; Europa Clipper radiation vault design</t>
  </si>
  <si>
    <t>Power, CDH, Electronics</t>
  </si>
  <si>
    <t>ANtennas (UHF helix /X-band LGA</t>
  </si>
  <si>
    <t>RISK-02: Accumulated single event upsets degrade consensus algorithm convergence before mission completion. RISK-13: PDU logic or sensor fault causing persistent loss of a non-faulted load bus\</t>
  </si>
  <si>
    <t>Small helix and patch with short RF cabling</t>
  </si>
  <si>
    <t>Hardware-in-the-loop fault injection: Inject overcurrent and undervoltage events on each load bus and measite isolation time and critical-load continuity across a50 runs per bus.\</t>
  </si>
  <si>
    <t>Verify fault isolation occurs within 100 ms in all injected cases, critical loads see no interruption, and every event is correctly 6 logged with timestamp and busID.</t>
  </si>
  <si>
    <t>Validate the rover continues a planned traversal sol following a mid-sol injected bus fault, with autonomous recover and no loss of science data collection.</t>
  </si>
  <si>
    <t>Avionics</t>
  </si>
  <si>
    <t>Flight Computer</t>
  </si>
  <si>
    <t>Manufacturing &amp; TRL</t>
  </si>
  <si>
    <t>OBC board enclosure; comparable to small planetary avionics</t>
  </si>
  <si>
    <t>REQ.09.01</t>
  </si>
  <si>
    <t>System [Thermal Control, Heat Rejection]</t>
  </si>
  <si>
    <t>I/O / storage / interface boards</t>
  </si>
  <si>
    <t>The rover thermal control system shall reject up to 500 W of combined electronics dissipation and routed RTG waste heat through dedicated radiator panels to maintain the avionics vault interior below +40 C during peak daytime radar-sounding and traverse operations.</t>
  </si>
  <si>
    <t>Radar transmit electronics, drive motors, and comms transmitters dissipate significant heat during active operations; without dedicated rejection the sealed vault exceeds the +40 C avionics limit set in REQ.05.01. Radiators sized for 400-500 W (mass budget) provide the hot-case margin.</t>
  </si>
  <si>
    <t>NASA MMRTG waste-heat thermal heritage; rover mass budget radiator sizing (2 panels, 400-500 W rejection @ 6 kg/m^2); NASA DSNE thermal design standards</t>
  </si>
  <si>
    <t>Logger and ADC's includes enclosure</t>
  </si>
  <si>
    <t>Thermal, Electronics, Power, CDH</t>
  </si>
  <si>
    <t>MEDA-class environment suit</t>
  </si>
  <si>
    <t>RISK-14: Avionics or radar electronics overheating during peak daytime operations from insufficient radiator rejection</t>
  </si>
  <si>
    <t>Perseverance MEDA mass ~5.5 kg; op power ~17W</t>
  </si>
  <si>
    <t>Thermal-vacuum hot-case test: run full electronics load (radar transmit, drive, comms) with a 90 K chamber sink and simulated RTG waste-heat input; measure vault interior temperature at steady state.</t>
  </si>
  <si>
    <t>Verify the vault interior stays below +40 C at peak dissipation across three consecutive simulated sols in the thermal-vacuum chamber.</t>
  </si>
  <si>
    <t>Validate the rover completes a full simulated daytime traverse-and-sounding sol with no electronics thermal derating or fault events.</t>
  </si>
  <si>
    <t>Flight / GNC/ FDIR</t>
  </si>
  <si>
    <t>No physical mass; impact OBC/EPS</t>
  </si>
  <si>
    <t>REQ.09.02</t>
  </si>
  <si>
    <t>Subsystem [Operational Level] Thermal / Mobility</t>
  </si>
  <si>
    <t>The thermal control system shall preheat all drive-train actuators and deployment mechanisms to above -40 C prior to any commanded motion, completing cold-start warm-up in no more than 60 minutes from the 90 K surface baseline to prevent lubricant stiffening and mechanical binding.</t>
  </si>
  <si>
    <t>System harness / connectors/ strain relief</t>
  </si>
  <si>
    <t>At 90 K, actuator lubricants stiffen and mechanisms risk binding or fracture if driven cold. A bounded pre-motion warm-up protects the drive train and matches the 60-minute Systems Warm-Up block already defined in the ConOps.</t>
  </si>
  <si>
    <t>Total</t>
  </si>
  <si>
    <t>Mars Curiosity/Perseverance actuator cold-start and warm-up heritage; NASA DSNE design standards; Europa surface temperature ~90 K, OWL Decadal Survey 2023-2032</t>
  </si>
  <si>
    <t>Thermal, Mobility, Structures</t>
  </si>
  <si>
    <t>2-3% of dry mass if not fully counted elsewhere</t>
  </si>
  <si>
    <t>RISK-15: Actuator lubricant stiffening or mechanism binding from cold-start motion below survival temperature</t>
  </si>
  <si>
    <t>Cold-start bench test in TVAC: cold-soak actuators to 90 K, command warm-up, and measure time to reach -40 C plus first-motion torque margin across 10 runs.</t>
  </si>
  <si>
    <t>Verify all actuators reach above -40 C within 60 minutes of warm-up initiation and produce nominal first-motion torque across all 10 cold-start runs.</t>
  </si>
  <si>
    <t>Validate the rover executes a commanded traverse immediately following a full cold-soak and warm-up cycle with no mechanism fault.</t>
  </si>
  <si>
    <t>REQ.09.03</t>
  </si>
  <si>
    <t>Subsystem [Thermal Control, Passive Architecture]</t>
  </si>
  <si>
    <t>The thermal control system shall combine multi-layer insulation with routed RTG waste heat to bound the equipment-enclosure heat leak at the 90 K environment such that supplemental electric survival heating does not exceed 50 W and remains within the per-sol energy budget defined in REQ.05.03.</t>
  </si>
  <si>
    <t>RTG waste heat (~1.9 kW thermal) is the primary survival heat source; MLI limits radiative loss so electric heaters stay minimal, keeping night thermal draw inside the per-sol energy budget. This trade is the subject of the night-survival thermal trade study.</t>
  </si>
  <si>
    <t>NASA MMRTG waste-heat thermal heritage; Galileo / Europa Clipper MLI thermal architecture; rover power budget (2006.5 Wh/sol, REQ.05.03)</t>
  </si>
  <si>
    <t>Load Bearing (12g/6g)</t>
  </si>
  <si>
    <t>Thermal-vacuum survival test: instrument the MLI-wrapped enclosure at a 90 K sink with RTG waste-heat input; measure passive heat leak and the electric heater power required to hold survival temperatures over a 12-hour night.</t>
  </si>
  <si>
    <t>Verify supplemental electric heater draw stays &lt;=50 W while cells and avionics remain above survival minimums through the full 12-hour night discharge.</t>
  </si>
  <si>
    <t>Validate the rover completes three consecutive simulated sols (daytime ops, 12-hour night survival) with the selected insulation architecture and no thermal fault.</t>
  </si>
  <si>
    <t>REQ.10.01</t>
  </si>
  <si>
    <t>The communications subsystem shall deliver no less than 55 MB of compressed science and engineering data per Earth day from the surface rover to the orbital relay network, sustaining a return-link data rate of at least 128 kbps and accepting a forward-link command rate of at least 8 kbps.</t>
  </si>
  <si>
    <t>The rover generates ~90 MB of raw data per sol across radar sounder traces, nav camera stereo imagery, localization logs, terrain and consensus map deltas, and housekeeping. At the 2:1 compression already required by REQ.03.04 that is 45 MB, and a 20% margin gives 55 MB. Clearing 55 MB inside the 90-minute relay pass the ConOps allocates needs 90 kbps, so 128 kbps is the floor at the next standard step up. Forward traffic is only sequence loads and occasional software patches, so 8 kbps is sufficient.</t>
  </si>
  <si>
    <t>Rover data product definition (2.1 Radar_Traces / Localization_Log / Terrain_and_Health sheets); REQ.03.04 onboard storage and 2:1 compression; ConOps relay pass allocation (90 min/sol); JPL Electra / Electra-Lite UHF proximity link heritage (MRO, MSL, Perseverance); CCSDS 211.1-B Proximity-1</t>
  </si>
  <si>
    <t>COMMs, CDH, Science/Payload, Power</t>
  </si>
  <si>
    <t>Fails load envelope; not viable</t>
  </si>
  <si>
    <t>RISK-16: Per-sol data generation outpacing the relay return-link volume, forcing lossy science triage onboard</t>
  </si>
  <si>
    <t>&gt;4.0 kg</t>
  </si>
  <si>
    <t>End-to-end throughput test: play a synthetic 7-sol data set through the flight radio into a relay emulator at the 128 kbps requirement floor and measure delivered volume per emulated pass.</t>
  </si>
  <si>
    <t>Verify no less than 55 MB of compressed data is delivered per emulated sol at 128 kbps within the 90-minute relay window across 20 consecutive passes.</t>
  </si>
  <si>
    <t>Validate that a full simulated sol of rover-generated data is reconstructed on the ground side with no loss of radar traces flagged NOMINAL.</t>
  </si>
  <si>
    <t>SF &lt;1.0; failure imminent</t>
  </si>
  <si>
    <t>&gt;2.5 W/K (unacceptable heat leak)</t>
  </si>
  <si>
    <t>TRL 4; concept-only; significant development risk</t>
  </si>
  <si>
    <t>Material unsuitable for cryogenic operation</t>
  </si>
  <si>
    <t>REQ.10.02</t>
  </si>
  <si>
    <t>Marginal; requires major redesign</t>
  </si>
  <si>
    <t>The communications subsystem shall obtain no less than two usable relay contacts per sol totaling at least 90 minutes of link time above a 10 degree elevation mask, and shall bound end-to-end latency from measurement to Earth receipt at no more than 26 hours.</t>
  </si>
  <si>
    <t>3.25–4.0 kg</t>
  </si>
  <si>
    <t>A single pass per sol leaves no recovery if geometry, occultation, or a fault costs the contact, so two are required and the 7 sols of onboard storage in REQ.03.04 absorbs the backlog when one is lost. The 26-hour bound is one sol of accumulation plus the 44-minute one-way light delay plus relay store-and-forward, which is the tightest figure that still puts a completed sol in front of Earth planners before the next one starts.</t>
  </si>
  <si>
    <t>SF &lt;1.2; high risk</t>
  </si>
  <si>
    <t>ConOps minute-by-minute breakdown (Communication Relay Pass, 90 min/sol); REQ.03.04 seven-sol onboard storage; REQ.06.03 daily summary packet; NASA DSNE deep-space link design standards; Mars Relay Network pass scheduling heritage (MRO / Odyssey)</t>
  </si>
  <si>
    <t>1.5–2.5 W/K (high; significant thermal penalty)</t>
  </si>
  <si>
    <t>COMMs, CDH, Science/Payload, GNC</t>
  </si>
  <si>
    <t>Mass</t>
  </si>
  <si>
    <t>RISK-17: Relay orbit geometry or Jupiter occultation collapsing the per-sol contact window below the volume needed to stay ahead of data generation</t>
  </si>
  <si>
    <t>TRL 5; new design approach; prototype required</t>
  </si>
  <si>
    <t>Orbit propagation and contact analysis: propagate both relay agents over the full 30-sol surface mission and count contacts and cumulative link time above the 10 degree mask, including Jupiter occultation intervals.</t>
  </si>
  <si>
    <t>Charpy &lt;3 J/cm² at 90 K; high fracture risk</t>
  </si>
  <si>
    <t>Verify no less than two contacts and 90 minutes of usable link time occur on every sol of the 30-sol mission, and that the worst-case sol still closes the volume requirement of REQ.10.01.</t>
  </si>
  <si>
    <t>Validate that the rover carries a full sol of data forward and clears the backlog on the next contact when one pass is deliberately withheld during a simulated 3-sol operations run.</t>
  </si>
  <si>
    <t>Continuous Power</t>
  </si>
  <si>
    <t>Handles 12g/6g with 65–80% yield; major FEA iteration</t>
  </si>
  <si>
    <t>2.75–3.25 kg (acceptable with tradeoffs)</t>
  </si>
  <si>
    <t>Complexity/ Operations</t>
  </si>
  <si>
    <t>SF 1.2–1.5</t>
  </si>
  <si>
    <t>1.0–1.5 W/K (acceptable; manageable heater load)</t>
  </si>
  <si>
    <t>REQ.10.03</t>
  </si>
  <si>
    <t>Radiation &amp; Cryo Robustness</t>
  </si>
  <si>
    <t>TRL 6; custom design; requires specialized welding or forming</t>
  </si>
  <si>
    <t>Subsystem [Design] COMMs</t>
  </si>
  <si>
    <t>Charpy 3–5 J/cm² at 90 K (marginal; risk of brittle fracture)</t>
  </si>
  <si>
    <t>Availability/TRL</t>
  </si>
  <si>
    <t>The rover-to-relay proximity link shall close with no less than 3 dB of margin over the Eb/N0 required for a post-decoding bit error rate of 1E-6 at the worst-case 588 km slant range in both directions, and the rover shall retain an X-band direct-to-Earth engineering beacon of no less than 5 bps to a DSN 34 m station as a relay-loss fallback.</t>
  </si>
  <si>
    <t>Handles 12g/6g with 50–65% yield; minor FEA refinement</t>
  </si>
  <si>
    <t>3 dB is the standard allowance for a proximity link whose orbit geometry, antenna pattern, and receiver noise floor are only coarsely known before flight, and at UHF the Jovian synchrotron contribution to system noise temperature is the hardest term to bound from the ground. A 1E-6 coded error rate keeps frame loss inside what the consensus protocol already tolerates at 30% packet loss (REQ.04.01). The beacon exists because the link budget shows a direct X-band link on an LGA closes at only ~7 bps at 4.2 AU, enough to report state but nowhere near enough to run the mission. That number is what makes the relay architecture non-optional rather than convenient.</t>
  </si>
  <si>
    <t>2.3–2.75 kg (target range)</t>
  </si>
  <si>
    <t>Link budget analysis (3.5); JPL DSN Telecommunications Link Design Handbook 810-005; CCSDS 131.0-B turbo/LDPC coding performance; JPL Electra-Lite UHF transceiver specification; REQ.04.01 degraded-mode consensus</t>
  </si>
  <si>
    <t>SF 1.5–1.8</t>
  </si>
  <si>
    <t>COMMs, Power, Structures, CDH</t>
  </si>
  <si>
    <t>0.5–1.0 W/K (good; minor heater overhead)</t>
  </si>
  <si>
    <t>TRL 7; minor customization; standard shop processes</t>
  </si>
  <si>
    <t>Charpy 5–8 J/cm² at 90 K (acceptable; verified by test)</t>
  </si>
  <si>
    <t>RISK-18: Jovian synchrotron noise at UHF raising relay receiver system noise temperature above the assumed 3000 K and eroding return-link margin</t>
  </si>
  <si>
    <t>Handles 12g/6g with &lt;50% yield; validated by FEA</t>
  </si>
  <si>
    <t>&lt;2.3 kg</t>
  </si>
  <si>
    <t>Radiated compatibility test in an anechoic chamber with the flight helix on a rover mock-up, plus a bit error rate sweep against an injected noise floor scaled to the assumed system noise temperature.</t>
  </si>
  <si>
    <t>SF &gt; 1.8</t>
  </si>
  <si>
    <t>&lt;0.5 W/K (excellent passive isolation)</t>
  </si>
  <si>
    <t>Verify measured Eb/N0 at the worst-case 588 km slant range exceeds the coded 1E-6 threshold by no less than 3 dB in both directions, and that the X-band chain closes a 5 bps beacon at 4.2 AU.</t>
  </si>
  <si>
    <t>TRL 8+; off-the-shelf or heritage design; simple machining</t>
  </si>
  <si>
    <t>Validate that the rover autonomously falls back to the X-band beacon and continues safe-mode operations when both relay links are withheld for a full simulated sol.</t>
  </si>
  <si>
    <t>Charpy &gt;8 J/cm² at 90 K; excellent toughness</t>
  </si>
  <si>
    <t>Decision Criteria</t>
  </si>
  <si>
    <t>Analysis of Landing structure</t>
  </si>
  <si>
    <t>Baseline: Tapered Strut Al 7075-T73</t>
  </si>
  <si>
    <t>Cross-Braced Tube + Diagonals Ti-6Al-4V</t>
  </si>
  <si>
    <t>Folding Hinge Leg (Hybrid)</t>
  </si>
  <si>
    <t>Score</t>
  </si>
  <si>
    <t>Weighted Score</t>
  </si>
  <si>
    <t>Load Bearing Capability (12g vert / 6g lateral)</t>
  </si>
  <si>
    <t>Mass per Leg (target &lt;2.75</t>
  </si>
  <si>
    <t>Part Name/Datasheet</t>
  </si>
  <si>
    <t>% of Power Budget</t>
  </si>
  <si>
    <t>By Subsystem</t>
  </si>
  <si>
    <t>Safety Margin at yield (target SF &gt; 1.5)</t>
  </si>
  <si>
    <t>Peak Power Usage (W)</t>
  </si>
  <si>
    <t>Average Power Consumption per Hour (Wh)</t>
  </si>
  <si>
    <t>Mission Duration Use (h)</t>
  </si>
  <si>
    <t>Thermal COnductivity (minimize deck heart leak at 90K</t>
  </si>
  <si>
    <t>GPR Radar Sounder</t>
  </si>
  <si>
    <t>REASON-heritage dual-freq sounder</t>
  </si>
  <si>
    <t>Cryogenic Ductility (Charpy &gt;5 J/cm^2)</t>
  </si>
  <si>
    <t>&gt;80 kg</t>
  </si>
  <si>
    <t xml:space="preserve">Total Score </t>
  </si>
  <si>
    <t>No viable continuous output at Jupiter distance</t>
  </si>
  <si>
    <t>EPS</t>
  </si>
  <si>
    <t>Battery Packs</t>
  </si>
  <si>
    <t>Li-ion, 2400 Wh (12 h survival)</t>
  </si>
  <si>
    <t>Continuous management, complex sequencing</t>
  </si>
  <si>
    <t>Fails at 90 K or under &gt;100 krad TID</t>
  </si>
  <si>
    <t>TRL &lt; 3</t>
  </si>
  <si>
    <t>65-80 kg</t>
  </si>
  <si>
    <t>Intermittent; requires massive storage to bridge night</t>
  </si>
  <si>
    <t xml:space="preserve">Several mechanisms, tight ops windows
</t>
  </si>
  <si>
    <t>PDU</t>
  </si>
  <si>
    <t>Severe output/capacity loss; heavy shielding and heater load</t>
  </si>
  <si>
    <t>PCDU, MMRTG EPS heritage</t>
  </si>
  <si>
    <t>TRL 4-5</t>
  </si>
  <si>
    <t>50-65 kg</t>
  </si>
  <si>
    <t xml:space="preserve">Continuous but significant derating or duty-cycling
</t>
  </si>
  <si>
    <t>A few mechanisms, regular sequencing</t>
  </si>
  <si>
    <t>Mobility</t>
  </si>
  <si>
    <t>Noticeable derating; needs dedicated active thermal management</t>
  </si>
  <si>
    <t>Drive Motors (4x)</t>
  </si>
  <si>
    <t>TRL 6-7</t>
  </si>
  <si>
    <t>Cryo-rated brushless, MSL heritage</t>
  </si>
  <si>
    <t>35-50kg</t>
  </si>
  <si>
    <t>Continuous with minor load management</t>
  </si>
  <si>
    <t>Simple one-time deploy or infrequent actuation</t>
  </si>
  <si>
    <t>Minor derating; standard vault shielding sufficient</t>
  </si>
  <si>
    <t>TRL 7-8</t>
  </si>
  <si>
    <t>GNC</t>
  </si>
  <si>
    <t>&lt;35kg</t>
  </si>
  <si>
    <t>Flight Computer (OBC)</t>
  </si>
  <si>
    <t>Constant sun-independent output through full sol incl. night</t>
  </si>
  <si>
    <t>RAD750-class, vault-mounted</t>
  </si>
  <si>
    <t>Passive or nearly passive, no tracking</t>
  </si>
  <si>
    <t>Essentially immune to radiation and 90 K environment; provides waste heat</t>
  </si>
  <si>
    <t>TRL 8-9</t>
  </si>
  <si>
    <t>Analysis of Power Source</t>
  </si>
  <si>
    <t>I/O &amp; Storage Boards</t>
  </si>
  <si>
    <t>Logger + ADC stack</t>
  </si>
  <si>
    <t>Parts</t>
  </si>
  <si>
    <t>Power Usage by Mode (W)</t>
  </si>
  <si>
    <t>Nav Cameras</t>
  </si>
  <si>
    <t>Solar Arrays and Li-ion batteries</t>
  </si>
  <si>
    <t>Stereo VO pair, EECAM heritage</t>
  </si>
  <si>
    <t>RTG (radioisotope thermoelectric generator)</t>
  </si>
  <si>
    <t>Settings</t>
  </si>
  <si>
    <t>H2/O2 Fuel cells with tanks</t>
  </si>
  <si>
    <t>Heaters</t>
  </si>
  <si>
    <t>KHLVA-type film heaters</t>
  </si>
  <si>
    <t>Traverse</t>
  </si>
  <si>
    <t>Thermal Sensors</t>
  </si>
  <si>
    <t>Night Low-Power</t>
  </si>
  <si>
    <t>ADT7311-class</t>
  </si>
  <si>
    <t>Radar Sounding</t>
  </si>
  <si>
    <t>Map Gen &amp; Consensus</t>
  </si>
  <si>
    <t>Comms Relay Pass</t>
  </si>
  <si>
    <t>Thermal Emergency</t>
  </si>
  <si>
    <t>UHF Radio</t>
  </si>
  <si>
    <t>Electra-Lite heritage, helix</t>
  </si>
  <si>
    <t>Battery Emergency</t>
  </si>
  <si>
    <t>Parameter (Hover)</t>
  </si>
  <si>
    <t>Value</t>
  </si>
  <si>
    <t>X-band Transponder</t>
  </si>
  <si>
    <t>SDST + LGA</t>
  </si>
  <si>
    <t>REASON-heritage sounder</t>
  </si>
  <si>
    <t>Off</t>
  </si>
  <si>
    <t>On</t>
  </si>
  <si>
    <t>Additional Margin</t>
  </si>
  <si>
    <t>Duration [hr]</t>
  </si>
  <si>
    <t>Li-ion 2400 Wh</t>
  </si>
  <si>
    <t>PCDU heritage</t>
  </si>
  <si>
    <t>Cryo brushless</t>
  </si>
  <si>
    <t>RAD750-class</t>
  </si>
  <si>
    <t>Logger + ADC</t>
  </si>
  <si>
    <t>Stereo VO pair</t>
  </si>
  <si>
    <t>KHLVA-type</t>
  </si>
  <si>
    <t>Electra-Lite helix</t>
  </si>
  <si>
    <t>Solar Arrays</t>
  </si>
  <si>
    <t>Modes</t>
  </si>
  <si>
    <t>Wire Harnessing</t>
  </si>
  <si>
    <t>Flight</t>
  </si>
  <si>
    <t>PSS</t>
  </si>
  <si>
    <t>Prop Tank</t>
  </si>
  <si>
    <t>Standby</t>
  </si>
  <si>
    <t>REAs (Main)</t>
  </si>
  <si>
    <t>Payload Deployment</t>
  </si>
  <si>
    <t>REAs (Stabilization)</t>
  </si>
  <si>
    <t>Drilling</t>
  </si>
  <si>
    <t>UHF Antenna/Controller</t>
  </si>
  <si>
    <t>Sensing</t>
  </si>
  <si>
    <t>4G Antenna/Controller</t>
  </si>
  <si>
    <t>Payload Separation</t>
  </si>
  <si>
    <t>Primary Avionics</t>
  </si>
  <si>
    <t>Data Transmit</t>
  </si>
  <si>
    <t>OBC &amp; ADCS</t>
  </si>
  <si>
    <t>Average Power During Mode (W)</t>
  </si>
  <si>
    <t>REBELS</t>
  </si>
  <si>
    <r>
      <rPr>
        <rFont val="Arial"/>
        <color theme="1"/>
        <sz val="10.0"/>
      </rPr>
      <t>1. The figures on this sheet are calculated from data in the</t>
    </r>
    <r>
      <rPr>
        <rFont val="Arial"/>
        <i/>
        <color theme="1"/>
        <sz val="10.0"/>
      </rPr>
      <t xml:space="preserve"> "Subsystem On/Off"</t>
    </r>
    <r>
      <rPr>
        <rFont val="Arial"/>
        <color theme="1"/>
        <sz val="10.0"/>
      </rPr>
      <t xml:space="preserve"> sheet and c</t>
    </r>
    <r>
      <rPr>
        <rFont val="Arial"/>
        <i/>
        <color theme="1"/>
        <sz val="10.0"/>
      </rPr>
      <t>omponent list</t>
    </r>
    <r>
      <rPr>
        <rFont val="Arial"/>
        <color theme="1"/>
        <sz val="10.0"/>
      </rPr>
      <t xml:space="preserve"> data/specification sheets.</t>
    </r>
  </si>
  <si>
    <t>2. Some settings are located to the right of the table above.</t>
  </si>
  <si>
    <t>Time</t>
  </si>
  <si>
    <t>Time (s)</t>
  </si>
  <si>
    <t>Power (W)</t>
  </si>
  <si>
    <t>Time (min)</t>
  </si>
  <si>
    <t>Interval</t>
  </si>
  <si>
    <t>Average Energy Generated (Wh)</t>
  </si>
  <si>
    <t>24 hours</t>
  </si>
  <si>
    <t>10 minutes</t>
  </si>
  <si>
    <t>1 minute</t>
  </si>
  <si>
    <t>1 orbit</t>
  </si>
  <si>
    <t>From Riley T.'s generated STK report (rjterry@hawaii.edu)</t>
  </si>
  <si>
    <t>Orbit Number</t>
  </si>
  <si>
    <t>Mode</t>
  </si>
  <si>
    <t>Energy Used (Wh)</t>
  </si>
  <si>
    <t>Energy Generated (Wh)</t>
  </si>
  <si>
    <t>Energy Balance (Wh)</t>
  </si>
  <si>
    <t>Battery Charge (Wh)</t>
  </si>
  <si>
    <t>Mode Sequence Data (Power is in W)</t>
  </si>
  <si>
    <t>Power Used by Each Mode (W)</t>
  </si>
  <si>
    <t>Power Usage</t>
  </si>
  <si>
    <t>Generated Power (Solar)</t>
  </si>
  <si>
    <t>Power Consumption (W)</t>
  </si>
  <si>
    <t>Power Generation (W)</t>
  </si>
  <si>
    <t>Power Balance (W)</t>
  </si>
  <si>
    <t>Parameter</t>
  </si>
  <si>
    <t>Battery Specifications</t>
  </si>
  <si>
    <t>The purpose of this sheet is for plotting</t>
  </si>
  <si>
    <t>Max Charge (Wh)</t>
  </si>
  <si>
    <t>Time Step (min)</t>
  </si>
  <si>
    <t>Min Charge (Wh)</t>
  </si>
  <si>
    <t>Min Safe Charge (Wh)</t>
  </si>
  <si>
    <t>Initial Charge (Wh)</t>
  </si>
  <si>
    <t>Results</t>
  </si>
  <si>
    <t>Results (24 Hours)</t>
  </si>
  <si>
    <t>Results (First Orbit)</t>
  </si>
  <si>
    <t>Value (% of max)</t>
  </si>
  <si>
    <t>Lowest Charge (Wh)</t>
  </si>
  <si>
    <t>Highest Charge (Wh)</t>
  </si>
  <si>
    <t>Average Charge (Wh)</t>
  </si>
  <si>
    <t>Highest Discharge Rate (W)</t>
  </si>
  <si>
    <t>Highest Charge Rate (W)</t>
  </si>
  <si>
    <t>Instructions</t>
  </si>
  <si>
    <t>Average Power Usage (W)</t>
  </si>
  <si>
    <t>1. Insert mode name (exactly as it appears below)</t>
  </si>
  <si>
    <t>2. Insert power generation over each interval (STK)</t>
  </si>
  <si>
    <t>Average Power Generated (W)</t>
  </si>
  <si>
    <t>The rest is calculated via formulae</t>
  </si>
  <si>
    <t>Typical Modes</t>
  </si>
  <si>
    <t>Deployment</t>
  </si>
  <si>
    <t>Separation</t>
  </si>
  <si>
    <t>Data Transfer</t>
  </si>
  <si>
    <t>1. This is an estimate of the mode sequence over 24 hours.</t>
  </si>
  <si>
    <t>2. Ke Ao passes Hawaii roughly every 21 hours (14 orbits).</t>
  </si>
  <si>
    <t>3. Ke Ao is over Hawaii for a maximum of about 7 minutes.</t>
  </si>
  <si>
    <r>
      <rPr>
        <rFont val="Arial"/>
        <color theme="1"/>
        <sz val="10.0"/>
      </rPr>
      <t xml:space="preserve">4. If the orbit number is </t>
    </r>
    <r>
      <rPr>
        <rFont val="Arial"/>
        <b/>
        <color theme="1"/>
        <sz val="10.0"/>
      </rPr>
      <t>bolded</t>
    </r>
    <r>
      <rPr>
        <rFont val="Arial"/>
        <color theme="1"/>
        <sz val="10.0"/>
      </rPr>
      <t>, then that orbit passes Hawaii.</t>
    </r>
  </si>
  <si>
    <t>5. Modes other than "Power Generation" and "Nominal" are automatically bolded.</t>
  </si>
  <si>
    <t>6. Plot Column B vs Column D, E, F, and Column B vs G, both for 1 orbit and 1 day</t>
  </si>
  <si>
    <r>
      <rPr>
        <rFont val="Arial"/>
        <color theme="1"/>
        <sz val="10.0"/>
      </rPr>
      <t xml:space="preserve">4. If the orbit number is </t>
    </r>
    <r>
      <rPr>
        <rFont val="Arial"/>
        <b/>
        <color theme="1"/>
        <sz val="10.0"/>
      </rPr>
      <t>bolded</t>
    </r>
    <r>
      <rPr>
        <rFont val="Arial"/>
        <color theme="1"/>
        <sz val="10.0"/>
      </rPr>
      <t>, then that orbit passes Hawaii.</t>
    </r>
  </si>
  <si>
    <t>Power Usage per Orbit</t>
  </si>
  <si>
    <t>Percent On (%)</t>
  </si>
  <si>
    <t>Time On (min)</t>
  </si>
  <si>
    <t>Power When On (W)</t>
  </si>
  <si>
    <t>Coloring Key</t>
  </si>
  <si>
    <t>Camera</t>
  </si>
  <si>
    <t>Low Consumption</t>
  </si>
  <si>
    <t>COMMs</t>
  </si>
  <si>
    <t>Transmitter (TX)</t>
  </si>
  <si>
    <t>Time over Hawaii is 7 min</t>
  </si>
  <si>
    <t>High Consumption</t>
  </si>
  <si>
    <t>Receiver (RX)</t>
  </si>
  <si>
    <t>No Data</t>
  </si>
  <si>
    <t>Deployer</t>
  </si>
  <si>
    <t>Active once on launch</t>
  </si>
  <si>
    <t>OBC</t>
  </si>
  <si>
    <t>ISC</t>
  </si>
  <si>
    <t>Misc.</t>
  </si>
  <si>
    <t>Battery Information (for reference)</t>
  </si>
  <si>
    <t>Other Parts</t>
  </si>
  <si>
    <t>ADCS</t>
  </si>
  <si>
    <t>Torque Rod</t>
  </si>
  <si>
    <t>Capacity (Ah)</t>
  </si>
  <si>
    <t>GPS</t>
  </si>
  <si>
    <t>Impedence (Ω)</t>
  </si>
  <si>
    <t>Magnetometer</t>
  </si>
  <si>
    <t>May not be used</t>
  </si>
  <si>
    <t>IMU Sensor</t>
  </si>
  <si>
    <t>Using three sensors</t>
  </si>
  <si>
    <t>Deploy Switches</t>
  </si>
  <si>
    <t>Controller</t>
  </si>
  <si>
    <t>HSFL Design</t>
  </si>
  <si>
    <t>Average Power Consumption</t>
  </si>
  <si>
    <t>Board</t>
  </si>
  <si>
    <t>Part name/Notes</t>
  </si>
  <si>
    <t>Power Usage - On (W)</t>
  </si>
  <si>
    <t>End efficiency</t>
  </si>
  <si>
    <t>Heat Generation - On (W)</t>
  </si>
  <si>
    <t>Minimum Survival Temperature</t>
  </si>
  <si>
    <t>Minimum Operating Temperature</t>
  </si>
  <si>
    <t>Maximum Operating Temperature</t>
  </si>
  <si>
    <t>Maximum Survival Temperature</t>
  </si>
  <si>
    <t>Power Demand</t>
  </si>
  <si>
    <t>Complexity/</t>
  </si>
  <si>
    <t>Radiation Durability</t>
  </si>
  <si>
    <t>Reliability/TRL</t>
  </si>
  <si>
    <t>Data Rate Capability</t>
  </si>
  <si>
    <t>Complexity/ Integration</t>
  </si>
  <si>
    <t>Pointing &amp; Ops Complexity</t>
  </si>
  <si>
    <t>&lt; 5 kg added</t>
  </si>
  <si>
    <t>&lt; 25 W</t>
  </si>
  <si>
    <t>Simple installation, standard interfaces</t>
  </si>
  <si>
    <t>Flight-proven; negligible degradation at 100 krad</t>
  </si>
  <si>
    <t>5-9 kg</t>
  </si>
  <si>
    <t>25-50 W</t>
  </si>
  <si>
    <t>Moderate integration</t>
  </si>
  <si>
    <t>Minor degradation; verified by test</t>
  </si>
  <si>
    <t>10-14 kg</t>
  </si>
  <si>
    <t>50-100 W</t>
  </si>
  <si>
    <t>Custom mounts required</t>
  </si>
  <si>
    <t>Some degradation; requires margin</t>
  </si>
  <si>
    <t>TRL 5-6</t>
  </si>
  <si>
    <t>15-20 kg</t>
  </si>
  <si>
    <t>100-150 W</t>
  </si>
  <si>
    <t>Multiple interfaces / fluid loops</t>
  </si>
  <si>
    <t>Noticeable degradation / embrittlement</t>
  </si>
  <si>
    <t>&gt; 20 kg</t>
  </si>
  <si>
    <t>&gt; 150 W</t>
  </si>
  <si>
    <t>New mechanisms / unproven assembly</t>
  </si>
  <si>
    <t>Strongly affected / unqualified for dose</t>
  </si>
  <si>
    <t>Analysis of Night Survival Thermal Architecture</t>
  </si>
  <si>
    <t>MLI and heaters</t>
  </si>
  <si>
    <t>Aerogel and heaters</t>
  </si>
  <si>
    <t>PCM with heat pipes</t>
  </si>
  <si>
    <t>&lt; 3 kg</t>
  </si>
  <si>
    <t>&gt; 2 Mbps</t>
  </si>
  <si>
    <t>Hemispherical; no pointing required</t>
  </si>
  <si>
    <t>TRL 8-9; flight-proven proximity link</t>
  </si>
  <si>
    <t>3-5 kg</t>
  </si>
  <si>
    <t>512 kbps - 2 Mbps</t>
  </si>
  <si>
    <t>Fixed; ±30° usable beam</t>
  </si>
  <si>
    <t>TRL 7; minor customization</t>
  </si>
  <si>
    <t>5-8 kg</t>
  </si>
  <si>
    <t>50-75 W</t>
  </si>
  <si>
    <t>128-512 kbps</t>
  </si>
  <si>
    <t>Body-pointed or single-axis</t>
  </si>
  <si>
    <t>TRL 5-6; unqualified for 90 K / 100 krad</t>
  </si>
  <si>
    <t>8-12 kg</t>
  </si>
  <si>
    <t>75-100 W</t>
  </si>
  <si>
    <t>32-128 kbps</t>
  </si>
  <si>
    <t>Coarse two-axis pointing</t>
  </si>
  <si>
    <t>TRL 4-5; prototype only</t>
  </si>
  <si>
    <t>&gt; 12 kg</t>
  </si>
  <si>
    <t>&gt; 100 W</t>
  </si>
  <si>
    <t>&lt; 32 kbps</t>
  </si>
  <si>
    <t>Closed-loop tracked gimbal</t>
  </si>
  <si>
    <t>Analysis of Rover-to-Relay Proximity Link Configuration</t>
  </si>
  <si>
    <t>UHF quadrifilar helix (401.6 / 437.1 MHz)</t>
  </si>
  <si>
    <t>S-band patch array (2.2 GHz)</t>
  </si>
  <si>
    <t>X-band steerable HGA cross-link (8.4 GHz)</t>
  </si>
  <si>
    <t>The UHF quadrifilar helix scores 4.55 against 3.79 for the S-band patch array and 2.64 for the X-band gimballed cross-link. The X-band option has the raw throughput but fails the other two criteria: a two-axis gimbal is a moving mechanism that has to survive 90 K and 100 krad, and it needs closed-loop tracking of a relay the rover cannot see coming. S-band buys data rate the mission does not need, since the link budget shows the UHF return already closes at 128 kbps with 18.3 dB of margin and is bounded by the transceiver's 2048 kbps ceiling rather than by RF. The helix is also already in the mass budget at 0.86 kg and carries TRL 9 through Electra and Electra-Lite on exactly this kind of proximity link. Selected: UHF quadrifilar helix.</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</si>
</sst>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yy"/>
    <numFmt numFmtId="165" formatCode="m/d/yy"/>
    <numFmt numFmtId="166" formatCode="m-d"/>
    <numFmt numFmtId="167" formatCode="&quot;$&quot;#,##0"/>
    <numFmt numFmtId="168" formatCode="0.000"/>
    <numFmt numFmtId="169" formatCode="#0.00"/>
    <numFmt numFmtId="170" formatCode="0.00000"/>
    <numFmt numFmtId="171" formatCode="#0.000"/>
  </numFmts>
  <fonts count="55">
    <font>
      <sz val="10.0"/>
      <color rgb="FF000000"/>
      <name val="Arial"/>
      <scheme val="minor"/>
    </font>
    <font>
      <color theme="1"/>
      <name val="&quot;Google Sans Text&quot;"/>
    </font>
    <font>
      <b/>
      <sz val="12.0"/>
      <color theme="1"/>
      <name val="Arial"/>
    </font>
    <font>
      <b/>
      <color theme="1"/>
      <name val="&quot;Google Sans Text&quot;"/>
    </font>
    <font>
      <color theme="1"/>
      <name val="Arial"/>
      <scheme val="minor"/>
    </font>
    <font>
      <b/>
      <u/>
      <color rgb="FF0000FF"/>
      <name val="Arial"/>
    </font>
    <font>
      <sz val="10.0"/>
      <color rgb="FF000000"/>
      <name val="Arial"/>
    </font>
    <font>
      <b/>
      <sz val="11.0"/>
      <color theme="1"/>
      <name val="Calibri"/>
    </font>
    <font>
      <i/>
      <sz val="8.0"/>
      <color theme="1"/>
      <name val="Arial"/>
    </font>
    <font/>
    <font>
      <sz val="11.0"/>
      <color theme="1"/>
      <name val="Calibri"/>
    </font>
    <font>
      <b/>
      <sz val="10.0"/>
      <color theme="1"/>
      <name val="Arial"/>
    </font>
    <font>
      <sz val="10.0"/>
      <color theme="1"/>
      <name val="Arial"/>
    </font>
    <font>
      <b/>
      <sz val="12.0"/>
      <color rgb="FF000000"/>
      <name val="Arial"/>
    </font>
    <font>
      <sz val="10.0"/>
      <color rgb="FF000000"/>
      <name val="Roboto"/>
    </font>
    <font>
      <u/>
      <sz val="10.0"/>
      <color rgb="FF0000FF"/>
      <name val="Arial"/>
    </font>
    <font>
      <sz val="10.0"/>
      <color rgb="FF000000"/>
      <name val="Lato"/>
    </font>
    <font>
      <u/>
      <color rgb="FF0000FF"/>
    </font>
    <font>
      <u/>
      <sz val="10.0"/>
      <color theme="10"/>
      <name val="Arial"/>
    </font>
    <font>
      <b/>
      <sz val="14.0"/>
      <color theme="1"/>
      <name val="Calibri"/>
    </font>
    <font>
      <b/>
      <sz val="12.0"/>
      <color theme="1"/>
      <name val="Calibri"/>
    </font>
    <font>
      <sz val="10.0"/>
      <color rgb="FF1155CC"/>
      <name val="Arial"/>
    </font>
    <font>
      <sz val="10.0"/>
      <color theme="10"/>
      <name val="Arial"/>
    </font>
    <font>
      <b/>
      <sz val="11.0"/>
      <color theme="0"/>
      <name val="Roboto"/>
    </font>
    <font>
      <b/>
      <sz val="11.0"/>
      <color theme="1"/>
      <name val="Roboto"/>
    </font>
    <font>
      <b/>
      <sz val="11.0"/>
      <color theme="1"/>
      <name val="Aptos Narrow"/>
    </font>
    <font>
      <sz val="11.0"/>
      <color theme="1"/>
      <name val="Roboto"/>
    </font>
    <font>
      <sz val="11.0"/>
      <color theme="1"/>
      <name val="Aptos Narrow"/>
    </font>
    <font>
      <u/>
      <sz val="10.0"/>
      <color rgb="FF1155CC"/>
      <name val="Arial"/>
    </font>
    <font>
      <b/>
      <color theme="1"/>
      <name val="Arial"/>
      <scheme val="minor"/>
    </font>
    <font>
      <u/>
      <sz val="10.0"/>
      <color rgb="FF000000"/>
      <name val="Arial"/>
    </font>
    <font>
      <b/>
      <sz val="12.0"/>
      <color theme="0"/>
      <name val="Roboto"/>
    </font>
    <font>
      <b/>
      <sz val="12.0"/>
      <color theme="1"/>
      <name val="Roboto"/>
    </font>
    <font>
      <color theme="1"/>
      <name val="Roboto"/>
    </font>
    <font>
      <b/>
      <sz val="10.0"/>
      <color theme="0"/>
      <name val="Roboto"/>
    </font>
    <font>
      <b/>
      <sz val="10.0"/>
      <color rgb="FF000000"/>
      <name val="Roboto"/>
    </font>
    <font>
      <u/>
      <sz val="10.0"/>
      <color rgb="FF1155CC"/>
      <name val="Arial"/>
    </font>
    <font>
      <color rgb="FFFFFFFF"/>
      <name val="Roboto"/>
    </font>
    <font>
      <sz val="10.0"/>
      <color theme="1"/>
      <name val="Roboto"/>
    </font>
    <font>
      <b/>
      <sz val="10.0"/>
      <color theme="0"/>
      <name val="Arial"/>
    </font>
    <font>
      <b/>
      <sz val="10.0"/>
      <color rgb="FF000000"/>
      <name val="Arial"/>
    </font>
    <font>
      <sz val="10.0"/>
      <color rgb="FF202124"/>
      <name val="Arial"/>
    </font>
    <font>
      <b/>
      <sz val="10.0"/>
      <color rgb="FFFFFFFF"/>
      <name val="Roboto"/>
    </font>
    <font>
      <b/>
      <sz val="10.0"/>
      <color theme="1"/>
      <name val="Roboto"/>
    </font>
    <font>
      <b/>
      <i/>
      <sz val="10.0"/>
      <color theme="1"/>
      <name val="Arial"/>
    </font>
    <font>
      <b/>
      <sz val="11.0"/>
      <color theme="0"/>
      <name val="Arial"/>
    </font>
    <font>
      <i/>
      <sz val="10.0"/>
      <color theme="1"/>
      <name val="Arial"/>
    </font>
    <font>
      <b/>
      <i/>
      <sz val="10.0"/>
      <color rgb="FF000000"/>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i/>
      <u/>
      <sz val="10.0"/>
      <color rgb="FF0000FF"/>
      <name val="Arial"/>
    </font>
  </fonts>
  <fills count="27">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5A6BD"/>
        <bgColor rgb="FFD5A6BD"/>
      </patternFill>
    </fill>
    <fill>
      <patternFill patternType="solid">
        <fgColor rgb="FFFFD966"/>
        <bgColor rgb="FFFFD966"/>
      </patternFill>
    </fill>
    <fill>
      <patternFill patternType="solid">
        <fgColor rgb="FFD9D9D9"/>
        <bgColor rgb="FFD9D9D9"/>
      </patternFill>
    </fill>
    <fill>
      <patternFill patternType="solid">
        <fgColor rgb="FFFFFFFF"/>
        <bgColor rgb="FFFFFFFF"/>
      </patternFill>
    </fill>
    <fill>
      <patternFill patternType="solid">
        <fgColor rgb="FFF1C232"/>
        <bgColor rgb="FFF1C232"/>
      </patternFill>
    </fill>
    <fill>
      <patternFill patternType="solid">
        <fgColor rgb="FFCCCCCC"/>
        <bgColor rgb="FFCCCCCC"/>
      </patternFill>
    </fill>
    <fill>
      <patternFill patternType="solid">
        <fgColor theme="0"/>
        <bgColor theme="0"/>
      </patternFill>
    </fill>
    <fill>
      <patternFill patternType="solid">
        <fgColor theme="1"/>
        <bgColor theme="1"/>
      </patternFill>
    </fill>
    <fill>
      <patternFill patternType="solid">
        <fgColor rgb="FFD8D8D8"/>
        <bgColor rgb="FFD8D8D8"/>
      </patternFill>
    </fill>
    <fill>
      <patternFill patternType="solid">
        <fgColor rgb="FF595959"/>
        <bgColor rgb="FF595959"/>
      </patternFill>
    </fill>
    <fill>
      <patternFill patternType="solid">
        <fgColor rgb="FF666666"/>
        <bgColor rgb="FF666666"/>
      </patternFill>
    </fill>
    <fill>
      <patternFill patternType="solid">
        <fgColor rgb="FF000000"/>
        <bgColor rgb="FF000000"/>
      </patternFill>
    </fill>
    <fill>
      <patternFill patternType="solid">
        <fgColor rgb="FF434343"/>
        <bgColor rgb="FF434343"/>
      </patternFill>
    </fill>
    <fill>
      <patternFill patternType="solid">
        <fgColor rgb="FF3F3F3F"/>
        <bgColor rgb="FF3F3F3F"/>
      </patternFill>
    </fill>
    <fill>
      <patternFill patternType="solid">
        <fgColor rgb="FF7F7F7F"/>
        <bgColor rgb="FF7F7F7F"/>
      </patternFill>
    </fill>
    <fill>
      <patternFill patternType="solid">
        <fgColor rgb="FFA6E3B6"/>
        <bgColor rgb="FFA6E3B6"/>
      </patternFill>
    </fill>
    <fill>
      <patternFill patternType="solid">
        <fgColor rgb="FFFFFF00"/>
        <bgColor rgb="FFFFFF00"/>
      </patternFill>
    </fill>
    <fill>
      <patternFill patternType="solid">
        <fgColor rgb="FFB7E1CD"/>
        <bgColor rgb="FFB7E1CD"/>
      </patternFill>
    </fill>
    <fill>
      <patternFill patternType="solid">
        <fgColor rgb="FFE67C73"/>
        <bgColor rgb="FFE67C73"/>
      </patternFill>
    </fill>
    <fill>
      <patternFill patternType="solid">
        <fgColor rgb="FF00FF00"/>
        <bgColor rgb="FF00FF00"/>
      </patternFill>
    </fill>
  </fills>
  <borders count="121">
    <border/>
    <border>
      <left style="thin">
        <color rgb="FFC4C7C5"/>
      </left>
      <right style="thin">
        <color rgb="FFC4C7C5"/>
      </right>
      <top style="thin">
        <color rgb="FFC4C7C5"/>
      </top>
      <bottom style="thin">
        <color rgb="FFC4C7C5"/>
      </bottom>
    </border>
    <border>
      <left/>
      <right/>
      <top/>
      <bottom/>
    </border>
    <border>
      <left style="thin">
        <color rgb="FF000000"/>
      </left>
      <right style="thin">
        <color rgb="FF000000"/>
      </right>
      <top/>
    </border>
    <border>
      <left style="thin">
        <color rgb="FF000000"/>
      </left>
      <right/>
      <top/>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CCCCCC"/>
      </left>
      <right style="thin">
        <color rgb="FFCCCCCC"/>
      </right>
      <top style="thin">
        <color rgb="FFCCCCCC"/>
      </top>
      <bottom style="thin">
        <color rgb="FFCCCCCC"/>
      </bottom>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top/>
    </border>
    <border>
      <right style="thin">
        <color rgb="FF000000"/>
      </right>
      <top/>
    </border>
    <border>
      <top style="thin">
        <color rgb="FF000000"/>
      </top>
    </border>
    <border>
      <right style="thin">
        <color rgb="FF000000"/>
      </right>
      <top/>
      <bottom/>
    </border>
    <border>
      <left/>
      <bottom/>
    </border>
    <border>
      <left style="medium">
        <color theme="1"/>
      </left>
      <right style="thin">
        <color theme="0"/>
      </right>
      <top style="medium">
        <color theme="1"/>
      </top>
    </border>
    <border>
      <right style="thin">
        <color rgb="FF000000"/>
      </right>
      <bottom style="thin">
        <color rgb="FF000000"/>
      </bottom>
    </border>
    <border>
      <left style="thin">
        <color theme="0"/>
      </left>
      <right style="thin">
        <color theme="0"/>
      </right>
      <top style="medium">
        <color theme="1"/>
      </top>
    </border>
    <border>
      <left style="thin">
        <color theme="0"/>
      </left>
      <right style="medium">
        <color theme="1"/>
      </right>
      <top style="medium">
        <color theme="1"/>
      </top>
    </border>
    <border>
      <top style="thin">
        <color rgb="FF000000"/>
      </top>
      <bottom style="thin">
        <color rgb="FF000000"/>
      </bottom>
    </border>
    <border>
      <left style="thin">
        <color rgb="FF000000"/>
      </left>
      <top style="medium">
        <color theme="1"/>
      </top>
      <bottom style="thin">
        <color theme="0"/>
      </bottom>
    </border>
    <border>
      <left style="thin">
        <color rgb="FF000000"/>
      </left>
      <top style="thin">
        <color rgb="FF000000"/>
      </top>
      <bottom style="thin">
        <color theme="1"/>
      </bottom>
    </border>
    <border>
      <right style="thin">
        <color rgb="FF000000"/>
      </right>
      <top style="thin">
        <color rgb="FF000000"/>
      </top>
      <bottom style="thin">
        <color theme="1"/>
      </bottom>
    </border>
    <border>
      <left style="thin">
        <color rgb="FF000000"/>
      </left>
      <top style="thin">
        <color theme="0"/>
      </top>
      <bottom style="medium">
        <color theme="1"/>
      </bottom>
    </border>
    <border>
      <left style="thin">
        <color rgb="FF000000"/>
      </left>
      <top style="thin">
        <color theme="1"/>
      </top>
      <bottom style="thin">
        <color rgb="FF000000"/>
      </bottom>
    </border>
    <border>
      <right style="thin">
        <color rgb="FF000000"/>
      </right>
      <top style="thin">
        <color theme="1"/>
      </top>
      <bottom style="thin">
        <color rgb="FF000000"/>
      </bottom>
    </border>
    <border>
      <left style="medium">
        <color theme="1"/>
      </left>
      <bottom style="medium">
        <color theme="1"/>
      </bottom>
    </border>
    <border>
      <bottom style="medium">
        <color theme="1"/>
      </bottom>
    </border>
    <border>
      <right style="thin">
        <color rgb="FF000000"/>
      </right>
      <bottom style="medium">
        <color theme="1"/>
      </bottom>
    </border>
    <border>
      <left style="thin">
        <color rgb="FF000000"/>
      </left>
      <bottom style="medium">
        <color theme="1"/>
      </bottom>
    </border>
    <border>
      <right style="medium">
        <color theme="1"/>
      </right>
      <bottom style="medium">
        <color theme="1"/>
      </bottom>
    </border>
    <border>
      <left style="thin">
        <color theme="1"/>
      </left>
      <right/>
      <top style="thin">
        <color theme="1"/>
      </top>
    </border>
    <border>
      <left style="thin">
        <color theme="0"/>
      </left>
      <right style="thin">
        <color theme="0"/>
      </right>
      <top style="thin">
        <color theme="1"/>
      </top>
    </border>
    <border>
      <left/>
      <right/>
      <top style="thin">
        <color theme="1"/>
      </top>
    </border>
    <border>
      <left style="thin">
        <color theme="0"/>
      </left>
      <right/>
      <top style="thin">
        <color theme="1"/>
      </top>
    </border>
    <border>
      <left style="thin">
        <color theme="0"/>
      </left>
      <right style="thin">
        <color theme="1"/>
      </right>
      <top style="thin">
        <color theme="1"/>
      </top>
    </border>
    <border>
      <left style="thin">
        <color theme="0"/>
      </left>
      <top style="thin">
        <color theme="0"/>
      </top>
      <bottom style="thin">
        <color theme="0"/>
      </bottom>
    </border>
    <border>
      <left style="thin">
        <color theme="1"/>
      </left>
      <right style="thin">
        <color theme="1"/>
      </right>
      <top style="thin">
        <color theme="1"/>
      </top>
      <bottom style="thin">
        <color theme="1"/>
      </bottom>
    </border>
    <border>
      <left style="thin">
        <color theme="1"/>
      </left>
      <right style="thick">
        <color rgb="FF000000"/>
      </right>
      <top style="thin">
        <color theme="1"/>
      </top>
      <bottom style="thin">
        <color theme="1"/>
      </bottom>
    </border>
    <border>
      <left style="thick">
        <color rgb="FF000000"/>
      </left>
      <right style="thin">
        <color theme="0"/>
      </right>
      <top style="thick">
        <color rgb="FF000000"/>
      </top>
      <bottom style="thin">
        <color theme="1"/>
      </bottom>
    </border>
    <border>
      <left style="thin">
        <color theme="0"/>
      </left>
      <right style="thick">
        <color rgb="FF000000"/>
      </right>
      <top style="thick">
        <color rgb="FF000000"/>
      </top>
      <bottom style="thin">
        <color theme="1"/>
      </bottom>
    </border>
    <border>
      <left style="thick">
        <color rgb="FF000000"/>
      </left>
    </border>
    <border>
      <left style="thin">
        <color theme="1"/>
      </left>
      <top style="thin">
        <color theme="1"/>
      </top>
      <bottom style="thin">
        <color theme="1"/>
      </bottom>
    </border>
    <border>
      <left style="thick">
        <color rgb="FF000000"/>
      </left>
      <right style="thin">
        <color theme="1"/>
      </right>
      <top style="thin">
        <color theme="1"/>
      </top>
      <bottom style="thin">
        <color theme="1"/>
      </bottom>
    </border>
    <border>
      <left style="thin">
        <color theme="1"/>
      </left>
      <right/>
      <top style="thin">
        <color theme="1"/>
      </top>
      <bottom/>
    </border>
    <border>
      <left style="thick">
        <color rgb="FF000000"/>
      </left>
      <right style="thin">
        <color theme="1"/>
      </right>
      <top style="thin">
        <color theme="1"/>
      </top>
    </border>
    <border>
      <left style="thin">
        <color theme="1"/>
      </left>
      <top style="thin">
        <color theme="1"/>
      </top>
    </border>
    <border>
      <left style="thick">
        <color rgb="FF000000"/>
      </left>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left style="thin">
        <color rgb="FF000000"/>
      </left>
      <right style="thin">
        <color rgb="FF000000"/>
      </right>
    </border>
    <border>
      <left style="thin">
        <color theme="0"/>
      </left>
      <top style="thin">
        <color theme="0"/>
      </top>
      <bottom/>
    </border>
    <border>
      <right style="thick">
        <color theme="1"/>
      </right>
    </border>
    <border>
      <left style="thick">
        <color theme="1"/>
      </left>
      <top style="thick">
        <color theme="1"/>
      </top>
    </border>
    <border>
      <top style="thick">
        <color theme="1"/>
      </top>
    </border>
    <border>
      <left/>
      <top style="medium">
        <color theme="1"/>
      </top>
    </border>
    <border>
      <top style="medium">
        <color theme="1"/>
      </top>
    </border>
    <border>
      <right style="thick">
        <color theme="1"/>
      </right>
      <top style="medium">
        <color theme="1"/>
      </top>
    </border>
    <border>
      <left style="thick">
        <color theme="1"/>
      </left>
    </border>
    <border>
      <top/>
      <bottom/>
    </border>
    <border>
      <left/>
      <right style="thin">
        <color theme="0"/>
      </right>
      <top/>
      <bottom style="thin">
        <color rgb="FF000000"/>
      </bottom>
    </border>
    <border>
      <left style="thin">
        <color theme="0"/>
      </left>
      <top/>
      <bottom style="thin">
        <color rgb="FF000000"/>
      </bottom>
    </border>
    <border>
      <right/>
      <bottom style="thin">
        <color rgb="FF000000"/>
      </bottom>
    </border>
    <border>
      <left style="thin">
        <color theme="0"/>
      </left>
      <bottom style="thin">
        <color rgb="FF000000"/>
      </bottom>
    </border>
    <border>
      <left style="thin">
        <color rgb="FF000000"/>
      </left>
      <right style="thin">
        <color theme="0"/>
      </right>
      <top/>
      <bottom style="thin">
        <color rgb="FF000000"/>
      </bottom>
    </border>
    <border>
      <left style="thin">
        <color theme="0"/>
      </left>
      <right/>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top/>
      <bottom/>
    </border>
    <border>
      <left/>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left/>
      <right/>
      <top style="thin">
        <color rgb="FF000000"/>
      </top>
      <bottom/>
    </border>
    <border>
      <right/>
      <top style="thin">
        <color rgb="FF000000"/>
      </top>
      <bottom style="thin">
        <color rgb="FF000000"/>
      </bottom>
    </border>
    <border>
      <left style="thin">
        <color theme="0"/>
      </left>
      <right style="thin">
        <color theme="0"/>
      </right>
      <top style="thin">
        <color theme="1"/>
      </top>
      <bottom/>
    </border>
    <border>
      <left/>
      <right/>
      <top style="thin">
        <color theme="1"/>
      </top>
      <bottom/>
    </border>
    <border>
      <left style="thin">
        <color theme="0"/>
      </left>
      <right/>
      <top style="thin">
        <color theme="1"/>
      </top>
      <bottom/>
    </border>
    <border>
      <left style="thin">
        <color theme="0"/>
      </left>
      <right style="thin">
        <color theme="1"/>
      </right>
      <top style="thin">
        <color theme="1"/>
      </top>
      <bottom/>
    </border>
    <border>
      <left style="thin">
        <color theme="0"/>
      </left>
      <right style="thin">
        <color theme="1"/>
      </right>
      <top style="thin">
        <color theme="0"/>
      </top>
      <bottom style="thin">
        <color theme="0"/>
      </bottom>
    </border>
    <border>
      <left style="thin">
        <color theme="1"/>
      </left>
      <right style="thin">
        <color theme="1"/>
      </right>
      <top style="thin">
        <color theme="0"/>
      </top>
      <bottom style="thin">
        <color theme="1"/>
      </bottom>
    </border>
    <border>
      <left style="thin">
        <color theme="0"/>
      </left>
      <right style="thin">
        <color theme="1"/>
      </right>
      <top style="thin">
        <color theme="0"/>
      </top>
      <bottom/>
    </border>
    <border>
      <left/>
      <top style="medium">
        <color theme="1"/>
      </top>
      <bottom/>
    </border>
    <border>
      <top style="medium">
        <color theme="1"/>
      </top>
      <bottom/>
    </border>
    <border>
      <right style="thick">
        <color theme="1"/>
      </right>
      <top style="medium">
        <color theme="1"/>
      </top>
      <bottom/>
    </border>
    <border>
      <left style="thick">
        <color rgb="FF00FF00"/>
      </left>
      <top style="thick">
        <color rgb="FF00FF00"/>
      </top>
      <bottom style="thin">
        <color rgb="FF000000"/>
      </bottom>
    </border>
    <border>
      <right style="thick">
        <color rgb="FF00FF00"/>
      </right>
      <top style="thick">
        <color rgb="FF00FF00"/>
      </top>
      <bottom style="thin">
        <color rgb="FF000000"/>
      </bottom>
    </border>
    <border>
      <left style="thick">
        <color rgb="FF00FF00"/>
      </left>
      <top/>
      <bottom/>
    </border>
    <border>
      <right style="thick">
        <color theme="1"/>
      </right>
      <top/>
      <bottom/>
    </border>
    <border>
      <left style="thick">
        <color rgb="FF00FF00"/>
      </left>
      <right style="thin">
        <color rgb="FF000000"/>
      </right>
      <top style="thin">
        <color rgb="FF000000"/>
      </top>
      <bottom style="thin">
        <color rgb="FF000000"/>
      </bottom>
    </border>
    <border>
      <left style="thin">
        <color rgb="FF000000"/>
      </left>
      <right style="thick">
        <color rgb="FF00FF00"/>
      </right>
      <top style="thin">
        <color rgb="FF000000"/>
      </top>
      <bottom style="thin">
        <color rgb="FF000000"/>
      </bottom>
    </border>
    <border>
      <left style="thick">
        <color rgb="FF000000"/>
      </left>
      <right style="thin">
        <color theme="0"/>
      </right>
      <top/>
      <bottom style="thin">
        <color rgb="FF000000"/>
      </bottom>
    </border>
    <border>
      <right style="thin">
        <color theme="1"/>
      </right>
      <top style="thin">
        <color rgb="FF000000"/>
      </top>
    </border>
    <border>
      <right style="thick">
        <color theme="1"/>
      </right>
      <top style="thin">
        <color rgb="FF000000"/>
      </top>
      <bottom style="dotted">
        <color rgb="FF000000"/>
      </bottom>
    </border>
    <border>
      <left style="thick">
        <color theme="1"/>
      </left>
      <right style="thin">
        <color theme="1"/>
      </right>
      <top style="thin">
        <color rgb="FF000000"/>
      </top>
    </border>
    <border>
      <right style="thin">
        <color theme="1"/>
      </right>
      <top style="thin">
        <color theme="1"/>
      </top>
      <bottom style="thin">
        <color theme="1"/>
      </bottom>
    </border>
    <border>
      <left style="thick">
        <color theme="1"/>
      </left>
      <right style="thin">
        <color theme="1"/>
      </right>
      <top style="thin">
        <color theme="1"/>
      </top>
      <bottom style="thin">
        <color theme="1"/>
      </bottom>
    </border>
    <border>
      <left style="thin">
        <color theme="1"/>
      </left>
      <right style="thick">
        <color theme="1"/>
      </right>
      <top style="thin">
        <color theme="1"/>
      </top>
    </border>
    <border>
      <left style="thick">
        <color theme="1"/>
      </left>
      <right style="thin">
        <color theme="1"/>
      </right>
      <top style="thin">
        <color theme="1"/>
      </top>
    </border>
    <border>
      <left style="thick">
        <color rgb="FF00FF00"/>
      </left>
      <right style="thin">
        <color rgb="FF000000"/>
      </right>
      <top style="thin">
        <color rgb="FF000000"/>
      </top>
    </border>
    <border>
      <left style="thin">
        <color rgb="FF000000"/>
      </left>
      <right style="thick">
        <color rgb="FF00FF00"/>
      </right>
      <top style="thin">
        <color rgb="FF000000"/>
      </top>
    </border>
    <border>
      <right style="thin">
        <color theme="1"/>
      </right>
      <top style="thin">
        <color theme="1"/>
      </top>
    </border>
    <border>
      <right style="thick">
        <color theme="1"/>
      </right>
      <top style="thin">
        <color rgb="FF000000"/>
      </top>
    </border>
    <border>
      <left style="thick">
        <color theme="1"/>
      </left>
      <right style="thin">
        <color theme="1"/>
      </right>
      <top style="thin">
        <color theme="1"/>
      </top>
      <bottom style="thick">
        <color theme="1"/>
      </bottom>
    </border>
    <border>
      <left style="thin">
        <color theme="1"/>
      </left>
      <right style="thick">
        <color theme="1"/>
      </right>
      <top style="thin">
        <color theme="1"/>
      </top>
      <bottom style="thick">
        <color theme="1"/>
      </bottom>
    </border>
    <border>
      <left style="thick">
        <color rgb="FF00FF00"/>
      </left>
      <top style="thick">
        <color rgb="FF00FF00"/>
      </top>
      <bottom style="thick">
        <color rgb="FF00FF00"/>
      </bottom>
    </border>
    <border>
      <top style="thick">
        <color rgb="FF00FF00"/>
      </top>
      <bottom style="thick">
        <color rgb="FF00FF00"/>
      </bottom>
    </border>
    <border>
      <left style="thick">
        <color theme="1"/>
      </left>
      <top style="thick">
        <color theme="1"/>
      </top>
      <bottom style="thick">
        <color theme="1"/>
      </bottom>
    </border>
    <border>
      <right style="thick">
        <color theme="1"/>
      </right>
      <top style="thick">
        <color theme="1"/>
      </top>
      <bottom style="thick">
        <color theme="1"/>
      </bottom>
    </border>
    <border>
      <top style="thick">
        <color rgb="FF00FF00"/>
      </top>
    </border>
  </borders>
  <cellStyleXfs count="1">
    <xf borderId="0" fillId="0" fontId="0" numFmtId="0" applyAlignment="1" applyFont="1"/>
  </cellStyleXfs>
  <cellXfs count="546">
    <xf borderId="0" fillId="0" fontId="0" numFmtId="0" xfId="0" applyAlignment="1" applyFont="1">
      <alignment readingOrder="0" shrinkToFit="0" vertical="bottom" wrapText="0"/>
    </xf>
    <xf borderId="1" fillId="0" fontId="1" numFmtId="0" xfId="0" applyAlignment="1" applyBorder="1" applyFont="1">
      <alignment readingOrder="0"/>
    </xf>
    <xf borderId="2" fillId="2" fontId="2" numFmtId="0" xfId="0" applyAlignment="1" applyBorder="1" applyFill="1" applyFont="1">
      <alignment shrinkToFit="0" wrapText="1"/>
    </xf>
    <xf borderId="1" fillId="0" fontId="3" numFmtId="0" xfId="0" applyAlignment="1" applyBorder="1" applyFont="1">
      <alignment readingOrder="0"/>
    </xf>
    <xf borderId="3" fillId="3" fontId="2" numFmtId="0" xfId="0" applyAlignment="1" applyBorder="1" applyFill="1" applyFont="1">
      <alignment shrinkToFit="0" textRotation="90" wrapText="1"/>
    </xf>
    <xf borderId="2" fillId="2" fontId="2" numFmtId="0" xfId="0" applyAlignment="1" applyBorder="1" applyFont="1">
      <alignment horizontal="center" shrinkToFit="0" vertical="center" wrapText="1"/>
    </xf>
    <xf borderId="2" fillId="3" fontId="2" numFmtId="0" xfId="0" applyAlignment="1" applyBorder="1" applyFont="1">
      <alignment shrinkToFit="0" wrapText="1"/>
    </xf>
    <xf borderId="0" fillId="0" fontId="4" numFmtId="0" xfId="0" applyFont="1"/>
    <xf borderId="2" fillId="3" fontId="2" numFmtId="14" xfId="0" applyAlignment="1" applyBorder="1" applyFont="1" applyNumberFormat="1">
      <alignment shrinkToFit="0" wrapText="1"/>
    </xf>
    <xf borderId="1" fillId="0" fontId="5" numFmtId="0" xfId="0" applyAlignment="1" applyBorder="1" applyFont="1">
      <alignment readingOrder="0"/>
    </xf>
    <xf borderId="3" fillId="3" fontId="2" numFmtId="0" xfId="0" applyAlignment="1" applyBorder="1" applyFont="1">
      <alignment horizontal="center" shrinkToFit="0" textRotation="90" vertical="center" wrapText="1"/>
    </xf>
    <xf borderId="2" fillId="3" fontId="2" numFmtId="0" xfId="0" applyAlignment="1" applyBorder="1" applyFont="1">
      <alignment horizontal="center" shrinkToFit="0" vertical="center" wrapText="1"/>
    </xf>
    <xf borderId="1" fillId="0" fontId="1" numFmtId="0" xfId="0" applyBorder="1" applyFont="1"/>
    <xf borderId="0" fillId="0" fontId="6" numFmtId="22" xfId="0" applyFont="1" applyNumberFormat="1"/>
    <xf borderId="3" fillId="4" fontId="2" numFmtId="0" xfId="0" applyAlignment="1" applyBorder="1" applyFill="1" applyFont="1">
      <alignment shrinkToFit="0" textRotation="90" wrapText="1"/>
    </xf>
    <xf borderId="4" fillId="4" fontId="2" numFmtId="0" xfId="0" applyAlignment="1" applyBorder="1" applyFont="1">
      <alignment shrinkToFit="0" wrapText="1"/>
    </xf>
    <xf borderId="2" fillId="4" fontId="2" numFmtId="0" xfId="0" applyAlignment="1" applyBorder="1" applyFont="1">
      <alignment shrinkToFit="0" wrapText="1"/>
    </xf>
    <xf borderId="3" fillId="4" fontId="2" numFmtId="0" xfId="0" applyAlignment="1" applyBorder="1" applyFont="1">
      <alignment horizontal="center" shrinkToFit="0" textRotation="90" vertical="center" wrapText="1"/>
    </xf>
    <xf borderId="3" fillId="5" fontId="2" numFmtId="0" xfId="0" applyAlignment="1" applyBorder="1" applyFill="1" applyFont="1">
      <alignment shrinkToFit="0" textRotation="90" wrapText="1"/>
    </xf>
    <xf borderId="4" fillId="4" fontId="2" numFmtId="0" xfId="0" applyAlignment="1" applyBorder="1" applyFont="1">
      <alignment horizontal="center" shrinkToFit="0" vertical="center" wrapText="1"/>
    </xf>
    <xf borderId="4" fillId="5" fontId="2" numFmtId="0" xfId="0" applyAlignment="1" applyBorder="1" applyFont="1">
      <alignment shrinkToFit="0" wrapText="1"/>
    </xf>
    <xf borderId="2" fillId="4" fontId="2" numFmtId="0" xfId="0" applyAlignment="1" applyBorder="1" applyFont="1">
      <alignment horizontal="center" shrinkToFit="0" vertical="center" wrapText="1"/>
    </xf>
    <xf borderId="3" fillId="6" fontId="2" numFmtId="0" xfId="0" applyAlignment="1" applyBorder="1" applyFill="1" applyFont="1">
      <alignment shrinkToFit="0" textRotation="90" wrapText="1"/>
    </xf>
    <xf borderId="3" fillId="5" fontId="2" numFmtId="0" xfId="0" applyAlignment="1" applyBorder="1" applyFont="1">
      <alignment horizontal="center" shrinkToFit="0" textRotation="90" vertical="center" wrapText="1"/>
    </xf>
    <xf borderId="4" fillId="6" fontId="2" numFmtId="0" xfId="0" applyAlignment="1" applyBorder="1" applyFont="1">
      <alignment shrinkToFit="0" wrapText="1"/>
    </xf>
    <xf borderId="4" fillId="5" fontId="2" numFmtId="0" xfId="0" applyAlignment="1" applyBorder="1" applyFont="1">
      <alignment horizontal="center" shrinkToFit="0" vertical="center" wrapText="1"/>
    </xf>
    <xf borderId="2" fillId="6" fontId="2" numFmtId="0" xfId="0" applyAlignment="1" applyBorder="1" applyFont="1">
      <alignment shrinkToFit="0" wrapText="1"/>
    </xf>
    <xf borderId="3" fillId="6" fontId="2" numFmtId="0" xfId="0" applyAlignment="1" applyBorder="1" applyFont="1">
      <alignment horizontal="center" shrinkToFit="0" textRotation="90" vertical="center" wrapText="1"/>
    </xf>
    <xf borderId="4" fillId="6" fontId="2" numFmtId="0" xfId="0" applyAlignment="1" applyBorder="1" applyFont="1">
      <alignment horizontal="center" shrinkToFit="0" vertical="center" wrapText="1"/>
    </xf>
    <xf borderId="0" fillId="0" fontId="2" numFmtId="0" xfId="0" applyAlignment="1" applyFont="1">
      <alignment shrinkToFit="0" wrapText="1"/>
    </xf>
    <xf borderId="5" fillId="0" fontId="7" numFmtId="0" xfId="0" applyAlignment="1" applyBorder="1" applyFont="1">
      <alignment horizontal="center" shrinkToFit="0" vertical="center" wrapText="1"/>
    </xf>
    <xf borderId="2" fillId="6" fontId="2" numFmtId="0" xfId="0" applyAlignment="1" applyBorder="1" applyFont="1">
      <alignment horizontal="center" shrinkToFit="0" vertical="center" wrapText="1"/>
    </xf>
    <xf borderId="2" fillId="7" fontId="2" numFmtId="0" xfId="0" applyAlignment="1" applyBorder="1" applyFill="1" applyFont="1">
      <alignment horizontal="center" shrinkToFit="0" vertical="center" wrapText="1"/>
    </xf>
    <xf borderId="6" fillId="0" fontId="8" numFmtId="0" xfId="0" applyAlignment="1" applyBorder="1" applyFont="1">
      <alignment shrinkToFit="0" wrapText="1"/>
    </xf>
    <xf borderId="7" fillId="0" fontId="9" numFmtId="0" xfId="0" applyBorder="1" applyFont="1"/>
    <xf borderId="6" fillId="0" fontId="8" numFmtId="14" xfId="0" applyAlignment="1" applyBorder="1" applyFont="1" applyNumberFormat="1">
      <alignment shrinkToFit="0" wrapText="1"/>
    </xf>
    <xf borderId="8" fillId="0" fontId="8" numFmtId="0" xfId="0" applyAlignment="1" applyBorder="1" applyFont="1">
      <alignment shrinkToFit="0" wrapText="1"/>
    </xf>
    <xf borderId="0" fillId="0" fontId="10" numFmtId="0" xfId="0" applyAlignment="1" applyFont="1">
      <alignment horizontal="center" shrinkToFit="0" vertical="center" wrapText="1"/>
    </xf>
    <xf borderId="6" fillId="0" fontId="8" numFmtId="0" xfId="0" applyAlignment="1" applyBorder="1" applyFont="1">
      <alignment horizontal="center" shrinkToFit="0" vertical="center" wrapText="1"/>
    </xf>
    <xf borderId="0" fillId="0" fontId="10"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10" numFmtId="0" xfId="0" applyAlignment="1" applyFont="1">
      <alignment horizontal="center" readingOrder="0" shrinkToFit="0" vertical="center" wrapText="1"/>
    </xf>
    <xf borderId="2" fillId="8" fontId="11" numFmtId="0" xfId="0" applyAlignment="1" applyBorder="1" applyFill="1" applyFont="1">
      <alignment horizontal="center" vertical="center"/>
    </xf>
    <xf borderId="2" fillId="9" fontId="2" numFmtId="0" xfId="0" applyAlignment="1" applyBorder="1" applyFill="1" applyFont="1">
      <alignment shrinkToFit="0" wrapText="1"/>
    </xf>
    <xf borderId="8" fillId="0" fontId="8" numFmtId="0" xfId="0" applyAlignment="1" applyBorder="1" applyFont="1">
      <alignment horizontal="center" shrinkToFit="0" vertical="center" wrapText="1"/>
    </xf>
    <xf borderId="2" fillId="8" fontId="11" numFmtId="0" xfId="0" applyAlignment="1" applyBorder="1" applyFont="1">
      <alignment horizontal="center" shrinkToFit="0" vertical="center" wrapText="1"/>
    </xf>
    <xf borderId="9" fillId="3" fontId="12" numFmtId="0" xfId="0" applyBorder="1" applyFont="1"/>
    <xf borderId="2" fillId="10" fontId="13" numFmtId="0" xfId="0" applyAlignment="1" applyBorder="1" applyFill="1" applyFont="1">
      <alignment horizontal="center" shrinkToFit="0" vertical="center" wrapText="1"/>
    </xf>
    <xf borderId="2" fillId="11" fontId="2" numFmtId="0" xfId="0" applyAlignment="1" applyBorder="1" applyFill="1" applyFont="1">
      <alignment shrinkToFit="0" wrapText="1"/>
    </xf>
    <xf borderId="0" fillId="0" fontId="4" numFmtId="0" xfId="0" applyAlignment="1" applyFont="1">
      <alignment horizontal="center" vertical="center"/>
    </xf>
    <xf borderId="2" fillId="8" fontId="14" numFmtId="0" xfId="0" applyAlignment="1" applyBorder="1" applyFont="1">
      <alignment horizontal="center" readingOrder="0" shrinkToFit="0" vertical="center" wrapText="1"/>
    </xf>
    <xf borderId="2" fillId="8" fontId="12" numFmtId="14" xfId="0" applyAlignment="1" applyBorder="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9" fillId="4" fontId="12" numFmtId="0" xfId="0" applyBorder="1" applyFont="1"/>
    <xf borderId="10" fillId="0" fontId="12" numFmtId="0" xfId="0" applyAlignment="1" applyBorder="1" applyFont="1">
      <alignment shrinkToFit="0" wrapText="1"/>
    </xf>
    <xf borderId="0" fillId="0" fontId="12" numFmtId="0" xfId="0" applyFont="1"/>
    <xf borderId="9" fillId="3" fontId="12" numFmtId="0" xfId="0" applyAlignment="1" applyBorder="1" applyFont="1">
      <alignment horizontal="center" shrinkToFit="0" vertical="center" wrapText="1"/>
    </xf>
    <xf borderId="0" fillId="0" fontId="12" numFmtId="0" xfId="0" applyAlignment="1" applyFont="1">
      <alignment shrinkToFit="0" wrapText="1"/>
    </xf>
    <xf borderId="0" fillId="0" fontId="6" numFmtId="0" xfId="0" applyAlignment="1" applyFont="1">
      <alignment shrinkToFit="0" wrapText="1"/>
    </xf>
    <xf borderId="9" fillId="5" fontId="12" numFmtId="0" xfId="0" applyBorder="1" applyFont="1"/>
    <xf borderId="0" fillId="0" fontId="6" numFmtId="0" xfId="0" applyAlignment="1" applyFont="1">
      <alignment horizontal="center" shrinkToFit="0" vertical="center" wrapText="1"/>
    </xf>
    <xf borderId="11" fillId="0" fontId="7" numFmtId="0" xfId="0" applyAlignment="1" applyBorder="1" applyFont="1">
      <alignment horizontal="center" readingOrder="0" shrinkToFit="0" vertical="center" wrapText="1"/>
    </xf>
    <xf borderId="0" fillId="0" fontId="12" numFmtId="14" xfId="0" applyAlignment="1" applyFont="1" applyNumberFormat="1">
      <alignment horizontal="center" readingOrder="0" shrinkToFit="0" vertical="center" wrapText="1"/>
    </xf>
    <xf borderId="12" fillId="0" fontId="7" numFmtId="0" xfId="0" applyAlignment="1" applyBorder="1" applyFont="1">
      <alignment horizontal="center" readingOrder="0" shrinkToFit="0" vertical="center" wrapText="1"/>
    </xf>
    <xf borderId="9" fillId="6" fontId="12" numFmtId="0" xfId="0" applyBorder="1" applyFont="1"/>
    <xf borderId="5" fillId="0" fontId="7" numFmtId="0" xfId="0" applyAlignment="1" applyBorder="1" applyFont="1">
      <alignment horizontal="center" readingOrder="0" shrinkToFit="0" vertical="center" wrapText="1"/>
    </xf>
    <xf borderId="0" fillId="0" fontId="6" numFmtId="0" xfId="0" applyAlignment="1" applyFont="1">
      <alignment horizontal="left" shrinkToFit="0" wrapText="1"/>
    </xf>
    <xf borderId="13" fillId="0" fontId="7" numFmtId="0" xfId="0" applyAlignment="1" applyBorder="1" applyFont="1">
      <alignment horizontal="center" readingOrder="0" shrinkToFit="0" vertical="center" wrapText="1"/>
    </xf>
    <xf borderId="2" fillId="12" fontId="12" numFmtId="0" xfId="0" applyAlignment="1" applyBorder="1" applyFill="1" applyFont="1">
      <alignment horizontal="center" vertical="center"/>
    </xf>
    <xf borderId="0" fillId="0" fontId="10" numFmtId="0" xfId="0" applyAlignment="1" applyFont="1">
      <alignment shrinkToFit="0" vertical="center" wrapText="1"/>
    </xf>
    <xf borderId="5" fillId="0" fontId="10" numFmtId="0" xfId="0" applyAlignment="1" applyBorder="1" applyFont="1">
      <alignment horizontal="center" readingOrder="0" shrinkToFit="0" vertical="center" wrapText="1"/>
    </xf>
    <xf borderId="9" fillId="4" fontId="12" numFmtId="0" xfId="0" applyAlignment="1" applyBorder="1" applyFont="1">
      <alignment horizontal="center" shrinkToFit="0" vertical="center" wrapText="1"/>
    </xf>
    <xf borderId="10"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9" fillId="5" fontId="12" numFmtId="0" xfId="0" applyAlignment="1" applyBorder="1" applyFont="1">
      <alignment horizontal="center" shrinkToFit="0" vertical="center" wrapText="1"/>
    </xf>
    <xf borderId="10" fillId="0" fontId="12" numFmtId="0" xfId="0" applyAlignment="1" applyBorder="1" applyFont="1">
      <alignment horizontal="center" readingOrder="0" shrinkToFit="0" vertical="center" wrapText="1"/>
    </xf>
    <xf borderId="9" fillId="6" fontId="12" numFmtId="0" xfId="0" applyAlignment="1" applyBorder="1" applyFont="1">
      <alignment horizontal="center" shrinkToFit="0" vertical="center" wrapText="1"/>
    </xf>
    <xf borderId="0" fillId="0" fontId="15" numFmtId="0" xfId="0" applyAlignment="1" applyFont="1">
      <alignment horizontal="center" readingOrder="0" shrinkToFit="0" vertical="center" wrapText="1"/>
    </xf>
    <xf borderId="0" fillId="0" fontId="12" numFmtId="0" xfId="0" applyAlignment="1" applyFont="1">
      <alignment horizontal="center" vertical="center"/>
    </xf>
    <xf borderId="0" fillId="0" fontId="12" numFmtId="0" xfId="0" applyAlignment="1" applyFont="1">
      <alignment vertical="center"/>
    </xf>
    <xf borderId="2" fillId="10" fontId="6" numFmtId="0" xfId="0" applyAlignment="1" applyBorder="1" applyFont="1">
      <alignment horizontal="center" readingOrder="0" shrinkToFit="0" vertical="center" wrapText="1"/>
    </xf>
    <xf borderId="0" fillId="0" fontId="10" numFmtId="0" xfId="0" applyAlignment="1" applyFont="1">
      <alignment vertical="center"/>
    </xf>
    <xf borderId="14" fillId="0" fontId="16" numFmtId="0" xfId="0" applyAlignment="1" applyBorder="1" applyFont="1">
      <alignment shrinkToFit="0" wrapText="1"/>
    </xf>
    <xf borderId="0" fillId="0" fontId="12" numFmtId="0" xfId="0" applyAlignment="1" applyFont="1">
      <alignment horizontal="left" shrinkToFit="0" wrapText="1"/>
    </xf>
    <xf borderId="0" fillId="0" fontId="17" numFmtId="0" xfId="0" applyAlignment="1" applyFont="1">
      <alignment horizontal="center" readingOrder="0" shrinkToFit="0" vertical="center" wrapText="1"/>
    </xf>
    <xf borderId="2" fillId="10" fontId="14" numFmtId="0" xfId="0" applyAlignment="1" applyBorder="1" applyFont="1">
      <alignment shrinkToFit="0" wrapText="1"/>
    </xf>
    <xf borderId="0" fillId="0" fontId="12" numFmtId="14" xfId="0" applyAlignment="1" applyFont="1" applyNumberFormat="1">
      <alignment horizontal="center" shrinkToFit="0" vertical="center" wrapText="1"/>
    </xf>
    <xf borderId="0" fillId="0" fontId="6" numFmtId="164" xfId="0" applyAlignment="1" applyFont="1" applyNumberFormat="1">
      <alignment horizontal="left" shrinkToFit="0" wrapText="1"/>
    </xf>
    <xf borderId="0" fillId="0" fontId="18" numFmtId="0" xfId="0" applyAlignment="1" applyFont="1">
      <alignment horizontal="center" readingOrder="0" shrinkToFit="0" vertical="center" wrapText="1"/>
    </xf>
    <xf borderId="5" fillId="0" fontId="4" numFmtId="0" xfId="0" applyAlignment="1" applyBorder="1" applyFont="1">
      <alignment readingOrder="0" vertical="center"/>
    </xf>
    <xf borderId="0" fillId="0" fontId="12" numFmtId="165" xfId="0" applyAlignment="1" applyFont="1" applyNumberFormat="1">
      <alignment horizontal="left" shrinkToFit="0" wrapText="1"/>
    </xf>
    <xf borderId="15" fillId="0" fontId="12" numFmtId="0" xfId="0" applyAlignment="1" applyBorder="1" applyFont="1">
      <alignment horizontal="center" readingOrder="0" shrinkToFit="0" vertical="center" wrapText="1"/>
    </xf>
    <xf borderId="0" fillId="0" fontId="6" numFmtId="165" xfId="0" applyAlignment="1" applyFont="1" applyNumberFormat="1">
      <alignment horizontal="left" shrinkToFit="0" wrapText="1"/>
    </xf>
    <xf borderId="5" fillId="0" fontId="7" numFmtId="0" xfId="0" applyAlignment="1" applyBorder="1" applyFont="1">
      <alignment horizontal="center" vertical="center"/>
    </xf>
    <xf borderId="16" fillId="0" fontId="7" numFmtId="0" xfId="0" applyAlignment="1" applyBorder="1" applyFont="1">
      <alignment horizontal="center" shrinkToFit="0" vertical="center" wrapText="1"/>
    </xf>
    <xf borderId="17" fillId="0" fontId="19" numFmtId="0" xfId="0" applyAlignment="1" applyBorder="1" applyFont="1">
      <alignment horizontal="center" readingOrder="0"/>
    </xf>
    <xf borderId="16" fillId="0" fontId="9" numFmtId="0" xfId="0" applyBorder="1" applyFont="1"/>
    <xf borderId="18" fillId="13" fontId="12" numFmtId="0" xfId="0" applyAlignment="1" applyBorder="1" applyFill="1" applyFont="1">
      <alignment horizontal="center" readingOrder="0" shrinkToFit="0" vertical="center" wrapText="1"/>
    </xf>
    <xf borderId="12" fillId="0" fontId="10" numFmtId="0" xfId="0" applyAlignment="1" applyBorder="1" applyFont="1">
      <alignment horizontal="center" readingOrder="0" vertical="center"/>
    </xf>
    <xf borderId="19" fillId="13" fontId="12" numFmtId="0" xfId="0" applyAlignment="1" applyBorder="1" applyFont="1">
      <alignment horizontal="center" readingOrder="0" shrinkToFit="0" vertical="center" wrapText="1"/>
    </xf>
    <xf borderId="20" fillId="0" fontId="10" numFmtId="0" xfId="0" applyAlignment="1" applyBorder="1" applyFont="1">
      <alignment horizontal="center" readingOrder="0" vertical="center"/>
    </xf>
    <xf borderId="21" fillId="3" fontId="12" numFmtId="0" xfId="0" applyAlignment="1" applyBorder="1" applyFont="1">
      <alignment horizontal="center" shrinkToFit="0" vertical="center" wrapText="1"/>
    </xf>
    <xf borderId="13" fillId="0" fontId="10" numFmtId="0" xfId="0" applyAlignment="1" applyBorder="1" applyFont="1">
      <alignment horizontal="center" readingOrder="0" vertical="center"/>
    </xf>
    <xf borderId="0" fillId="0" fontId="6" numFmtId="0" xfId="0" applyAlignment="1" applyFont="1">
      <alignment horizontal="center" readingOrder="0" shrinkToFit="0" vertical="center" wrapText="1"/>
    </xf>
    <xf borderId="5" fillId="0" fontId="20" numFmtId="0" xfId="0" applyAlignment="1" applyBorder="1" applyFont="1">
      <alignment horizontal="center" readingOrder="0"/>
    </xf>
    <xf borderId="0" fillId="0" fontId="4" numFmtId="0" xfId="0" applyAlignment="1" applyFont="1">
      <alignment vertical="center"/>
    </xf>
    <xf borderId="0" fillId="0" fontId="21" numFmtId="0" xfId="0" applyAlignment="1" applyFont="1">
      <alignment horizontal="center" readingOrder="0" shrinkToFit="0" vertical="center" wrapText="1"/>
    </xf>
    <xf borderId="5" fillId="0" fontId="20" numFmtId="0" xfId="0" applyAlignment="1" applyBorder="1" applyFont="1">
      <alignment horizontal="center"/>
    </xf>
    <xf borderId="10" fillId="0" fontId="10" numFmtId="0" xfId="0" applyAlignment="1" applyBorder="1" applyFont="1">
      <alignment horizontal="center" readingOrder="0" vertical="center"/>
    </xf>
    <xf borderId="15" fillId="0" fontId="10" numFmtId="0" xfId="0" applyAlignment="1" applyBorder="1" applyFont="1">
      <alignment horizontal="center" readingOrder="0" vertical="center"/>
    </xf>
    <xf borderId="17" fillId="0" fontId="7" numFmtId="0" xfId="0" applyAlignment="1" applyBorder="1" applyFont="1">
      <alignment horizontal="left" readingOrder="0"/>
    </xf>
    <xf borderId="5" fillId="0" fontId="10" numFmtId="0" xfId="0" applyAlignment="1" applyBorder="1" applyFont="1">
      <alignment horizontal="center" readingOrder="0" vertical="center"/>
    </xf>
    <xf borderId="5" fillId="0" fontId="10" numFmtId="0" xfId="0" applyAlignment="1" applyBorder="1" applyFont="1">
      <alignment horizontal="center" readingOrder="0"/>
    </xf>
    <xf borderId="22" fillId="13" fontId="12" numFmtId="0" xfId="0" applyAlignment="1" applyBorder="1" applyFont="1">
      <alignment horizontal="center" readingOrder="0" shrinkToFit="0" vertical="center" wrapText="1"/>
    </xf>
    <xf borderId="15" fillId="0" fontId="4" numFmtId="0" xfId="0" applyAlignment="1" applyBorder="1" applyFont="1">
      <alignment horizontal="center" readingOrder="0" shrinkToFit="0" vertical="center" wrapText="1"/>
    </xf>
    <xf borderId="0" fillId="0" fontId="4" numFmtId="14" xfId="0" applyAlignment="1" applyFont="1" applyNumberFormat="1">
      <alignment horizontal="center" readingOrder="0" shrinkToFit="0" vertical="center" wrapText="1"/>
    </xf>
    <xf borderId="0" fillId="0" fontId="22" numFmtId="0" xfId="0" applyAlignment="1" applyFont="1">
      <alignment horizontal="center" readingOrder="0" shrinkToFit="0" vertical="center" wrapText="1"/>
    </xf>
    <xf borderId="8" fillId="0" fontId="10" numFmtId="0" xfId="0" applyAlignment="1" applyBorder="1" applyFont="1">
      <alignment horizontal="center" readingOrder="0" vertical="center"/>
    </xf>
    <xf borderId="6" fillId="0" fontId="10" numFmtId="0" xfId="0" applyAlignment="1" applyBorder="1" applyFont="1">
      <alignment horizontal="center" readingOrder="0" vertical="center"/>
    </xf>
    <xf borderId="23" fillId="14" fontId="23" numFmtId="0" xfId="0" applyAlignment="1" applyBorder="1" applyFill="1" applyFont="1">
      <alignment horizontal="center" shrinkToFit="0" vertical="center" wrapText="1"/>
    </xf>
    <xf borderId="24" fillId="0" fontId="4" numFmtId="0" xfId="0" applyAlignment="1" applyBorder="1" applyFont="1">
      <alignment horizontal="center" readingOrder="0" vertical="center"/>
    </xf>
    <xf borderId="25" fillId="14" fontId="23" numFmtId="0" xfId="0" applyAlignment="1" applyBorder="1" applyFont="1">
      <alignment horizontal="center" shrinkToFit="0" vertical="center" wrapText="1"/>
    </xf>
    <xf borderId="5" fillId="0" fontId="4" numFmtId="0" xfId="0" applyAlignment="1" applyBorder="1" applyFont="1">
      <alignment horizontal="center" readingOrder="0"/>
    </xf>
    <xf borderId="20" fillId="0" fontId="4" numFmtId="0" xfId="0" applyAlignment="1" applyBorder="1" applyFont="1">
      <alignment horizontal="center" readingOrder="0" vertical="center"/>
    </xf>
    <xf borderId="26" fillId="14" fontId="23" numFmtId="0" xfId="0" applyAlignment="1" applyBorder="1" applyFont="1">
      <alignment horizontal="center" shrinkToFit="0" vertical="center" wrapText="1"/>
    </xf>
    <xf borderId="0" fillId="0" fontId="24" numFmtId="0" xfId="0" applyAlignment="1" applyFont="1">
      <alignment horizontal="center" shrinkToFit="0" vertical="center" wrapText="1"/>
    </xf>
    <xf borderId="5" fillId="0" fontId="4" numFmtId="0" xfId="0" applyAlignment="1" applyBorder="1" applyFont="1">
      <alignment horizontal="center" readingOrder="0" vertical="center"/>
    </xf>
    <xf borderId="23" fillId="14" fontId="23" numFmtId="0" xfId="0" applyAlignment="1" applyBorder="1" applyFont="1">
      <alignment horizontal="center" readingOrder="0" shrinkToFit="0" vertical="center" wrapText="1"/>
    </xf>
    <xf borderId="0" fillId="0" fontId="12" numFmtId="0" xfId="0" applyAlignment="1" applyFont="1">
      <alignment horizontal="center" readingOrder="0" vertical="center"/>
    </xf>
    <xf borderId="15" fillId="0" fontId="12" numFmtId="0" xfId="0" applyAlignment="1" applyBorder="1" applyFont="1">
      <alignment horizontal="center" readingOrder="0" vertical="center"/>
    </xf>
    <xf borderId="9" fillId="3" fontId="12" numFmtId="0" xfId="0" applyAlignment="1" applyBorder="1" applyFont="1">
      <alignment vertical="center"/>
    </xf>
    <xf borderId="0" fillId="0" fontId="25" numFmtId="0" xfId="0" applyAlignment="1" applyFont="1">
      <alignment horizontal="center" shrinkToFit="0" vertical="center" wrapText="1"/>
    </xf>
    <xf borderId="5" fillId="0" fontId="24" numFmtId="0" xfId="0" applyAlignment="1" applyBorder="1" applyFont="1">
      <alignment horizontal="center" readingOrder="0" shrinkToFit="0" vertical="center" wrapText="1"/>
    </xf>
    <xf borderId="9" fillId="0" fontId="12" numFmtId="0" xfId="0" applyAlignment="1" applyBorder="1" applyFont="1">
      <alignment vertical="center"/>
    </xf>
    <xf borderId="10" fillId="0" fontId="12" numFmtId="0" xfId="0" applyAlignment="1" applyBorder="1" applyFont="1">
      <alignment shrinkToFit="0" vertical="center" wrapText="1"/>
    </xf>
    <xf borderId="5" fillId="0" fontId="26" numFmtId="0" xfId="0" applyAlignment="1" applyBorder="1" applyFont="1">
      <alignment horizontal="center" shrinkToFit="0" vertical="center" wrapText="1"/>
    </xf>
    <xf borderId="0" fillId="0" fontId="12" numFmtId="0" xfId="0" applyAlignment="1" applyFont="1">
      <alignment shrinkToFit="0" vertical="center" wrapText="1"/>
    </xf>
    <xf borderId="9" fillId="5" fontId="12" numFmtId="0" xfId="0" applyAlignment="1" applyBorder="1" applyFont="1">
      <alignment vertical="center"/>
    </xf>
    <xf borderId="10" fillId="0" fontId="12" numFmtId="0" xfId="0" applyAlignment="1" applyBorder="1" applyFont="1">
      <alignment readingOrder="0" shrinkToFit="0" vertical="center" wrapText="1"/>
    </xf>
    <xf borderId="9" fillId="6" fontId="12" numFmtId="0" xfId="0" applyAlignment="1" applyBorder="1" applyFont="1">
      <alignment vertical="center"/>
    </xf>
    <xf borderId="5" fillId="0" fontId="26" numFmtId="0" xfId="0" applyAlignment="1" applyBorder="1" applyFont="1">
      <alignment horizontal="center" readingOrder="0" shrinkToFit="0" vertical="center" wrapText="1"/>
    </xf>
    <xf borderId="0" fillId="0" fontId="26" numFmtId="0" xfId="0" applyAlignment="1" applyFont="1">
      <alignment horizontal="center" shrinkToFit="0" vertical="center" wrapText="1"/>
    </xf>
    <xf borderId="5" fillId="0" fontId="24" numFmtId="0" xfId="0" applyAlignment="1" applyBorder="1" applyFont="1">
      <alignment horizontal="center" shrinkToFit="0" vertical="center" wrapText="1"/>
    </xf>
    <xf borderId="24" fillId="0" fontId="10" numFmtId="0" xfId="0" applyAlignment="1" applyBorder="1" applyFont="1">
      <alignment horizontal="center" readingOrder="0"/>
    </xf>
    <xf borderId="0" fillId="0" fontId="7" numFmtId="0" xfId="0" applyAlignment="1" applyFont="1">
      <alignment horizontal="left" readingOrder="0" vertical="center"/>
    </xf>
    <xf borderId="0" fillId="0" fontId="10" numFmtId="0" xfId="0" applyAlignment="1" applyFont="1">
      <alignment horizontal="center"/>
    </xf>
    <xf borderId="12" fillId="0" fontId="10" numFmtId="166" xfId="0" applyAlignment="1" applyBorder="1" applyFont="1" applyNumberFormat="1">
      <alignment horizontal="center" readingOrder="0" vertical="center"/>
    </xf>
    <xf borderId="15" fillId="0" fontId="6" numFmtId="0" xfId="0" applyAlignment="1" applyBorder="1" applyFont="1">
      <alignment horizontal="center" readingOrder="0" vertical="center"/>
    </xf>
    <xf borderId="13" fillId="0" fontId="10" numFmtId="0" xfId="0" applyAlignment="1" applyBorder="1" applyFont="1">
      <alignment horizontal="center" readingOrder="0"/>
    </xf>
    <xf borderId="10" fillId="0" fontId="10" numFmtId="166" xfId="0" applyAlignment="1" applyBorder="1" applyFont="1" applyNumberFormat="1">
      <alignment horizontal="center" readingOrder="0" vertical="center"/>
    </xf>
    <xf borderId="15" fillId="0" fontId="10" numFmtId="0" xfId="0" applyAlignment="1" applyBorder="1" applyFont="1">
      <alignment horizontal="center" readingOrder="0"/>
    </xf>
    <xf borderId="9" fillId="0" fontId="12" numFmtId="0" xfId="0" applyBorder="1" applyFont="1"/>
    <xf borderId="5" fillId="0" fontId="26" numFmtId="2" xfId="0" applyAlignment="1" applyBorder="1" applyFont="1" applyNumberFormat="1">
      <alignment horizontal="center" shrinkToFit="0" vertical="center" wrapText="1"/>
    </xf>
    <xf borderId="0" fillId="0" fontId="27" numFmtId="0" xfId="0" applyAlignment="1" applyFont="1">
      <alignment horizontal="center" shrinkToFit="0" vertical="center" wrapText="1"/>
    </xf>
    <xf borderId="0" fillId="0" fontId="28" numFmtId="0" xfId="0" applyAlignment="1" applyFont="1">
      <alignment shrinkToFit="0" wrapText="1"/>
    </xf>
    <xf borderId="8" fillId="0" fontId="10" numFmtId="166" xfId="0" applyAlignment="1" applyBorder="1" applyFont="1" applyNumberFormat="1">
      <alignment horizontal="center" readingOrder="0" vertical="center"/>
    </xf>
    <xf borderId="0" fillId="0" fontId="29" numFmtId="0" xfId="0" applyAlignment="1" applyFont="1">
      <alignment readingOrder="0"/>
    </xf>
    <xf borderId="5" fillId="13" fontId="26" numFmtId="0" xfId="0" applyAlignment="1" applyBorder="1" applyFont="1">
      <alignment horizontal="center" readingOrder="0" shrinkToFit="0" vertical="center" wrapText="1"/>
    </xf>
    <xf borderId="5" fillId="0" fontId="7" numFmtId="0" xfId="0" applyAlignment="1" applyBorder="1" applyFont="1">
      <alignment horizontal="left" readingOrder="0"/>
    </xf>
    <xf borderId="5" fillId="0" fontId="7" numFmtId="0" xfId="0" applyAlignment="1" applyBorder="1" applyFont="1">
      <alignment horizontal="center"/>
    </xf>
    <xf borderId="10" fillId="0" fontId="7" numFmtId="0" xfId="0" applyAlignment="1" applyBorder="1" applyFont="1">
      <alignment horizontal="left" readingOrder="0" vertical="center"/>
    </xf>
    <xf borderId="27" fillId="0" fontId="10" numFmtId="0" xfId="0" applyAlignment="1" applyBorder="1" applyFont="1">
      <alignment horizontal="center" readingOrder="0"/>
    </xf>
    <xf borderId="0" fillId="0" fontId="6" numFmtId="0" xfId="0" applyAlignment="1" applyFont="1">
      <alignment horizontal="center" readingOrder="0" vertical="center"/>
    </xf>
    <xf borderId="15" fillId="0" fontId="6" numFmtId="0" xfId="0" applyAlignment="1" applyBorder="1" applyFont="1">
      <alignment horizontal="center" readingOrder="0" shrinkToFit="0" vertical="center" wrapText="1"/>
    </xf>
    <xf borderId="0" fillId="0" fontId="4" numFmtId="0" xfId="0" applyAlignment="1" applyFont="1">
      <alignment horizontal="center" readingOrder="0"/>
    </xf>
    <xf borderId="9" fillId="3" fontId="6" numFmtId="0" xfId="0" applyBorder="1" applyFont="1"/>
    <xf borderId="15" fillId="0" fontId="4" numFmtId="0" xfId="0" applyAlignment="1" applyBorder="1" applyFont="1">
      <alignment horizontal="center" readingOrder="0"/>
    </xf>
    <xf borderId="0" fillId="0" fontId="6" numFmtId="14" xfId="0" applyAlignment="1" applyFont="1" applyNumberFormat="1">
      <alignment horizontal="center" readingOrder="0" shrinkToFit="0" vertical="center" wrapText="1"/>
    </xf>
    <xf borderId="0" fillId="0" fontId="4" numFmtId="0" xfId="0" applyAlignment="1" applyFont="1">
      <alignment horizontal="center"/>
    </xf>
    <xf borderId="9" fillId="0" fontId="6" numFmtId="0" xfId="0" applyBorder="1" applyFont="1"/>
    <xf borderId="10" fillId="0" fontId="6" numFmtId="0" xfId="0" applyAlignment="1" applyBorder="1" applyFont="1">
      <alignment shrinkToFit="0" wrapText="1"/>
    </xf>
    <xf borderId="0" fillId="0" fontId="30" numFmtId="0" xfId="0" applyAlignment="1" applyFont="1">
      <alignment shrinkToFit="0" wrapText="1"/>
    </xf>
    <xf borderId="0" fillId="0" fontId="10" numFmtId="0" xfId="0" applyAlignment="1" applyFont="1">
      <alignment horizontal="center" vertical="center"/>
    </xf>
    <xf borderId="9" fillId="5" fontId="6" numFmtId="0" xfId="0" applyBorder="1" applyFont="1"/>
    <xf borderId="10" fillId="0" fontId="6" numFmtId="0" xfId="0" applyAlignment="1" applyBorder="1" applyFont="1">
      <alignment horizontal="center" readingOrder="0" shrinkToFit="0" vertical="center" wrapText="1"/>
    </xf>
    <xf borderId="5" fillId="14" fontId="31" numFmtId="0" xfId="0" applyAlignment="1" applyBorder="1" applyFont="1">
      <alignment horizontal="center" shrinkToFit="0" vertical="center" wrapText="1"/>
    </xf>
    <xf borderId="9" fillId="6" fontId="6" numFmtId="0" xfId="0" applyBorder="1" applyFont="1"/>
    <xf borderId="0" fillId="0" fontId="6" numFmtId="0" xfId="0" applyFont="1"/>
    <xf borderId="5" fillId="0" fontId="32" numFmtId="0" xfId="0" applyAlignment="1" applyBorder="1" applyFont="1">
      <alignment horizontal="center" shrinkToFit="0" vertical="center" wrapText="1"/>
    </xf>
    <xf borderId="5" fillId="0" fontId="32" numFmtId="2" xfId="0" applyAlignment="1" applyBorder="1" applyFont="1" applyNumberFormat="1">
      <alignment horizontal="center" shrinkToFit="0" vertical="center" wrapText="1"/>
    </xf>
    <xf borderId="0" fillId="0" fontId="33" numFmtId="0" xfId="0" applyFont="1"/>
    <xf borderId="10" fillId="0" fontId="33" numFmtId="0" xfId="0" applyBorder="1" applyFont="1"/>
    <xf borderId="0" fillId="0" fontId="14" numFmtId="0" xfId="0" applyAlignment="1" applyFont="1">
      <alignment horizontal="left" shrinkToFit="0" wrapText="1"/>
    </xf>
    <xf borderId="15" fillId="0" fontId="33" numFmtId="0" xfId="0" applyBorder="1" applyFont="1"/>
    <xf borderId="28" fillId="14" fontId="23" numFmtId="0" xfId="0" applyAlignment="1" applyBorder="1" applyFont="1">
      <alignment horizontal="center" shrinkToFit="0" vertical="center" wrapText="1"/>
    </xf>
    <xf borderId="29" fillId="0" fontId="32" numFmtId="2" xfId="0" applyAlignment="1" applyBorder="1" applyFont="1" applyNumberFormat="1">
      <alignment horizontal="center" shrinkToFit="0" vertical="center" wrapText="1"/>
    </xf>
    <xf borderId="30" fillId="0" fontId="9" numFmtId="0" xfId="0" applyBorder="1" applyFont="1"/>
    <xf borderId="5" fillId="14" fontId="34" numFmtId="0" xfId="0" applyAlignment="1" applyBorder="1" applyFont="1">
      <alignment horizontal="center" shrinkToFit="0" vertical="center" wrapText="1"/>
    </xf>
    <xf borderId="5" fillId="15" fontId="35" numFmtId="0" xfId="0" applyAlignment="1" applyBorder="1" applyFill="1" applyFont="1">
      <alignment horizontal="center" readingOrder="0" shrinkToFit="0" vertical="center" wrapText="1"/>
    </xf>
    <xf borderId="31" fillId="14" fontId="23" numFmtId="0" xfId="0" applyAlignment="1" applyBorder="1" applyFont="1">
      <alignment horizontal="center" shrinkToFit="0" vertical="center" wrapText="1"/>
    </xf>
    <xf borderId="5" fillId="12" fontId="33" numFmtId="0" xfId="0" applyAlignment="1" applyBorder="1" applyFont="1">
      <alignment readingOrder="0"/>
    </xf>
    <xf borderId="32" fillId="0" fontId="32" numFmtId="2" xfId="0" applyAlignment="1" applyBorder="1" applyFont="1" applyNumberFormat="1">
      <alignment horizontal="center" shrinkToFit="0" vertical="center" wrapText="1"/>
    </xf>
    <xf borderId="33" fillId="0" fontId="9" numFmtId="0" xfId="0" applyBorder="1" applyFont="1"/>
    <xf borderId="5" fillId="16" fontId="14" numFmtId="0" xfId="0" applyAlignment="1" applyBorder="1" applyFill="1" applyFont="1">
      <alignment horizontal="center" shrinkToFit="0" vertical="center" wrapText="1"/>
    </xf>
    <xf borderId="5" fillId="0" fontId="14" numFmtId="0" xfId="0" applyAlignment="1" applyBorder="1" applyFont="1">
      <alignment horizontal="center" readingOrder="0" shrinkToFit="0" vertical="center" wrapText="1"/>
    </xf>
    <xf borderId="8" fillId="0" fontId="33" numFmtId="0" xfId="0" applyBorder="1" applyFont="1"/>
    <xf borderId="6" fillId="0" fontId="33" numFmtId="2" xfId="0" applyBorder="1" applyFont="1" applyNumberFormat="1"/>
    <xf borderId="24" fillId="0" fontId="33" numFmtId="2" xfId="0" applyBorder="1" applyFont="1" applyNumberFormat="1"/>
    <xf borderId="0" fillId="0" fontId="33" numFmtId="0" xfId="0" applyFont="1"/>
    <xf borderId="0" fillId="0" fontId="33" numFmtId="2" xfId="0" applyFont="1" applyNumberFormat="1"/>
    <xf borderId="5" fillId="0" fontId="14" numFmtId="2" xfId="0" applyAlignment="1" applyBorder="1" applyFont="1" applyNumberFormat="1">
      <alignment horizontal="center" shrinkToFit="0" vertical="center" wrapText="1"/>
    </xf>
    <xf borderId="5" fillId="0" fontId="33" numFmtId="0" xfId="0" applyAlignment="1" applyBorder="1" applyFont="1">
      <alignment readingOrder="0"/>
    </xf>
    <xf borderId="0" fillId="0" fontId="26" numFmtId="0" xfId="0" applyAlignment="1" applyFont="1">
      <alignment horizontal="center" vertical="center"/>
    </xf>
    <xf borderId="5" fillId="17" fontId="33" numFmtId="0" xfId="0" applyBorder="1" applyFill="1" applyFont="1"/>
    <xf borderId="5" fillId="10" fontId="14" numFmtId="0" xfId="0" applyAlignment="1" applyBorder="1" applyFont="1">
      <alignment horizontal="center" readingOrder="0" shrinkToFit="0" vertical="center" wrapText="1"/>
    </xf>
    <xf borderId="0" fillId="0" fontId="36" numFmtId="0" xfId="0" applyAlignment="1" applyFont="1">
      <alignment horizontal="center" readingOrder="0" shrinkToFit="0" vertical="center" wrapText="1"/>
    </xf>
    <xf borderId="5" fillId="0" fontId="26" numFmtId="0" xfId="0" applyAlignment="1" applyBorder="1" applyFont="1">
      <alignment horizontal="center" readingOrder="0" vertical="center"/>
    </xf>
    <xf borderId="5" fillId="0" fontId="33" numFmtId="0" xfId="0" applyBorder="1" applyFont="1"/>
    <xf borderId="5" fillId="14" fontId="34" numFmtId="0" xfId="0" applyAlignment="1" applyBorder="1" applyFont="1">
      <alignment horizontal="center" vertical="center"/>
    </xf>
    <xf borderId="34" fillId="14" fontId="31" numFmtId="0" xfId="0" applyAlignment="1" applyBorder="1" applyFont="1">
      <alignment horizontal="center" shrinkToFit="0" vertical="center" wrapText="1"/>
    </xf>
    <xf borderId="35" fillId="0" fontId="9" numFmtId="0" xfId="0" applyBorder="1" applyFont="1"/>
    <xf borderId="36" fillId="0" fontId="9" numFmtId="0" xfId="0" applyBorder="1" applyFont="1"/>
    <xf borderId="5" fillId="0" fontId="14" numFmtId="0" xfId="0" applyAlignment="1" applyBorder="1" applyFont="1">
      <alignment horizontal="center" vertical="center"/>
    </xf>
    <xf borderId="37" fillId="0" fontId="32" numFmtId="0" xfId="0" applyAlignment="1" applyBorder="1" applyFont="1">
      <alignment horizontal="center" shrinkToFit="0" vertical="center" wrapText="1"/>
    </xf>
    <xf borderId="38" fillId="0" fontId="9" numFmtId="0" xfId="0" applyBorder="1" applyFont="1"/>
    <xf borderId="0" fillId="0" fontId="14" numFmtId="0" xfId="0" applyAlignment="1" applyFont="1">
      <alignment horizontal="center" vertical="center"/>
    </xf>
    <xf borderId="0" fillId="0" fontId="27" numFmtId="0" xfId="0" applyAlignment="1" applyFont="1">
      <alignment horizontal="center" vertical="center"/>
    </xf>
    <xf borderId="39" fillId="14" fontId="34" numFmtId="0" xfId="0" applyAlignment="1" applyBorder="1" applyFont="1">
      <alignment horizontal="center" readingOrder="0" shrinkToFit="0" vertical="center" wrapText="1"/>
    </xf>
    <xf borderId="40" fillId="14" fontId="34" numFmtId="0" xfId="0" applyAlignment="1" applyBorder="1" applyFont="1">
      <alignment horizontal="center" readingOrder="0" shrinkToFit="0" vertical="center" wrapText="1"/>
    </xf>
    <xf borderId="41" fillId="14" fontId="34" numFmtId="0" xfId="0" applyAlignment="1" applyBorder="1" applyFont="1">
      <alignment horizontal="center" readingOrder="0" shrinkToFit="0" vertical="center" wrapText="1"/>
    </xf>
    <xf borderId="42" fillId="14" fontId="34" numFmtId="0" xfId="0" applyAlignment="1" applyBorder="1" applyFont="1">
      <alignment horizontal="center" readingOrder="0" shrinkToFit="0" vertical="center" wrapText="1"/>
    </xf>
    <xf borderId="43" fillId="14" fontId="34" numFmtId="0" xfId="0" applyAlignment="1" applyBorder="1" applyFont="1">
      <alignment horizontal="center" readingOrder="0" shrinkToFit="0" vertical="center" wrapText="1"/>
    </xf>
    <xf borderId="0" fillId="18" fontId="37" numFmtId="0" xfId="0" applyAlignment="1" applyFill="1" applyFont="1">
      <alignment readingOrder="0"/>
    </xf>
    <xf borderId="44" fillId="14" fontId="34" numFmtId="0" xfId="0" applyAlignment="1" applyBorder="1" applyFont="1">
      <alignment horizontal="center" vertical="center"/>
    </xf>
    <xf borderId="5" fillId="0" fontId="38" numFmtId="167" xfId="0" applyAlignment="1" applyBorder="1" applyFont="1" applyNumberFormat="1">
      <alignment horizontal="center" readingOrder="0" vertical="center"/>
    </xf>
    <xf borderId="5" fillId="0" fontId="38" numFmtId="0" xfId="0" applyAlignment="1" applyBorder="1" applyFont="1">
      <alignment horizontal="center" readingOrder="0" vertical="center"/>
    </xf>
    <xf borderId="5" fillId="0" fontId="38" numFmtId="0" xfId="0" applyAlignment="1" applyBorder="1" applyFont="1">
      <alignment horizontal="center" readingOrder="0" shrinkToFit="0" vertical="center" wrapText="1"/>
    </xf>
    <xf borderId="45" fillId="14" fontId="39" numFmtId="0" xfId="0" applyAlignment="1" applyBorder="1" applyFont="1">
      <alignment horizontal="center" shrinkToFit="0" vertical="center" wrapText="1"/>
    </xf>
    <xf borderId="45" fillId="15" fontId="40" numFmtId="0" xfId="0" applyAlignment="1" applyBorder="1" applyFont="1">
      <alignment horizontal="center" shrinkToFit="0" vertical="center" wrapText="1"/>
    </xf>
    <xf borderId="45" fillId="15" fontId="40" numFmtId="0" xfId="0" applyAlignment="1" applyBorder="1" applyFont="1">
      <alignment horizontal="center" readingOrder="0" shrinkToFit="0" vertical="center" wrapText="1"/>
    </xf>
    <xf borderId="46" fillId="15" fontId="40" numFmtId="0" xfId="0" applyAlignment="1" applyBorder="1" applyFont="1">
      <alignment horizontal="center" shrinkToFit="0" vertical="center" wrapText="1"/>
    </xf>
    <xf borderId="47" fillId="14" fontId="39" numFmtId="0" xfId="0" applyAlignment="1" applyBorder="1" applyFont="1">
      <alignment horizontal="center" shrinkToFit="0" vertical="center" wrapText="1"/>
    </xf>
    <xf borderId="48" fillId="14" fontId="39" numFmtId="0" xfId="0" applyAlignment="1" applyBorder="1" applyFont="1">
      <alignment horizontal="center" shrinkToFit="0" vertical="center" wrapText="1"/>
    </xf>
    <xf borderId="49" fillId="0" fontId="6" numFmtId="0" xfId="0" applyBorder="1" applyFont="1"/>
    <xf borderId="15" fillId="0" fontId="12" numFmtId="0" xfId="0" applyAlignment="1" applyBorder="1" applyFont="1">
      <alignment horizontal="center" shrinkToFit="0" vertical="center" wrapText="1"/>
    </xf>
    <xf borderId="45" fillId="16" fontId="6" numFmtId="0" xfId="0" applyAlignment="1" applyBorder="1" applyFont="1">
      <alignment horizontal="center" shrinkToFit="0" vertical="center" wrapText="1"/>
    </xf>
    <xf borderId="2" fillId="10" fontId="41" numFmtId="0" xfId="0" applyAlignment="1" applyBorder="1" applyFont="1">
      <alignment horizontal="center" shrinkToFit="0" vertical="center" wrapText="1"/>
    </xf>
    <xf borderId="12" fillId="14" fontId="34" numFmtId="0" xfId="0" applyAlignment="1" applyBorder="1" applyFont="1">
      <alignment horizontal="center" vertical="center"/>
    </xf>
    <xf borderId="45" fillId="0" fontId="6" numFmtId="0" xfId="0" applyAlignment="1" applyBorder="1" applyFont="1">
      <alignment horizontal="center" shrinkToFit="0" vertical="center" wrapText="1"/>
    </xf>
    <xf borderId="0" fillId="0" fontId="22" numFmtId="0" xfId="0" applyAlignment="1" applyFont="1">
      <alignment horizontal="center" shrinkToFit="0" vertical="center" wrapText="1"/>
    </xf>
    <xf borderId="45" fillId="0" fontId="6" numFmtId="0" xfId="0" applyAlignment="1" applyBorder="1" applyFont="1">
      <alignment horizontal="center" readingOrder="0" shrinkToFit="0" vertical="center" wrapText="1"/>
    </xf>
    <xf borderId="13" fillId="0" fontId="9" numFmtId="0" xfId="0" applyBorder="1" applyFont="1"/>
    <xf borderId="50" fillId="0" fontId="6" numFmtId="0" xfId="0" applyAlignment="1" applyBorder="1" applyFont="1">
      <alignment horizontal="center" readingOrder="0" shrinkToFit="0" vertical="center" wrapText="1"/>
    </xf>
    <xf borderId="17" fillId="14" fontId="42" numFmtId="0" xfId="0" applyAlignment="1" applyBorder="1" applyFont="1">
      <alignment horizontal="center" readingOrder="0" vertical="center"/>
    </xf>
    <xf borderId="27" fillId="0" fontId="9" numFmtId="0" xfId="0" applyBorder="1" applyFont="1"/>
    <xf borderId="51" fillId="0" fontId="6" numFmtId="0" xfId="0" applyAlignment="1" applyBorder="1" applyFont="1">
      <alignment horizontal="center" shrinkToFit="0" vertical="center" wrapText="1"/>
    </xf>
    <xf borderId="8" fillId="0" fontId="9" numFmtId="0" xfId="0" applyBorder="1" applyFont="1"/>
    <xf borderId="24" fillId="0" fontId="9" numFmtId="0" xfId="0" applyBorder="1" applyFont="1"/>
    <xf borderId="17" fillId="19" fontId="34" numFmtId="0" xfId="0" applyAlignment="1" applyBorder="1" applyFill="1" applyFont="1">
      <alignment horizontal="center" readingOrder="0" shrinkToFit="0" vertical="center" wrapText="1"/>
    </xf>
    <xf borderId="50" fillId="0" fontId="6" numFmtId="2" xfId="0" applyAlignment="1" applyBorder="1" applyFont="1" applyNumberFormat="1">
      <alignment horizontal="center" shrinkToFit="0" vertical="center" wrapText="1"/>
    </xf>
    <xf borderId="17" fillId="20" fontId="34" numFmtId="0" xfId="0" applyAlignment="1" applyBorder="1" applyFill="1" applyFont="1">
      <alignment horizontal="center" readingOrder="0" shrinkToFit="0" vertical="center" wrapText="1"/>
    </xf>
    <xf borderId="5" fillId="21" fontId="34" numFmtId="0" xfId="0" applyAlignment="1" applyBorder="1" applyFill="1" applyFont="1">
      <alignment horizontal="center" shrinkToFit="0" vertical="center" wrapText="1"/>
    </xf>
    <xf borderId="46" fillId="0" fontId="6" numFmtId="2" xfId="0" applyAlignment="1" applyBorder="1" applyFont="1" applyNumberFormat="1">
      <alignment horizontal="center" shrinkToFit="0" vertical="center" wrapText="1"/>
    </xf>
    <xf borderId="5" fillId="15" fontId="43" numFmtId="0" xfId="0" applyAlignment="1" applyBorder="1" applyFont="1">
      <alignment horizontal="center" readingOrder="0" shrinkToFit="0" vertical="center" wrapText="1"/>
    </xf>
    <xf borderId="5" fillId="0" fontId="38" numFmtId="2" xfId="0" applyAlignment="1" applyBorder="1" applyFont="1" applyNumberFormat="1">
      <alignment horizontal="center" readingOrder="0" vertical="center"/>
    </xf>
    <xf borderId="50" fillId="0" fontId="6" numFmtId="0" xfId="0" applyAlignment="1" applyBorder="1" applyFont="1">
      <alignment horizontal="center" shrinkToFit="0" vertical="center" wrapText="1"/>
    </xf>
    <xf borderId="5" fillId="0" fontId="38" numFmtId="2" xfId="0" applyAlignment="1" applyBorder="1" applyFont="1" applyNumberFormat="1">
      <alignment horizontal="center" vertical="center"/>
    </xf>
    <xf borderId="11" fillId="0" fontId="11" numFmtId="0" xfId="0" applyAlignment="1" applyBorder="1" applyFont="1">
      <alignment horizontal="center"/>
    </xf>
    <xf borderId="52" fillId="16" fontId="6" numFmtId="0" xfId="0" applyAlignment="1" applyBorder="1" applyFont="1">
      <alignment horizontal="center" shrinkToFit="0" vertical="center" wrapText="1"/>
    </xf>
    <xf borderId="11" fillId="0" fontId="12" numFmtId="0" xfId="0" applyBorder="1" applyFont="1"/>
    <xf borderId="53" fillId="0" fontId="6" numFmtId="0" xfId="0" applyAlignment="1" applyBorder="1" applyFont="1">
      <alignment horizontal="center" shrinkToFit="0" vertical="center" wrapText="1"/>
    </xf>
    <xf borderId="0" fillId="0" fontId="12" numFmtId="168" xfId="0" applyAlignment="1" applyFont="1" applyNumberFormat="1">
      <alignment shrinkToFit="0" wrapText="1"/>
    </xf>
    <xf borderId="54" fillId="0" fontId="6" numFmtId="2" xfId="0" applyAlignment="1" applyBorder="1" applyFont="1" applyNumberFormat="1">
      <alignment horizontal="center" shrinkToFit="0" vertical="center" wrapText="1"/>
    </xf>
    <xf borderId="11" fillId="0" fontId="12" numFmtId="0" xfId="0" applyAlignment="1" applyBorder="1" applyFont="1">
      <alignment horizontal="center" readingOrder="0" vertical="center"/>
    </xf>
    <xf borderId="0" fillId="0" fontId="4" numFmtId="0" xfId="0" applyAlignment="1" applyFont="1">
      <alignment readingOrder="0"/>
    </xf>
    <xf borderId="5" fillId="0" fontId="12" numFmtId="0" xfId="0" applyAlignment="1" applyBorder="1" applyFont="1">
      <alignment readingOrder="0"/>
    </xf>
    <xf borderId="55" fillId="14" fontId="39" numFmtId="0" xfId="0" applyAlignment="1" applyBorder="1" applyFont="1">
      <alignment horizontal="center" vertical="center"/>
    </xf>
    <xf borderId="56" fillId="0" fontId="6" numFmtId="0" xfId="0" applyAlignment="1" applyBorder="1" applyFont="1">
      <alignment horizontal="center" vertical="center"/>
    </xf>
    <xf borderId="57" fillId="0" fontId="6" numFmtId="0" xfId="0" applyBorder="1" applyFont="1"/>
    <xf borderId="58" fillId="0" fontId="6" numFmtId="0" xfId="0" applyBorder="1" applyFont="1"/>
    <xf borderId="0" fillId="0" fontId="6" numFmtId="0" xfId="0" applyAlignment="1" applyFont="1">
      <alignment horizontal="center" vertical="center"/>
    </xf>
    <xf borderId="5" fillId="15" fontId="43" numFmtId="0" xfId="0" applyAlignment="1" applyBorder="1" applyFont="1">
      <alignment horizontal="center" shrinkToFit="0" vertical="center" wrapText="1"/>
    </xf>
    <xf borderId="5" fillId="0" fontId="12" numFmtId="10" xfId="0" applyBorder="1" applyFont="1" applyNumberFormat="1"/>
    <xf borderId="39" fillId="14" fontId="39" numFmtId="0" xfId="0" applyAlignment="1" applyBorder="1" applyFont="1">
      <alignment horizontal="center" shrinkToFit="0" vertical="center" wrapText="1"/>
    </xf>
    <xf borderId="40" fillId="14" fontId="39" numFmtId="0" xfId="0" applyAlignment="1" applyBorder="1" applyFont="1">
      <alignment horizontal="center" shrinkToFit="0" vertical="center" wrapText="1"/>
    </xf>
    <xf borderId="41" fillId="14" fontId="39" numFmtId="0" xfId="0" applyAlignment="1" applyBorder="1" applyFont="1">
      <alignment horizontal="center" shrinkToFit="0" vertical="center" wrapText="1"/>
    </xf>
    <xf borderId="11" fillId="0" fontId="12" numFmtId="10" xfId="0" applyAlignment="1" applyBorder="1" applyFont="1" applyNumberFormat="1">
      <alignment horizontal="center" vertical="center"/>
    </xf>
    <xf borderId="42" fillId="14" fontId="39" numFmtId="0" xfId="0" applyAlignment="1" applyBorder="1" applyFont="1">
      <alignment horizontal="center" shrinkToFit="0" vertical="center" wrapText="1"/>
    </xf>
    <xf borderId="0" fillId="0" fontId="12" numFmtId="0" xfId="0" applyAlignment="1" applyFont="1">
      <alignment readingOrder="0"/>
    </xf>
    <xf borderId="43" fillId="14" fontId="39" numFmtId="0" xfId="0" applyAlignment="1" applyBorder="1" applyFont="1">
      <alignment horizontal="center" shrinkToFit="0" vertical="center" wrapText="1"/>
    </xf>
    <xf borderId="44" fillId="14" fontId="39" numFmtId="0" xfId="0" applyAlignment="1" applyBorder="1" applyFont="1">
      <alignment horizontal="center" vertical="center"/>
    </xf>
    <xf borderId="5" fillId="0" fontId="12" numFmtId="167" xfId="0" applyAlignment="1" applyBorder="1" applyFont="1" applyNumberFormat="1">
      <alignment horizontal="center" readingOrder="0" vertical="center"/>
    </xf>
    <xf borderId="0" fillId="0" fontId="12" numFmtId="168" xfId="0" applyFont="1" applyNumberFormat="1"/>
    <xf borderId="0" fillId="0" fontId="12" numFmtId="168" xfId="0" applyAlignment="1" applyFont="1" applyNumberFormat="1">
      <alignment readingOrder="0"/>
    </xf>
    <xf borderId="17" fillId="14" fontId="23" numFmtId="0" xfId="0" applyAlignment="1" applyBorder="1" applyFont="1">
      <alignment horizontal="center"/>
    </xf>
    <xf borderId="59" fillId="0" fontId="12" numFmtId="0" xfId="0" applyAlignment="1" applyBorder="1" applyFont="1">
      <alignment horizontal="center" readingOrder="0" vertical="center"/>
    </xf>
    <xf borderId="5" fillId="0" fontId="12" numFmtId="0" xfId="0" applyAlignment="1" applyBorder="1" applyFont="1">
      <alignment horizontal="center" readingOrder="0" vertical="center"/>
    </xf>
    <xf borderId="5" fillId="0" fontId="12" numFmtId="0" xfId="0" applyAlignment="1" applyBorder="1" applyFont="1">
      <alignment horizontal="center" shrinkToFit="0" vertical="center" wrapText="1"/>
    </xf>
    <xf borderId="5" fillId="0" fontId="12" numFmtId="0" xfId="0" applyAlignment="1" applyBorder="1" applyFont="1">
      <alignment horizontal="center" readingOrder="0" shrinkToFit="0" vertical="center" wrapText="1"/>
    </xf>
    <xf borderId="17" fillId="0" fontId="43" numFmtId="2" xfId="0" applyAlignment="1" applyBorder="1" applyFont="1" applyNumberFormat="1">
      <alignment horizontal="center"/>
    </xf>
    <xf borderId="5" fillId="0" fontId="6" numFmtId="0" xfId="0" applyAlignment="1" applyBorder="1" applyFont="1">
      <alignment horizontal="center" shrinkToFit="0" vertical="center" wrapText="1"/>
    </xf>
    <xf borderId="59" fillId="0" fontId="12" numFmtId="10" xfId="0" applyAlignment="1" applyBorder="1" applyFont="1" applyNumberFormat="1">
      <alignment horizontal="center" vertical="center"/>
    </xf>
    <xf borderId="59" fillId="0" fontId="12" numFmtId="0" xfId="0" applyAlignment="1" applyBorder="1" applyFont="1">
      <alignment horizontal="center" vertical="center"/>
    </xf>
    <xf borderId="5" fillId="0" fontId="22" numFmtId="0" xfId="0" applyAlignment="1" applyBorder="1" applyFont="1">
      <alignment readingOrder="0"/>
    </xf>
    <xf borderId="7" fillId="0" fontId="12" numFmtId="0" xfId="0" applyAlignment="1" applyBorder="1" applyFont="1">
      <alignment horizontal="center" readingOrder="0" vertical="center"/>
    </xf>
    <xf borderId="7" fillId="0" fontId="12" numFmtId="10" xfId="0" applyAlignment="1" applyBorder="1" applyFont="1" applyNumberFormat="1">
      <alignment horizontal="center" vertical="center"/>
    </xf>
    <xf borderId="60" fillId="14" fontId="39" numFmtId="0" xfId="0" applyAlignment="1" applyBorder="1" applyFont="1">
      <alignment horizontal="center" vertical="center"/>
    </xf>
    <xf borderId="61" fillId="0" fontId="6" numFmtId="0" xfId="0" applyBorder="1" applyFont="1"/>
    <xf borderId="62" fillId="14" fontId="39" numFmtId="0" xfId="0" applyAlignment="1" applyBorder="1" applyFont="1">
      <alignment horizontal="center" vertical="center"/>
    </xf>
    <xf borderId="63" fillId="0" fontId="9" numFmtId="0" xfId="0" applyBorder="1" applyFont="1"/>
    <xf borderId="7" fillId="0" fontId="12" numFmtId="0" xfId="0" applyAlignment="1" applyBorder="1" applyFont="1">
      <alignment horizontal="center" vertical="center"/>
    </xf>
    <xf borderId="0" fillId="0" fontId="44" numFmtId="0" xfId="0" applyAlignment="1" applyFont="1">
      <alignment horizontal="center"/>
    </xf>
    <xf borderId="64" fillId="14" fontId="39" numFmtId="0" xfId="0" applyAlignment="1" applyBorder="1" applyFont="1">
      <alignment horizontal="center" vertical="center"/>
    </xf>
    <xf borderId="0" fillId="0" fontId="12" numFmtId="0" xfId="0" applyAlignment="1" applyFont="1">
      <alignment horizontal="center"/>
    </xf>
    <xf borderId="65" fillId="0" fontId="9" numFmtId="0" xfId="0" applyBorder="1" applyFont="1"/>
    <xf borderId="66" fillId="0" fontId="9" numFmtId="0" xfId="0" applyBorder="1" applyFont="1"/>
    <xf borderId="17" fillId="0" fontId="44" numFmtId="0" xfId="0" applyAlignment="1" applyBorder="1" applyFont="1">
      <alignment horizontal="center"/>
    </xf>
    <xf borderId="11" fillId="0" fontId="12" numFmtId="0" xfId="0" applyAlignment="1" applyBorder="1" applyFont="1">
      <alignment horizontal="center" vertical="center"/>
    </xf>
    <xf borderId="67" fillId="0" fontId="9" numFmtId="0" xfId="0" applyBorder="1" applyFont="1"/>
    <xf borderId="0" fillId="20" fontId="39" numFmtId="0" xfId="0" applyAlignment="1" applyFont="1">
      <alignment horizontal="center" shrinkToFit="0" vertical="center" wrapText="1"/>
    </xf>
    <xf borderId="17" fillId="20" fontId="39" numFmtId="0" xfId="0" applyAlignment="1" applyBorder="1" applyFont="1">
      <alignment horizontal="center" shrinkToFit="0" vertical="center" wrapText="1"/>
    </xf>
    <xf borderId="12" fillId="0" fontId="44" numFmtId="0" xfId="0" applyAlignment="1" applyBorder="1" applyFont="1">
      <alignment horizontal="center"/>
    </xf>
    <xf borderId="68" fillId="20" fontId="39" numFmtId="0" xfId="0" applyAlignment="1" applyBorder="1" applyFont="1">
      <alignment horizontal="center" shrinkToFit="0" vertical="center" wrapText="1"/>
    </xf>
    <xf borderId="68" fillId="0" fontId="9" numFmtId="0" xfId="0" applyBorder="1" applyFont="1"/>
    <xf borderId="0" fillId="0" fontId="11" numFmtId="0" xfId="0" applyAlignment="1" applyFont="1">
      <alignment shrinkToFit="0" wrapText="1"/>
    </xf>
    <xf borderId="67" fillId="0" fontId="6" numFmtId="0" xfId="0" applyBorder="1" applyFont="1"/>
    <xf borderId="5" fillId="0" fontId="11" numFmtId="0" xfId="0" applyAlignment="1" applyBorder="1" applyFont="1">
      <alignment horizontal="center" shrinkToFit="0" wrapText="1"/>
    </xf>
    <xf borderId="69" fillId="21" fontId="39" numFmtId="0" xfId="0" applyAlignment="1" applyBorder="1" applyFont="1">
      <alignment horizontal="center" shrinkToFit="0" vertical="center" wrapText="1"/>
    </xf>
    <xf borderId="11" fillId="0" fontId="11" numFmtId="0" xfId="0" applyAlignment="1" applyBorder="1" applyFont="1">
      <alignment horizontal="center" shrinkToFit="0" wrapText="1"/>
    </xf>
    <xf borderId="70" fillId="21" fontId="39" numFmtId="0" xfId="0" applyAlignment="1" applyBorder="1" applyFont="1">
      <alignment horizontal="center" shrinkToFit="0" vertical="center" wrapText="1"/>
    </xf>
    <xf borderId="5" fillId="21" fontId="39" numFmtId="0" xfId="0" applyAlignment="1" applyBorder="1" applyFont="1">
      <alignment horizontal="center" shrinkToFit="0" vertical="center" wrapText="1"/>
    </xf>
    <xf borderId="11" fillId="0" fontId="11" numFmtId="0" xfId="0" applyAlignment="1" applyBorder="1" applyFont="1">
      <alignment horizontal="center" readingOrder="0" shrinkToFit="0" wrapText="1"/>
    </xf>
    <xf borderId="16" fillId="21" fontId="39" numFmtId="0" xfId="0" applyAlignment="1" applyBorder="1" applyFont="1">
      <alignment horizontal="center" shrinkToFit="0" vertical="center" wrapText="1"/>
    </xf>
    <xf borderId="71" fillId="21" fontId="39" numFmtId="0" xfId="0" applyAlignment="1" applyBorder="1" applyFont="1">
      <alignment horizontal="center" shrinkToFit="0" vertical="center" wrapText="1"/>
    </xf>
    <xf borderId="72" fillId="21" fontId="39" numFmtId="0" xfId="0" applyAlignment="1" applyBorder="1" applyFont="1">
      <alignment horizontal="center" shrinkToFit="0" vertical="center" wrapText="1"/>
    </xf>
    <xf borderId="73" fillId="21" fontId="39" numFmtId="0" xfId="0" applyAlignment="1" applyBorder="1" applyFont="1">
      <alignment horizontal="center" shrinkToFit="0" vertical="center" wrapText="1"/>
    </xf>
    <xf borderId="74" fillId="21" fontId="39" numFmtId="0" xfId="0" applyAlignment="1" applyBorder="1" applyFont="1">
      <alignment horizontal="center" shrinkToFit="0" vertical="center" wrapText="1"/>
    </xf>
    <xf borderId="8" fillId="0" fontId="11" numFmtId="0" xfId="0" applyAlignment="1" applyBorder="1" applyFont="1">
      <alignment shrinkToFit="0" wrapText="1"/>
    </xf>
    <xf borderId="75" fillId="15" fontId="11" numFmtId="0" xfId="0" applyAlignment="1" applyBorder="1" applyFont="1">
      <alignment horizontal="center" shrinkToFit="0" vertical="center" wrapText="1"/>
    </xf>
    <xf borderId="24" fillId="0" fontId="11" numFmtId="0" xfId="0" applyAlignment="1" applyBorder="1" applyFont="1">
      <alignment shrinkToFit="0" wrapText="1"/>
    </xf>
    <xf borderId="20" fillId="0" fontId="12" numFmtId="2" xfId="0" applyAlignment="1" applyBorder="1" applyFont="1" applyNumberFormat="1">
      <alignment horizontal="center" vertical="center"/>
    </xf>
    <xf borderId="12" fillId="0" fontId="12" numFmtId="0" xfId="0" applyAlignment="1" applyBorder="1" applyFont="1">
      <alignment horizontal="center" readingOrder="0" vertical="center"/>
    </xf>
    <xf borderId="5" fillId="0" fontId="12" numFmtId="0" xfId="0" applyAlignment="1" applyBorder="1" applyFont="1">
      <alignment horizontal="left" readingOrder="0"/>
    </xf>
    <xf borderId="5" fillId="0" fontId="12" numFmtId="2" xfId="0" applyAlignment="1" applyBorder="1" applyFont="1" applyNumberFormat="1">
      <alignment horizontal="center" vertical="center"/>
    </xf>
    <xf borderId="5" fillId="22" fontId="44" numFmtId="0" xfId="0" applyAlignment="1" applyBorder="1" applyFill="1" applyFont="1">
      <alignment horizontal="left" readingOrder="0"/>
    </xf>
    <xf borderId="0" fillId="0" fontId="12" numFmtId="10" xfId="0" applyFont="1" applyNumberFormat="1"/>
    <xf borderId="8" fillId="0" fontId="12" numFmtId="0" xfId="0" applyAlignment="1" applyBorder="1" applyFont="1">
      <alignment readingOrder="0"/>
    </xf>
    <xf borderId="0" fillId="0" fontId="6" numFmtId="168" xfId="0" applyFont="1" applyNumberFormat="1"/>
    <xf borderId="24" fillId="0" fontId="12" numFmtId="10" xfId="0" applyBorder="1" applyFont="1" applyNumberFormat="1"/>
    <xf borderId="10" fillId="0" fontId="12" numFmtId="0" xfId="0" applyAlignment="1" applyBorder="1" applyFont="1">
      <alignment horizontal="center" readingOrder="0" vertical="center"/>
    </xf>
    <xf borderId="17" fillId="0" fontId="12" numFmtId="2" xfId="0" applyAlignment="1" applyBorder="1" applyFont="1" applyNumberFormat="1">
      <alignment horizontal="center" vertical="center"/>
    </xf>
    <xf borderId="5" fillId="0" fontId="12" numFmtId="0" xfId="0" applyAlignment="1" applyBorder="1" applyFont="1">
      <alignment horizontal="center" vertical="center"/>
    </xf>
    <xf borderId="10" fillId="0" fontId="12" numFmtId="0" xfId="0" applyAlignment="1" applyBorder="1" applyFont="1">
      <alignment horizontal="center" vertical="center"/>
    </xf>
    <xf borderId="8" fillId="0" fontId="12" numFmtId="0" xfId="0" applyAlignment="1" applyBorder="1" applyFont="1">
      <alignment horizontal="center" readingOrder="0" vertical="center"/>
    </xf>
    <xf borderId="76" fillId="15" fontId="11" numFmtId="0" xfId="0" applyAlignment="1" applyBorder="1" applyFont="1">
      <alignment horizontal="center" shrinkToFit="0" vertical="center" wrapText="1"/>
    </xf>
    <xf borderId="12" fillId="0" fontId="12" numFmtId="2" xfId="0" applyAlignment="1" applyBorder="1" applyFont="1" applyNumberFormat="1">
      <alignment horizontal="center" vertical="center"/>
    </xf>
    <xf borderId="77" fillId="14" fontId="45" numFmtId="0" xfId="0" applyAlignment="1" applyBorder="1" applyFont="1">
      <alignment horizontal="center"/>
    </xf>
    <xf borderId="8" fillId="0" fontId="12" numFmtId="0" xfId="0" applyAlignment="1" applyBorder="1" applyFont="1">
      <alignment horizontal="center" vertical="center"/>
    </xf>
    <xf borderId="17" fillId="0" fontId="11" numFmtId="2" xfId="0" applyAlignment="1" applyBorder="1" applyFont="1" applyNumberFormat="1">
      <alignment horizontal="center"/>
    </xf>
    <xf borderId="27" fillId="0" fontId="46" numFmtId="0" xfId="0" applyAlignment="1" applyBorder="1" applyFont="1">
      <alignment horizontal="right" readingOrder="0"/>
    </xf>
    <xf borderId="12" fillId="0" fontId="12" numFmtId="0" xfId="0" applyAlignment="1" applyBorder="1" applyFont="1">
      <alignment horizontal="center" vertical="center"/>
    </xf>
    <xf borderId="5" fillId="22" fontId="44" numFmtId="0" xfId="0" applyAlignment="1" applyBorder="1" applyFont="1">
      <alignment readingOrder="0"/>
    </xf>
    <xf borderId="5" fillId="0" fontId="6" numFmtId="0" xfId="0" applyAlignment="1" applyBorder="1" applyFont="1">
      <alignment readingOrder="0"/>
    </xf>
    <xf borderId="5" fillId="22" fontId="47" numFmtId="0" xfId="0" applyAlignment="1" applyBorder="1" applyFont="1">
      <alignment readingOrder="0"/>
    </xf>
    <xf borderId="5" fillId="0" fontId="6" numFmtId="0" xfId="0" applyBorder="1" applyFont="1"/>
    <xf borderId="5" fillId="10" fontId="6" numFmtId="0" xfId="0" applyAlignment="1" applyBorder="1" applyFont="1">
      <alignment horizontal="left" readingOrder="1"/>
    </xf>
    <xf borderId="0" fillId="0" fontId="4" numFmtId="0" xfId="0" applyFont="1"/>
    <xf borderId="0" fillId="0" fontId="4" numFmtId="0" xfId="0" applyFont="1"/>
    <xf borderId="0" fillId="0" fontId="11" numFmtId="0" xfId="0" applyAlignment="1" applyFont="1">
      <alignment horizontal="center"/>
    </xf>
    <xf borderId="0" fillId="0" fontId="11" numFmtId="0" xfId="0" applyFont="1"/>
    <xf borderId="17" fillId="0" fontId="11" numFmtId="0" xfId="0" applyAlignment="1" applyBorder="1" applyFont="1">
      <alignment horizontal="center"/>
    </xf>
    <xf borderId="6" fillId="0" fontId="12" numFmtId="0" xfId="0" applyAlignment="1" applyBorder="1" applyFont="1">
      <alignment horizontal="right"/>
    </xf>
    <xf borderId="15" fillId="0" fontId="9" numFmtId="0" xfId="0" applyBorder="1" applyFont="1"/>
    <xf borderId="8" fillId="0" fontId="12" numFmtId="0" xfId="0" applyBorder="1" applyFont="1"/>
    <xf borderId="6" fillId="0" fontId="9" numFmtId="0" xfId="0" applyBorder="1" applyFont="1"/>
    <xf borderId="27" fillId="0" fontId="11" numFmtId="0" xfId="0" applyAlignment="1" applyBorder="1" applyFont="1">
      <alignment horizontal="center"/>
    </xf>
    <xf borderId="17" fillId="0" fontId="11" numFmtId="0" xfId="0" applyBorder="1" applyFont="1"/>
    <xf borderId="16" fillId="0" fontId="11" numFmtId="0" xfId="0" applyBorder="1" applyFont="1"/>
    <xf borderId="16" fillId="0" fontId="11" numFmtId="0" xfId="0" applyAlignment="1" applyBorder="1" applyFont="1">
      <alignment horizontal="center"/>
    </xf>
    <xf borderId="10" fillId="0" fontId="12" numFmtId="19" xfId="0" applyBorder="1" applyFont="1" applyNumberFormat="1"/>
    <xf borderId="10" fillId="0" fontId="12" numFmtId="0" xfId="0" applyBorder="1" applyFont="1"/>
    <xf borderId="15" fillId="0" fontId="12" numFmtId="0" xfId="0" applyBorder="1" applyFont="1"/>
    <xf borderId="24" fillId="0" fontId="12" numFmtId="0" xfId="0" applyBorder="1" applyFont="1"/>
    <xf borderId="78" fillId="10" fontId="11" numFmtId="0" xfId="0" applyAlignment="1" applyBorder="1" applyFont="1">
      <alignment horizontal="center"/>
    </xf>
    <xf borderId="6" fillId="0" fontId="11" numFmtId="0" xfId="0" applyAlignment="1" applyBorder="1" applyFont="1">
      <alignment horizontal="center"/>
    </xf>
    <xf borderId="79" fillId="23" fontId="11" numFmtId="0" xfId="0" applyAlignment="1" applyBorder="1" applyFill="1" applyFont="1">
      <alignment horizontal="center"/>
    </xf>
    <xf borderId="10" fillId="0" fontId="11" numFmtId="0" xfId="0" applyAlignment="1" applyBorder="1" applyFont="1">
      <alignment horizontal="center"/>
    </xf>
    <xf borderId="80" fillId="23" fontId="11" numFmtId="0" xfId="0" applyAlignment="1" applyBorder="1" applyFont="1">
      <alignment horizontal="center"/>
    </xf>
    <xf borderId="15" fillId="0" fontId="12" numFmtId="0" xfId="0" applyAlignment="1" applyBorder="1" applyFont="1">
      <alignment horizontal="center" readingOrder="0"/>
    </xf>
    <xf borderId="0" fillId="0" fontId="10" numFmtId="0" xfId="0" applyAlignment="1" applyFont="1">
      <alignment readingOrder="0" shrinkToFit="0" wrapText="1"/>
    </xf>
    <xf borderId="0" fillId="0" fontId="12" numFmtId="0" xfId="0" applyAlignment="1" applyFont="1">
      <alignment horizontal="center" readingOrder="0"/>
    </xf>
    <xf borderId="8" fillId="0" fontId="11" numFmtId="0" xfId="0" applyAlignment="1" applyBorder="1" applyFont="1">
      <alignment horizontal="center"/>
    </xf>
    <xf borderId="24" fillId="0" fontId="11" numFmtId="0" xfId="0" applyAlignment="1" applyBorder="1" applyFont="1">
      <alignment horizontal="center"/>
    </xf>
    <xf borderId="15" fillId="0" fontId="11" numFmtId="0" xfId="0" applyAlignment="1" applyBorder="1" applyFont="1">
      <alignment horizontal="center"/>
    </xf>
    <xf borderId="10" fillId="0" fontId="12" numFmtId="0" xfId="0" applyAlignment="1" applyBorder="1" applyFont="1">
      <alignment horizontal="center"/>
    </xf>
    <xf borderId="12" fillId="0" fontId="12" numFmtId="0" xfId="0" applyAlignment="1" applyBorder="1" applyFont="1">
      <alignment horizontal="center"/>
    </xf>
    <xf borderId="13" fillId="0" fontId="12" numFmtId="0" xfId="0" applyAlignment="1" applyBorder="1" applyFont="1">
      <alignment horizontal="center" readingOrder="0"/>
    </xf>
    <xf borderId="15" fillId="0" fontId="12" numFmtId="0" xfId="0" applyAlignment="1" applyBorder="1" applyFont="1">
      <alignment horizontal="center"/>
    </xf>
    <xf borderId="4" fillId="23" fontId="12" numFmtId="0" xfId="0" applyAlignment="1" applyBorder="1" applyFont="1">
      <alignment horizontal="center"/>
    </xf>
    <xf borderId="8" fillId="0" fontId="12" numFmtId="0" xfId="0" applyAlignment="1" applyBorder="1" applyFont="1">
      <alignment horizontal="center"/>
    </xf>
    <xf borderId="24" fillId="0" fontId="12" numFmtId="0" xfId="0" applyAlignment="1" applyBorder="1" applyFont="1">
      <alignment horizontal="center" readingOrder="0"/>
    </xf>
    <xf borderId="81" fillId="23" fontId="12" numFmtId="0" xfId="0" applyAlignment="1" applyBorder="1" applyFont="1">
      <alignment horizontal="center"/>
    </xf>
    <xf borderId="24" fillId="0" fontId="12" numFmtId="0" xfId="0" applyAlignment="1" applyBorder="1" applyFont="1">
      <alignment horizontal="center"/>
    </xf>
    <xf borderId="20" fillId="0" fontId="9" numFmtId="0" xfId="0" applyBorder="1" applyFont="1"/>
    <xf borderId="20" fillId="0" fontId="12" numFmtId="169" xfId="0" applyAlignment="1" applyBorder="1" applyFont="1" applyNumberFormat="1">
      <alignment horizontal="center"/>
    </xf>
    <xf borderId="12" fillId="0" fontId="12" numFmtId="0" xfId="0" applyAlignment="1" applyBorder="1" applyFont="1">
      <alignment horizontal="right"/>
    </xf>
    <xf borderId="13" fillId="0" fontId="12" numFmtId="169" xfId="0" applyAlignment="1" applyBorder="1" applyFont="1" applyNumberFormat="1">
      <alignment horizontal="center"/>
    </xf>
    <xf borderId="13" fillId="0" fontId="12" numFmtId="4" xfId="0" applyAlignment="1" applyBorder="1" applyFont="1" applyNumberFormat="1">
      <alignment horizontal="center"/>
    </xf>
    <xf borderId="0" fillId="0" fontId="12" numFmtId="169" xfId="0" applyFont="1" applyNumberFormat="1"/>
    <xf borderId="10" fillId="0" fontId="12" numFmtId="0" xfId="0" applyAlignment="1" applyBorder="1" applyFont="1">
      <alignment horizontal="right"/>
    </xf>
    <xf borderId="15" fillId="0" fontId="12" numFmtId="4" xfId="0" applyAlignment="1" applyBorder="1" applyFont="1" applyNumberFormat="1">
      <alignment horizontal="center"/>
    </xf>
    <xf borderId="0" fillId="0" fontId="12" numFmtId="169" xfId="0" applyAlignment="1" applyFont="1" applyNumberFormat="1">
      <alignment horizontal="center"/>
    </xf>
    <xf borderId="15" fillId="0" fontId="12" numFmtId="169" xfId="0" applyAlignment="1" applyBorder="1" applyFont="1" applyNumberFormat="1">
      <alignment horizontal="center"/>
    </xf>
    <xf borderId="6" fillId="0" fontId="12" numFmtId="169" xfId="0" applyAlignment="1" applyBorder="1" applyFont="1" applyNumberFormat="1">
      <alignment horizontal="center"/>
    </xf>
    <xf borderId="8" fillId="0" fontId="12" numFmtId="0" xfId="0" applyAlignment="1" applyBorder="1" applyFont="1">
      <alignment horizontal="right"/>
    </xf>
    <xf borderId="24" fillId="0" fontId="12" numFmtId="4" xfId="0" applyAlignment="1" applyBorder="1" applyFont="1" applyNumberFormat="1">
      <alignment horizontal="center"/>
    </xf>
    <xf borderId="5" fillId="0" fontId="11" numFmtId="0" xfId="0" applyAlignment="1" applyBorder="1" applyFont="1">
      <alignment horizontal="center"/>
    </xf>
    <xf borderId="6" fillId="0" fontId="12" numFmtId="0" xfId="0" applyBorder="1" applyFont="1"/>
    <xf borderId="13" fillId="0" fontId="12" numFmtId="0" xfId="0" applyBorder="1" applyFont="1"/>
    <xf borderId="6" fillId="0" fontId="12" numFmtId="0" xfId="0" applyAlignment="1" applyBorder="1" applyFont="1">
      <alignment horizontal="center"/>
    </xf>
    <xf borderId="12" fillId="0" fontId="44" numFmtId="0" xfId="0" applyAlignment="1" applyBorder="1" applyFont="1">
      <alignment horizontal="center" vertical="center"/>
    </xf>
    <xf borderId="20" fillId="0" fontId="44" numFmtId="0" xfId="0" applyAlignment="1" applyBorder="1" applyFont="1">
      <alignment horizontal="center" vertical="center"/>
    </xf>
    <xf borderId="8" fillId="0" fontId="11" numFmtId="0" xfId="0" applyAlignment="1" applyBorder="1" applyFont="1">
      <alignment horizontal="center" vertical="center"/>
    </xf>
    <xf borderId="6" fillId="0" fontId="11" numFmtId="0" xfId="0" applyAlignment="1" applyBorder="1" applyFont="1">
      <alignment horizontal="center" vertical="center"/>
    </xf>
    <xf borderId="24" fillId="0" fontId="11" numFmtId="0" xfId="0" applyAlignment="1" applyBorder="1" applyFont="1">
      <alignment horizontal="center" vertical="center"/>
    </xf>
    <xf borderId="0" fillId="0" fontId="11" numFmtId="0" xfId="0" applyAlignment="1" applyFont="1">
      <alignment horizontal="center" vertical="center"/>
    </xf>
    <xf borderId="5" fillId="0" fontId="11" numFmtId="0" xfId="0" applyBorder="1" applyFont="1"/>
    <xf borderId="8" fillId="0" fontId="12" numFmtId="0" xfId="0" applyAlignment="1" applyBorder="1" applyFont="1">
      <alignment vertical="center"/>
    </xf>
    <xf borderId="7" fillId="0" fontId="12" numFmtId="0" xfId="0" applyAlignment="1" applyBorder="1" applyFont="1">
      <alignment vertical="center"/>
    </xf>
    <xf borderId="24" fillId="0" fontId="48" numFmtId="0" xfId="0" applyAlignment="1" applyBorder="1" applyFont="1">
      <alignment vertical="center"/>
    </xf>
    <xf borderId="7" fillId="0" fontId="12" numFmtId="170" xfId="0" applyAlignment="1" applyBorder="1" applyFont="1" applyNumberFormat="1">
      <alignment vertical="center"/>
    </xf>
    <xf borderId="27" fillId="0" fontId="12" numFmtId="171" xfId="0" applyAlignment="1" applyBorder="1" applyFont="1" applyNumberFormat="1">
      <alignment vertical="center"/>
    </xf>
    <xf borderId="6" fillId="0" fontId="12" numFmtId="171" xfId="0" applyAlignment="1" applyBorder="1" applyFont="1" applyNumberFormat="1">
      <alignment vertical="center"/>
    </xf>
    <xf borderId="24" fillId="0" fontId="12" numFmtId="171" xfId="0" applyAlignment="1" applyBorder="1" applyFont="1" applyNumberFormat="1">
      <alignment vertical="center"/>
    </xf>
    <xf borderId="9" fillId="24" fontId="12" numFmtId="0" xfId="0" applyBorder="1" applyFill="1" applyFont="1"/>
    <xf borderId="11" fillId="0" fontId="12" numFmtId="0" xfId="0" applyAlignment="1" applyBorder="1" applyFont="1">
      <alignment vertical="center"/>
    </xf>
    <xf borderId="11" fillId="0" fontId="49" numFmtId="0" xfId="0" applyAlignment="1" applyBorder="1" applyFont="1">
      <alignment vertical="center"/>
    </xf>
    <xf borderId="59" fillId="0" fontId="12" numFmtId="0" xfId="0" applyAlignment="1" applyBorder="1" applyFont="1">
      <alignment vertical="center"/>
    </xf>
    <xf borderId="0" fillId="0" fontId="12" numFmtId="171" xfId="0" applyAlignment="1" applyFont="1" applyNumberFormat="1">
      <alignment vertical="center"/>
    </xf>
    <xf borderId="15" fillId="0" fontId="12" numFmtId="171" xfId="0" applyAlignment="1" applyBorder="1" applyFont="1" applyNumberFormat="1">
      <alignment vertical="center"/>
    </xf>
    <xf borderId="9" fillId="25" fontId="12" numFmtId="0" xfId="0" applyBorder="1" applyFill="1" applyFont="1"/>
    <xf borderId="10" fillId="0" fontId="9" numFmtId="0" xfId="0" applyBorder="1" applyFont="1"/>
    <xf borderId="59" fillId="0" fontId="50" numFmtId="0" xfId="0" applyAlignment="1" applyBorder="1" applyFont="1">
      <alignment vertical="center"/>
    </xf>
    <xf borderId="59" fillId="0" fontId="9" numFmtId="0" xfId="0" applyBorder="1" applyFont="1"/>
    <xf borderId="82" fillId="3" fontId="12" numFmtId="0" xfId="0" applyBorder="1" applyFont="1"/>
    <xf borderId="20" fillId="0" fontId="51" numFmtId="0" xfId="0" applyAlignment="1" applyBorder="1" applyFont="1">
      <alignment vertical="center"/>
    </xf>
    <xf borderId="12" fillId="0" fontId="12" numFmtId="171" xfId="0" applyAlignment="1" applyBorder="1" applyFont="1" applyNumberFormat="1">
      <alignment vertical="center"/>
    </xf>
    <xf borderId="13" fillId="0" fontId="12" numFmtId="171" xfId="0" applyAlignment="1" applyBorder="1" applyFont="1" applyNumberFormat="1">
      <alignment vertical="center"/>
    </xf>
    <xf borderId="0" fillId="0" fontId="52" numFmtId="0" xfId="0" applyAlignment="1" applyFont="1">
      <alignment vertical="center"/>
    </xf>
    <xf borderId="10" fillId="0" fontId="12" numFmtId="171" xfId="0" applyAlignment="1" applyBorder="1" applyFont="1" applyNumberFormat="1">
      <alignment vertical="center"/>
    </xf>
    <xf borderId="6" fillId="0" fontId="12" numFmtId="0" xfId="0" applyAlignment="1" applyBorder="1" applyFont="1">
      <alignment vertical="center"/>
    </xf>
    <xf borderId="8" fillId="0" fontId="12" numFmtId="171" xfId="0" applyAlignment="1" applyBorder="1" applyFont="1" applyNumberFormat="1">
      <alignment vertical="center"/>
    </xf>
    <xf borderId="15" fillId="0" fontId="53" numFmtId="0" xfId="0" applyAlignment="1" applyBorder="1" applyFont="1">
      <alignment vertical="center"/>
    </xf>
    <xf borderId="20" fillId="0" fontId="12" numFmtId="171" xfId="0" applyAlignment="1" applyBorder="1" applyFont="1" applyNumberFormat="1">
      <alignment vertical="center"/>
    </xf>
    <xf borderId="15" fillId="0" fontId="12" numFmtId="0" xfId="0" applyAlignment="1" applyBorder="1" applyFont="1">
      <alignment vertical="center"/>
    </xf>
    <xf borderId="24" fillId="0" fontId="54" numFmtId="0" xfId="0" applyAlignment="1" applyBorder="1" applyFont="1">
      <alignment vertical="center"/>
    </xf>
    <xf borderId="24" fillId="0" fontId="46" numFmtId="0" xfId="0" applyAlignment="1" applyBorder="1" applyFont="1">
      <alignment vertical="center"/>
    </xf>
    <xf borderId="13" fillId="0" fontId="12" numFmtId="0" xfId="0" applyAlignment="1" applyBorder="1" applyFont="1">
      <alignment vertical="center"/>
    </xf>
    <xf borderId="24" fillId="0" fontId="12" numFmtId="0" xfId="0" applyAlignment="1" applyBorder="1" applyFont="1">
      <alignment vertical="center"/>
    </xf>
    <xf borderId="17" fillId="0" fontId="11" numFmtId="0" xfId="0" applyAlignment="1" applyBorder="1" applyFont="1">
      <alignment horizontal="center" vertical="center"/>
    </xf>
    <xf borderId="16" fillId="0" fontId="46" numFmtId="171" xfId="0" applyAlignment="1" applyBorder="1" applyFont="1" applyNumberFormat="1">
      <alignment vertical="center"/>
    </xf>
    <xf borderId="27" fillId="0" fontId="12" numFmtId="170" xfId="0" applyAlignment="1" applyBorder="1" applyFont="1" applyNumberFormat="1">
      <alignment vertical="center"/>
    </xf>
    <xf borderId="20" fillId="0" fontId="12" numFmtId="0" xfId="0" applyAlignment="1" applyBorder="1" applyFont="1">
      <alignment vertical="center"/>
    </xf>
    <xf borderId="12" fillId="0" fontId="12" numFmtId="0" xfId="0" applyAlignment="1" applyBorder="1" applyFont="1">
      <alignment vertical="center"/>
    </xf>
    <xf borderId="10" fillId="0" fontId="12" numFmtId="0" xfId="0" applyAlignment="1" applyBorder="1" applyFont="1">
      <alignment vertical="center"/>
    </xf>
    <xf borderId="27" fillId="0" fontId="12" numFmtId="0" xfId="0" applyAlignment="1" applyBorder="1" applyFont="1">
      <alignment vertical="center"/>
    </xf>
    <xf borderId="16" fillId="0" fontId="46" numFmtId="0" xfId="0" applyAlignment="1" applyBorder="1" applyFont="1">
      <alignment vertical="center"/>
    </xf>
    <xf borderId="83" fillId="2" fontId="11" numFmtId="0" xfId="0" applyAlignment="1" applyBorder="1" applyFont="1">
      <alignment horizontal="center" shrinkToFit="0" vertical="center" wrapText="1"/>
    </xf>
    <xf borderId="84" fillId="2" fontId="11" numFmtId="0" xfId="0" applyAlignment="1" applyBorder="1" applyFont="1">
      <alignment horizontal="center" shrinkToFit="0" vertical="center" wrapText="1"/>
    </xf>
    <xf borderId="84" fillId="2" fontId="11" numFmtId="0" xfId="0" applyAlignment="1" applyBorder="1" applyFont="1">
      <alignment horizontal="center" vertical="center"/>
    </xf>
    <xf borderId="76" fillId="2" fontId="11" numFmtId="0" xfId="0" applyAlignment="1" applyBorder="1" applyFont="1">
      <alignment horizontal="center" shrinkToFit="0" vertical="center" wrapText="1"/>
    </xf>
    <xf borderId="12" fillId="0" fontId="12" numFmtId="0" xfId="0" applyAlignment="1" applyBorder="1" applyFont="1">
      <alignment horizontal="center" readingOrder="0" shrinkToFit="0" vertical="center" wrapText="1"/>
    </xf>
    <xf borderId="20" fillId="0" fontId="12" numFmtId="0" xfId="0" applyAlignment="1" applyBorder="1" applyFont="1">
      <alignment horizontal="center" readingOrder="0" shrinkToFit="0" vertical="center" wrapText="1"/>
    </xf>
    <xf borderId="20" fillId="0" fontId="12" numFmtId="0" xfId="0" applyAlignment="1" applyBorder="1" applyFont="1">
      <alignment horizontal="center" readingOrder="0" vertical="center"/>
    </xf>
    <xf borderId="13" fillId="0" fontId="12" numFmtId="0" xfId="0" applyAlignment="1" applyBorder="1" applyFont="1">
      <alignment horizontal="center" readingOrder="0" shrinkToFit="0" vertical="center" wrapText="1"/>
    </xf>
    <xf borderId="17" fillId="2" fontId="11" numFmtId="0" xfId="0" applyAlignment="1" applyBorder="1" applyFont="1">
      <alignment horizontal="center" readingOrder="0" shrinkToFit="0" vertical="center" wrapText="1"/>
    </xf>
    <xf borderId="85" fillId="0" fontId="9" numFmtId="0" xfId="0" applyBorder="1" applyFont="1"/>
    <xf borderId="78" fillId="2" fontId="11" numFmtId="0" xfId="0" applyAlignment="1" applyBorder="1" applyFont="1">
      <alignment horizontal="center" shrinkToFit="0" vertical="center" wrapText="1"/>
    </xf>
    <xf borderId="78" fillId="2" fontId="11" numFmtId="0" xfId="0" applyAlignment="1" applyBorder="1" applyFont="1">
      <alignment horizontal="center" readingOrder="0" shrinkToFit="0" vertical="center" wrapText="1"/>
    </xf>
    <xf borderId="75" fillId="2" fontId="11" numFmtId="0" xfId="0" applyAlignment="1" applyBorder="1" applyFont="1">
      <alignment horizontal="center" readingOrder="0" shrinkToFit="0" vertical="center" wrapText="1"/>
    </xf>
    <xf borderId="45" fillId="14" fontId="39" numFmtId="0" xfId="0" applyAlignment="1" applyBorder="1" applyFont="1">
      <alignment horizontal="center" readingOrder="0" shrinkToFit="0" vertical="center" wrapText="1"/>
    </xf>
    <xf borderId="46" fillId="15" fontId="40" numFmtId="0" xfId="0" applyAlignment="1" applyBorder="1" applyFont="1">
      <alignment horizontal="center" readingOrder="0" shrinkToFit="0" vertical="center" wrapText="1"/>
    </xf>
    <xf borderId="47" fillId="14" fontId="39" numFmtId="0" xfId="0" applyAlignment="1" applyBorder="1" applyFont="1">
      <alignment horizontal="center" readingOrder="0" shrinkToFit="0" vertical="center" wrapText="1"/>
    </xf>
    <xf borderId="48" fillId="14" fontId="39" numFmtId="0" xfId="0" applyAlignment="1" applyBorder="1" applyFont="1">
      <alignment horizontal="center" readingOrder="0" shrinkToFit="0" vertical="center" wrapText="1"/>
    </xf>
    <xf borderId="51" fillId="0" fontId="6" numFmtId="0" xfId="0" applyAlignment="1" applyBorder="1" applyFont="1">
      <alignment horizontal="center" readingOrder="0" shrinkToFit="0" vertical="center" wrapText="1"/>
    </xf>
    <xf borderId="50" fillId="0" fontId="6" numFmtId="2" xfId="0" applyAlignment="1" applyBorder="1" applyFont="1" applyNumberFormat="1">
      <alignment horizontal="center" readingOrder="0" shrinkToFit="0" vertical="center" wrapText="1"/>
    </xf>
    <xf borderId="46" fillId="0" fontId="6" numFmtId="2" xfId="0" applyAlignment="1" applyBorder="1" applyFont="1" applyNumberFormat="1">
      <alignment horizontal="center" readingOrder="0" shrinkToFit="0" vertical="center" wrapText="1"/>
    </xf>
    <xf borderId="53" fillId="0" fontId="6" numFmtId="0" xfId="0" applyAlignment="1" applyBorder="1" applyFont="1">
      <alignment horizontal="center" readingOrder="0" shrinkToFit="0" vertical="center" wrapText="1"/>
    </xf>
    <xf borderId="54" fillId="0" fontId="6" numFmtId="2" xfId="0" applyAlignment="1" applyBorder="1" applyFont="1" applyNumberFormat="1">
      <alignment horizontal="center" readingOrder="0" shrinkToFit="0" vertical="center" wrapText="1"/>
    </xf>
    <xf borderId="52" fillId="14" fontId="39" numFmtId="0" xfId="0" applyAlignment="1" applyBorder="1" applyFont="1">
      <alignment horizontal="center" readingOrder="0" shrinkToFit="0" vertical="center" wrapText="1"/>
    </xf>
    <xf borderId="86" fillId="14" fontId="39" numFmtId="0" xfId="0" applyAlignment="1" applyBorder="1" applyFont="1">
      <alignment horizontal="center" readingOrder="0" shrinkToFit="0" vertical="center" wrapText="1"/>
    </xf>
    <xf borderId="87" fillId="14" fontId="39" numFmtId="0" xfId="0" applyAlignment="1" applyBorder="1" applyFont="1">
      <alignment horizontal="center" readingOrder="0" shrinkToFit="0" vertical="center" wrapText="1"/>
    </xf>
    <xf borderId="88" fillId="14" fontId="39" numFmtId="0" xfId="0" applyAlignment="1" applyBorder="1" applyFont="1">
      <alignment horizontal="center" readingOrder="0" shrinkToFit="0" vertical="center" wrapText="1"/>
    </xf>
    <xf borderId="89" fillId="14" fontId="39" numFmtId="0" xfId="0" applyAlignment="1" applyBorder="1" applyFont="1">
      <alignment horizontal="center" readingOrder="0" shrinkToFit="0" vertical="center" wrapText="1"/>
    </xf>
    <xf borderId="90" fillId="14" fontId="39" numFmtId="0" xfId="0" applyAlignment="1" applyBorder="1" applyFont="1">
      <alignment horizontal="center" readingOrder="0" vertical="center"/>
    </xf>
    <xf borderId="91" fillId="0" fontId="12" numFmtId="167" xfId="0" applyAlignment="1" applyBorder="1" applyFont="1" applyNumberFormat="1">
      <alignment horizontal="center" readingOrder="0" vertical="center"/>
    </xf>
    <xf borderId="91" fillId="0" fontId="12" numFmtId="0" xfId="0" applyAlignment="1" applyBorder="1" applyFont="1">
      <alignment horizontal="center" readingOrder="0" vertical="center"/>
    </xf>
    <xf borderId="45" fillId="0" fontId="12" numFmtId="0" xfId="0" applyAlignment="1" applyBorder="1" applyFont="1">
      <alignment horizontal="center" readingOrder="0" shrinkToFit="0" vertical="center" wrapText="1"/>
    </xf>
    <xf borderId="91" fillId="0" fontId="12" numFmtId="0" xfId="0" applyAlignment="1" applyBorder="1" applyFont="1">
      <alignment horizontal="center" readingOrder="0" shrinkToFit="0" vertical="center" wrapText="1"/>
    </xf>
    <xf borderId="45" fillId="0" fontId="12" numFmtId="167" xfId="0" applyAlignment="1" applyBorder="1" applyFont="1" applyNumberFormat="1">
      <alignment horizontal="center" readingOrder="0" vertical="center"/>
    </xf>
    <xf borderId="45" fillId="0" fontId="12" numFmtId="0" xfId="0" applyAlignment="1" applyBorder="1" applyFont="1">
      <alignment horizontal="center" readingOrder="0" vertical="center"/>
    </xf>
    <xf borderId="92" fillId="14" fontId="39" numFmtId="0" xfId="0" applyAlignment="1" applyBorder="1" applyFont="1">
      <alignment horizontal="center" readingOrder="0" vertical="center"/>
    </xf>
    <xf borderId="52" fillId="14" fontId="39" numFmtId="0" xfId="0" applyAlignment="1" applyBorder="1" applyFont="1">
      <alignment horizontal="center" shrinkToFit="0" vertical="center" wrapText="1"/>
    </xf>
    <xf borderId="86" fillId="14" fontId="39" numFmtId="0" xfId="0" applyAlignment="1" applyBorder="1" applyFont="1">
      <alignment horizontal="center" shrinkToFit="0" vertical="center" wrapText="1"/>
    </xf>
    <xf borderId="93" fillId="14" fontId="39" numFmtId="0" xfId="0" applyAlignment="1" applyBorder="1" applyFont="1">
      <alignment horizontal="center" vertical="center"/>
    </xf>
    <xf borderId="94" fillId="0" fontId="9" numFmtId="0" xfId="0" applyBorder="1" applyFont="1"/>
    <xf borderId="87" fillId="14" fontId="39" numFmtId="0" xfId="0" applyAlignment="1" applyBorder="1" applyFont="1">
      <alignment horizontal="center" shrinkToFit="0" vertical="center" wrapText="1"/>
    </xf>
    <xf borderId="95" fillId="0" fontId="9" numFmtId="0" xfId="0" applyBorder="1" applyFont="1"/>
    <xf borderId="96" fillId="20" fontId="39" numFmtId="0" xfId="0" applyAlignment="1" applyBorder="1" applyFont="1">
      <alignment horizontal="center" shrinkToFit="0" vertical="center" wrapText="1"/>
    </xf>
    <xf borderId="97" fillId="0" fontId="9" numFmtId="0" xfId="0" applyBorder="1" applyFont="1"/>
    <xf borderId="88" fillId="14" fontId="39" numFmtId="0" xfId="0" applyAlignment="1" applyBorder="1" applyFont="1">
      <alignment horizontal="center" shrinkToFit="0" vertical="center" wrapText="1"/>
    </xf>
    <xf borderId="98" fillId="20" fontId="39" numFmtId="0" xfId="0" applyAlignment="1" applyBorder="1" applyFont="1">
      <alignment horizontal="center" shrinkToFit="0" vertical="center" wrapText="1"/>
    </xf>
    <xf borderId="89" fillId="14" fontId="39" numFmtId="0" xfId="0" applyAlignment="1" applyBorder="1" applyFont="1">
      <alignment horizontal="center" shrinkToFit="0" vertical="center" wrapText="1"/>
    </xf>
    <xf borderId="99" fillId="0" fontId="9" numFmtId="0" xfId="0" applyBorder="1" applyFont="1"/>
    <xf borderId="77" fillId="20" fontId="39" numFmtId="0" xfId="0" applyAlignment="1" applyBorder="1" applyFont="1">
      <alignment horizontal="center" shrinkToFit="0" vertical="center" wrapText="1"/>
    </xf>
    <xf borderId="69" fillId="21" fontId="39" numFmtId="0" xfId="0" applyAlignment="1" applyBorder="1" applyFont="1">
      <alignment horizontal="center" readingOrder="0" shrinkToFit="0" vertical="center" wrapText="1"/>
    </xf>
    <xf borderId="74" fillId="21" fontId="39" numFmtId="0" xfId="0" applyAlignment="1" applyBorder="1" applyFont="1">
      <alignment horizontal="center" readingOrder="0" shrinkToFit="0" vertical="center" wrapText="1"/>
    </xf>
    <xf borderId="100" fillId="21" fontId="39" numFmtId="0" xfId="0" applyAlignment="1" applyBorder="1" applyFont="1">
      <alignment horizontal="center" readingOrder="0" shrinkToFit="0" vertical="center" wrapText="1"/>
    </xf>
    <xf borderId="101" fillId="21" fontId="39" numFmtId="0" xfId="0" applyAlignment="1" applyBorder="1" applyFont="1">
      <alignment horizontal="center" readingOrder="0" shrinkToFit="0" vertical="center" wrapText="1"/>
    </xf>
    <xf borderId="79" fillId="21" fontId="39" numFmtId="0" xfId="0" applyAlignment="1" applyBorder="1" applyFont="1">
      <alignment horizontal="center" readingOrder="0" shrinkToFit="0" vertical="center" wrapText="1"/>
    </xf>
    <xf borderId="102" fillId="21" fontId="39" numFmtId="0" xfId="0" applyAlignment="1" applyBorder="1" applyFont="1">
      <alignment horizontal="center" readingOrder="0" shrinkToFit="0" vertical="center" wrapText="1"/>
    </xf>
    <xf borderId="75" fillId="15" fontId="11" numFmtId="0" xfId="0" applyAlignment="1" applyBorder="1" applyFont="1">
      <alignment horizontal="center" readingOrder="0" shrinkToFit="0" vertical="center" wrapText="1"/>
    </xf>
    <xf borderId="20" fillId="0" fontId="12" numFmtId="2" xfId="0" applyAlignment="1" applyBorder="1" applyFont="1" applyNumberFormat="1">
      <alignment horizontal="center" readingOrder="0" vertical="center"/>
    </xf>
    <xf borderId="100" fillId="0" fontId="12" numFmtId="0" xfId="0" applyAlignment="1" applyBorder="1" applyFont="1">
      <alignment horizontal="center" readingOrder="0" vertical="center"/>
    </xf>
    <xf borderId="101" fillId="0" fontId="12" numFmtId="2" xfId="0" applyAlignment="1" applyBorder="1" applyFont="1" applyNumberFormat="1">
      <alignment horizontal="center" readingOrder="0" vertical="center"/>
    </xf>
    <xf borderId="103" fillId="0" fontId="12" numFmtId="0" xfId="0" applyAlignment="1" applyBorder="1" applyFont="1">
      <alignment horizontal="center" readingOrder="0" vertical="center"/>
    </xf>
    <xf borderId="104" fillId="0" fontId="12" numFmtId="2" xfId="0" applyAlignment="1" applyBorder="1" applyFont="1" applyNumberFormat="1">
      <alignment horizontal="center" readingOrder="0" vertical="center"/>
    </xf>
    <xf borderId="105" fillId="0" fontId="12" numFmtId="0" xfId="0" applyAlignment="1" applyBorder="1" applyFont="1">
      <alignment horizontal="center" readingOrder="0" vertical="center"/>
    </xf>
    <xf borderId="61" fillId="0" fontId="12" numFmtId="2" xfId="0" applyAlignment="1" applyBorder="1" applyFont="1" applyNumberFormat="1">
      <alignment horizontal="center" readingOrder="0" vertical="center"/>
    </xf>
    <xf borderId="93" fillId="14" fontId="39" numFmtId="0" xfId="0" applyAlignment="1" applyBorder="1" applyFont="1">
      <alignment horizontal="center" readingOrder="0" vertical="center"/>
    </xf>
    <xf borderId="106" fillId="0" fontId="12" numFmtId="0" xfId="0" applyAlignment="1" applyBorder="1" applyFont="1">
      <alignment horizontal="center" readingOrder="0" vertical="center"/>
    </xf>
    <xf borderId="107" fillId="0" fontId="12" numFmtId="0" xfId="0" applyAlignment="1" applyBorder="1" applyFont="1">
      <alignment horizontal="center" readingOrder="0" vertical="center"/>
    </xf>
    <xf borderId="96" fillId="20" fontId="39" numFmtId="0" xfId="0" applyAlignment="1" applyBorder="1" applyFont="1">
      <alignment horizontal="center" readingOrder="0" shrinkToFit="0" vertical="center" wrapText="1"/>
    </xf>
    <xf borderId="108" fillId="0" fontId="12" numFmtId="2" xfId="0" applyAlignment="1" applyBorder="1" applyFont="1" applyNumberFormat="1">
      <alignment horizontal="center" readingOrder="0" vertical="center"/>
    </xf>
    <xf borderId="98" fillId="20" fontId="39" numFmtId="0" xfId="0" applyAlignment="1" applyBorder="1" applyFont="1">
      <alignment horizontal="center" readingOrder="0" shrinkToFit="0" vertical="center" wrapText="1"/>
    </xf>
    <xf borderId="17" fillId="0" fontId="12" numFmtId="2" xfId="0" applyAlignment="1" applyBorder="1" applyFont="1" applyNumberFormat="1">
      <alignment horizontal="center" readingOrder="0" vertical="center"/>
    </xf>
    <xf borderId="77" fillId="20" fontId="39" numFmtId="0" xfId="0" applyAlignment="1" applyBorder="1" applyFont="1">
      <alignment horizontal="center" readingOrder="0" shrinkToFit="0" vertical="center" wrapText="1"/>
    </xf>
    <xf borderId="109" fillId="0" fontId="12" numFmtId="0" xfId="0" applyAlignment="1" applyBorder="1" applyFont="1">
      <alignment horizontal="center" readingOrder="0" vertical="center"/>
    </xf>
    <xf borderId="76" fillId="15" fontId="11" numFmtId="0" xfId="0" applyAlignment="1" applyBorder="1" applyFont="1">
      <alignment horizontal="center" readingOrder="0" shrinkToFit="0" vertical="center" wrapText="1"/>
    </xf>
    <xf borderId="12" fillId="0" fontId="12" numFmtId="2" xfId="0" applyAlignment="1" applyBorder="1" applyFont="1" applyNumberFormat="1">
      <alignment horizontal="center" readingOrder="0" vertical="center"/>
    </xf>
    <xf borderId="110" fillId="0" fontId="12" numFmtId="0" xfId="0" applyAlignment="1" applyBorder="1" applyFont="1">
      <alignment horizontal="center" readingOrder="0" vertical="center"/>
    </xf>
    <xf borderId="111" fillId="0" fontId="12" numFmtId="2" xfId="0" applyAlignment="1" applyBorder="1" applyFont="1" applyNumberFormat="1">
      <alignment horizontal="center" readingOrder="0" vertical="center"/>
    </xf>
    <xf borderId="112" fillId="0" fontId="12" numFmtId="0" xfId="0" applyAlignment="1" applyBorder="1" applyFont="1">
      <alignment horizontal="center" readingOrder="0" vertical="center"/>
    </xf>
    <xf borderId="113" fillId="0" fontId="12" numFmtId="2" xfId="0" applyAlignment="1" applyBorder="1" applyFont="1" applyNumberFormat="1">
      <alignment horizontal="center" readingOrder="0" vertical="center"/>
    </xf>
    <xf borderId="114" fillId="0" fontId="12" numFmtId="0" xfId="0" applyAlignment="1" applyBorder="1" applyFont="1">
      <alignment horizontal="center" readingOrder="0" vertical="center"/>
    </xf>
    <xf borderId="115" fillId="0" fontId="12" numFmtId="2" xfId="0" applyAlignment="1" applyBorder="1" applyFont="1" applyNumberFormat="1">
      <alignment horizontal="center" readingOrder="0" vertical="center"/>
    </xf>
    <xf borderId="116" fillId="26" fontId="11" numFmtId="2" xfId="0" applyAlignment="1" applyBorder="1" applyFill="1" applyFont="1" applyNumberFormat="1">
      <alignment horizontal="center"/>
    </xf>
    <xf borderId="117" fillId="0" fontId="9" numFmtId="0" xfId="0" applyBorder="1" applyFont="1"/>
    <xf borderId="118" fillId="0" fontId="11" numFmtId="2" xfId="0" applyAlignment="1" applyBorder="1" applyFont="1" applyNumberFormat="1">
      <alignment horizontal="center"/>
    </xf>
    <xf borderId="119" fillId="0" fontId="9" numFmtId="0" xfId="0" applyBorder="1" applyFont="1"/>
    <xf borderId="120" fillId="0" fontId="6" numFmtId="0" xfId="0" applyBorder="1" applyFont="1"/>
    <xf borderId="63" fillId="0" fontId="6" numFmtId="0" xfId="0" applyBorder="1" applyFont="1"/>
    <xf borderId="0" fillId="0" fontId="4" numFmtId="0" xfId="0" applyAlignment="1" applyFont="1">
      <alignment readingOrder="0" shrinkToFit="0" vertical="center" wrapText="1"/>
    </xf>
    <xf borderId="8" fillId="0" fontId="12" numFmtId="19" xfId="0" applyBorder="1" applyFont="1" applyNumberFormat="1"/>
    <xf borderId="0" fillId="0" fontId="12" numFmtId="19" xfId="0" applyFont="1" applyNumberFormat="1"/>
  </cellXfs>
  <cellStyles count="1">
    <cellStyle xfId="0" name="Normal" builtinId="0"/>
  </cellStyles>
  <dxfs count="7">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
      <font/>
      <fill>
        <patternFill patternType="solid">
          <fgColor rgb="FFF4C7C3"/>
          <bgColor rgb="FFF4C7C3"/>
        </patternFill>
      </fill>
      <border/>
    </dxf>
    <dxf>
      <font>
        <i/>
      </font>
      <fill>
        <patternFill patternType="none"/>
      </fill>
      <border/>
    </dxf>
    <dxf>
      <font>
        <b/>
      </font>
      <fill>
        <patternFill patternType="none"/>
      </fill>
      <border/>
    </dxf>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in Each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2022668192"/>
        <c:axId val="695166004"/>
      </c:areaChart>
      <c:catAx>
        <c:axId val="2022668192"/>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695166004"/>
      </c:catAx>
      <c:valAx>
        <c:axId val="6951660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022668192"/>
      </c:valAx>
    </c:plotArea>
    <c:legend>
      <c:legendPos val="r"/>
      <c:overlay val="0"/>
      <c:txPr>
        <a:bodyPr/>
        <a:lstStyle/>
        <a:p>
          <a:pPr lvl="0">
            <a:defRPr b="0" i="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 Generation by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1867429832"/>
        <c:axId val="284764765"/>
      </c:areaChart>
      <c:lineChart>
        <c:varyColors val="0"/>
        <c:ser>
          <c:idx val="7"/>
          <c:order val="7"/>
          <c:tx>
            <c:v>Generated Power (Solar)</c:v>
          </c:tx>
          <c:spPr>
            <a:ln cmpd="sng" w="19050">
              <a:solidFill>
                <a:srgbClr val="F07B72">
                  <a:alpha val="100000"/>
                </a:srgbClr>
              </a:solidFill>
            </a:ln>
          </c:spPr>
          <c:marker>
            <c:symbol val="none"/>
          </c:marker>
          <c:cat>
            <c:strRef>
              <c:f>'3. Mode Plot Data'!$A$3:$A$236</c:f>
            </c:strRef>
          </c:cat>
          <c:val>
            <c:numRef>
              <c:f>'3. Mode Plot Data'!$D$3:$D$236</c:f>
              <c:numCache/>
            </c:numRef>
          </c:val>
          <c:smooth val="0"/>
        </c:ser>
        <c:axId val="1867429832"/>
        <c:axId val="284764765"/>
      </c:lineChart>
      <c:catAx>
        <c:axId val="1867429832"/>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84764765"/>
      </c:catAx>
      <c:valAx>
        <c:axId val="2847647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867429832"/>
      </c:valAx>
    </c:plotArea>
    <c:legend>
      <c:legendPos val="r"/>
      <c:overlay val="0"/>
      <c:txPr>
        <a:bodyPr/>
        <a:lstStyle/>
        <a:p>
          <a:pPr lvl="0">
            <a:defRPr b="0" i="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Generated Power over 24 Hours</a:t>
            </a:r>
          </a:p>
        </c:rich>
      </c:tx>
      <c:layout>
        <c:manualLayout>
          <c:xMode val="edge"/>
          <c:yMode val="edge"/>
          <c:x val="0.03258333333333333"/>
          <c:y val="0.05"/>
        </c:manualLayout>
      </c:layout>
      <c:overlay val="0"/>
    </c:title>
    <c:plotArea>
      <c:layout/>
      <c:areaChart>
        <c:ser>
          <c:idx val="0"/>
          <c:order val="0"/>
          <c:tx>
            <c:v>Generated Power (Solar)</c:v>
          </c:tx>
          <c:spPr>
            <a:solidFill>
              <a:srgbClr val="46BDC6">
                <a:alpha val="30000"/>
              </a:srgbClr>
            </a:solidFill>
            <a:ln cmpd="sng">
              <a:solidFill>
                <a:srgbClr val="46BDC6"/>
              </a:solidFill>
            </a:ln>
          </c:spPr>
          <c:cat>
            <c:strRef>
              <c:f>'3. Mode Plot Data'!$A$3:$A$236</c:f>
            </c:strRef>
          </c:cat>
          <c:val>
            <c:numRef>
              <c:f>'3. Mode Plot Data'!$D$3:$D$236</c:f>
              <c:numCache/>
            </c:numRef>
          </c:val>
        </c:ser>
        <c:axId val="487655436"/>
        <c:axId val="648249572"/>
      </c:areaChart>
      <c:catAx>
        <c:axId val="487655436"/>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648249572"/>
      </c:catAx>
      <c:valAx>
        <c:axId val="6482495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487655436"/>
      </c:valAx>
    </c:plotArea>
    <c:legend>
      <c:legendPos val="r"/>
      <c:overlay val="0"/>
      <c:txPr>
        <a:bodyPr/>
        <a:lstStyle/>
        <a:p>
          <a:pPr lvl="0">
            <a:defRPr b="0" i="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Orbit</a:t>
            </a:r>
          </a:p>
        </c:rich>
      </c:tx>
      <c:overlay val="0"/>
    </c:title>
    <c:plotArea>
      <c:layout/>
      <c:lineChart>
        <c:ser>
          <c:idx val="0"/>
          <c:order val="0"/>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ser>
          <c:idx val="1"/>
          <c:order val="1"/>
          <c:tx>
            <c:v>Power Balance (W)</c:v>
          </c:tx>
          <c:spPr>
            <a:ln cmpd="sng">
              <a:solidFill>
                <a:srgbClr val="EA4335"/>
              </a:solidFill>
            </a:ln>
          </c:spPr>
          <c:marker>
            <c:symbol val="none"/>
          </c:marker>
          <c:cat>
            <c:strRef>
              <c:f>'3a. Typical Mode Sequence (Powe'!$A$3:$A$92</c:f>
            </c:strRef>
          </c:cat>
          <c:val>
            <c:numRef>
              <c:f>'3a. Typical Mode Sequence (Powe'!$E$3:$E$92</c:f>
              <c:numCache/>
            </c:numRef>
          </c:val>
          <c:smooth val="1"/>
        </c:ser>
        <c:axId val="1168491695"/>
        <c:axId val="1013014585"/>
      </c:lineChart>
      <c:catAx>
        <c:axId val="116849169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013014585"/>
      </c:catAx>
      <c:valAx>
        <c:axId val="1013014585"/>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168491695"/>
      </c:valAx>
    </c:plotArea>
    <c:legend>
      <c:legendPos val="r"/>
      <c:overlay val="0"/>
      <c:txPr>
        <a:bodyPr/>
        <a:lstStyle/>
        <a:p>
          <a:pPr lvl="0">
            <a:defRPr b="0" i="0">
              <a:solidFill>
                <a:schemeClr val="dk1"/>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Generation vs. Power Consumption for a Single Orbit </a:t>
            </a:r>
          </a:p>
        </c:rich>
      </c:tx>
      <c:overlay val="0"/>
    </c:title>
    <c:plotArea>
      <c:layout/>
      <c:lineChart>
        <c:ser>
          <c:idx val="0"/>
          <c:order val="0"/>
          <c:tx>
            <c:v>Power Consumption (W)</c:v>
          </c:tx>
          <c:spPr>
            <a:ln cmpd="sng">
              <a:solidFill>
                <a:srgbClr val="FF0000"/>
              </a:solidFill>
            </a:ln>
          </c:spPr>
          <c:marker>
            <c:symbol val="none"/>
          </c:marker>
          <c:cat>
            <c:strRef>
              <c:f>'3a. Typical Mode Sequence (Powe'!$A$3:$A$92</c:f>
            </c:strRef>
          </c:cat>
          <c:val>
            <c:numRef>
              <c:f>'3a. Typical Mode Sequence (Powe'!$C$3:$C$92</c:f>
              <c:numCache/>
            </c:numRef>
          </c:val>
          <c:smooth val="1"/>
        </c:ser>
        <c:ser>
          <c:idx val="1"/>
          <c:order val="1"/>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axId val="1396872099"/>
        <c:axId val="340241920"/>
      </c:lineChart>
      <c:catAx>
        <c:axId val="1396872099"/>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340241920"/>
      </c:catAx>
      <c:valAx>
        <c:axId val="340241920"/>
        <c:scaling>
          <c:orientation val="minMax"/>
          <c:max val="1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396872099"/>
      </c:valAx>
    </c:plotArea>
    <c:legend>
      <c:legendPos val="r"/>
      <c:overlay val="0"/>
      <c:txPr>
        <a:bodyPr/>
        <a:lstStyle/>
        <a:p>
          <a:pPr lvl="0">
            <a:defRPr b="0" i="0">
              <a:solidFill>
                <a:schemeClr val="dk1"/>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Orbit</a:t>
            </a:r>
          </a:p>
        </c:rich>
      </c:tx>
      <c:overlay val="0"/>
    </c:title>
    <c:plotArea>
      <c:layout/>
      <c:lineChart>
        <c:varyColors val="0"/>
        <c:ser>
          <c:idx val="0"/>
          <c:order val="0"/>
          <c:tx>
            <c:v>Battery Charge (Wh)</c:v>
          </c:tx>
          <c:spPr>
            <a:ln cmpd="sng" w="38100">
              <a:solidFill>
                <a:srgbClr val="34A853">
                  <a:alpha val="100000"/>
                </a:srgbClr>
              </a:solidFill>
            </a:ln>
          </c:spPr>
          <c:marker>
            <c:symbol val="circle"/>
            <c:size val="2"/>
            <c:spPr>
              <a:solidFill>
                <a:srgbClr val="34A853">
                  <a:alpha val="100000"/>
                </a:srgbClr>
              </a:solidFill>
              <a:ln cmpd="sng">
                <a:solidFill>
                  <a:srgbClr val="34A853">
                    <a:alpha val="100000"/>
                  </a:srgbClr>
                </a:solidFill>
              </a:ln>
            </c:spPr>
          </c:marker>
          <c:trendline>
            <c:name>Trendline for Battery Charge</c:name>
            <c:spPr>
              <a:ln w="19050">
                <a:solidFill>
                  <a:srgbClr val="000000">
                    <a:alpha val="0"/>
                  </a:srgbClr>
                </a:solidFill>
              </a:ln>
            </c:spPr>
            <c:trendlineType val="linear"/>
            <c:dispRSqr val="0"/>
            <c:dispEq val="0"/>
          </c:trendline>
          <c:cat>
            <c:strRef>
              <c:f>'3a. Typical Mode Sequence (Powe'!$A$3:$A$92</c:f>
            </c:strRef>
          </c:cat>
          <c:val>
            <c:numRef>
              <c:f>'3a. Typical Mode Sequence (Powe'!$F$3:$F$92</c:f>
              <c:numCache/>
            </c:numRef>
          </c:val>
          <c:smooth val="1"/>
        </c:ser>
        <c:axId val="1656976568"/>
        <c:axId val="2010615065"/>
      </c:lineChart>
      <c:catAx>
        <c:axId val="1656976568"/>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010615065"/>
      </c:catAx>
      <c:valAx>
        <c:axId val="2010615065"/>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656976568"/>
      </c:valAx>
    </c:plotArea>
    <c:legend>
      <c:legendPos val="r"/>
      <c:overlay val="0"/>
      <c:txPr>
        <a:bodyPr/>
        <a:lstStyle/>
        <a:p>
          <a:pPr lvl="0">
            <a:defRPr b="0" i="0">
              <a:solidFill>
                <a:schemeClr val="dk1"/>
              </a:solidFill>
              <a:latin typeface="Arial"/>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Day (24Hr)</a:t>
            </a:r>
          </a:p>
        </c:rich>
      </c:tx>
      <c:layout>
        <c:manualLayout>
          <c:xMode val="edge"/>
          <c:yMode val="edge"/>
          <c:x val="0.03258333333333333"/>
          <c:y val="0.04191374663072776"/>
        </c:manualLayout>
      </c:layout>
      <c:overlay val="0"/>
    </c:title>
    <c:plotArea>
      <c:layout/>
      <c:lineChart>
        <c:ser>
          <c:idx val="0"/>
          <c:order val="0"/>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ser>
          <c:idx val="1"/>
          <c:order val="1"/>
          <c:tx>
            <c:v>Power Balance (W)</c:v>
          </c:tx>
          <c:spPr>
            <a:ln cmpd="sng">
              <a:solidFill>
                <a:srgbClr val="FF0000"/>
              </a:solidFill>
            </a:ln>
          </c:spPr>
          <c:marker>
            <c:symbol val="none"/>
          </c:marker>
          <c:cat>
            <c:strRef>
              <c:f>'3a. Typical Mode Sequence (Powe'!$A$3:$A$248</c:f>
            </c:strRef>
          </c:cat>
          <c:val>
            <c:numRef>
              <c:f>'3a. Typical Mode Sequence (Powe'!$E$3:$E$248</c:f>
              <c:numCache/>
            </c:numRef>
          </c:val>
          <c:smooth val="1"/>
        </c:ser>
        <c:axId val="350574410"/>
        <c:axId val="2145488040"/>
      </c:lineChart>
      <c:catAx>
        <c:axId val="350574410"/>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145488040"/>
      </c:catAx>
      <c:valAx>
        <c:axId val="2145488040"/>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chemeClr val="dk1"/>
                    </a:solidFill>
                    <a:latin typeface="Arial"/>
                  </a:defRPr>
                </a:pPr>
                <a:r>
                  <a:rPr b="0" i="0">
                    <a:solidFill>
                      <a:schemeClr val="dk1"/>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350574410"/>
      </c:valAx>
    </c:plotArea>
    <c:legend>
      <c:legendPos val="r"/>
      <c:overlay val="0"/>
      <c:txPr>
        <a:bodyPr/>
        <a:lstStyle/>
        <a:p>
          <a:pPr lvl="0">
            <a:defRPr b="0" i="0">
              <a:solidFill>
                <a:schemeClr val="dk1"/>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Day (24Hr)</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'3a. Typical Mode Sequence (Powe'!$A$3:$A$248</c:f>
            </c:strRef>
          </c:cat>
          <c:val>
            <c:numRef>
              <c:f>'3a. Typical Mode Sequence (Powe'!$F$3:$F$248</c:f>
              <c:numCache/>
            </c:numRef>
          </c:val>
          <c:smooth val="1"/>
        </c:ser>
        <c:axId val="81398368"/>
        <c:axId val="598593380"/>
      </c:lineChart>
      <c:catAx>
        <c:axId val="81398368"/>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598593380"/>
      </c:catAx>
      <c:valAx>
        <c:axId val="598593380"/>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81398368"/>
      </c:valAx>
    </c:plotArea>
    <c:legend>
      <c:legendPos val="r"/>
      <c:overlay val="0"/>
      <c:txPr>
        <a:bodyPr/>
        <a:lstStyle/>
        <a:p>
          <a:pPr lvl="0">
            <a:defRPr b="0" i="0">
              <a:solidFill>
                <a:srgbClr val="1A1A1A"/>
              </a:solidFill>
              <a:latin typeface="Arial"/>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vs. Power Consumption for a Single Day (24Hr)</a:t>
            </a:r>
          </a:p>
        </c:rich>
      </c:tx>
      <c:overlay val="0"/>
    </c:title>
    <c:plotArea>
      <c:layout/>
      <c:lineChart>
        <c:ser>
          <c:idx val="0"/>
          <c:order val="0"/>
          <c:tx>
            <c:v>Power Consumption (W)</c:v>
          </c:tx>
          <c:spPr>
            <a:ln cmpd="sng">
              <a:solidFill>
                <a:srgbClr val="FF0000"/>
              </a:solidFill>
            </a:ln>
          </c:spPr>
          <c:marker>
            <c:symbol val="none"/>
          </c:marker>
          <c:cat>
            <c:strRef>
              <c:f>'3a. Typical Mode Sequence (Powe'!$A$3:$A$248</c:f>
            </c:strRef>
          </c:cat>
          <c:val>
            <c:numRef>
              <c:f>'3a. Typical Mode Sequence (Powe'!$C$3:$C$248</c:f>
              <c:numCache/>
            </c:numRef>
          </c:val>
          <c:smooth val="1"/>
        </c:ser>
        <c:ser>
          <c:idx val="1"/>
          <c:order val="1"/>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axId val="1252206977"/>
        <c:axId val="975976877"/>
      </c:lineChart>
      <c:catAx>
        <c:axId val="1252206977"/>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975976877"/>
      </c:catAx>
      <c:valAx>
        <c:axId val="975976877"/>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252206977"/>
      </c:valAx>
    </c:plotArea>
    <c:legend>
      <c:legendPos val="r"/>
      <c:overlay val="0"/>
      <c:txPr>
        <a:bodyPr/>
        <a:lstStyle/>
        <a:p>
          <a:pPr lvl="0">
            <a:defRPr b="0" i="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Orbit</a:t>
            </a:r>
          </a:p>
        </c:rich>
      </c:tx>
      <c:overlay val="0"/>
    </c:title>
    <c:plotArea>
      <c:layout/>
      <c:lineChart>
        <c:ser>
          <c:idx val="0"/>
          <c:order val="0"/>
          <c:tx>
            <c:v>Energy Used (Wh)</c:v>
          </c:tx>
          <c:spPr>
            <a:ln cmpd="sng">
              <a:solidFill>
                <a:srgbClr val="FF0000"/>
              </a:solidFill>
            </a:ln>
          </c:spPr>
          <c:marker>
            <c:symbol val="none"/>
          </c:marker>
          <c:cat>
            <c:strRef>
              <c:f>'3b. Typical Mode Sequence (Ener'!$B$3:$B$92</c:f>
            </c:strRef>
          </c:cat>
          <c:val>
            <c:numRef>
              <c:f>'3b. Typical Mode Sequence (Ener'!$D$3:$D$92</c:f>
              <c:numCache/>
            </c:numRef>
          </c:val>
          <c:smooth val="1"/>
        </c:ser>
        <c:ser>
          <c:idx val="1"/>
          <c:order val="1"/>
          <c:tx>
            <c:v>Energy Generated (Wh)</c:v>
          </c:tx>
          <c:spPr>
            <a:ln cmpd="sng">
              <a:solidFill>
                <a:srgbClr val="0000FF"/>
              </a:solidFill>
            </a:ln>
          </c:spPr>
          <c:marker>
            <c:symbol val="none"/>
          </c:marker>
          <c:cat>
            <c:strRef>
              <c:f>'3b. Typical Mode Sequence (Ener'!$B$3:$B$92</c:f>
            </c:strRef>
          </c:cat>
          <c:val>
            <c:numRef>
              <c:f>'3b. Typical Mode Sequence (Ener'!$E$3:$E$92</c:f>
              <c:numCache/>
            </c:numRef>
          </c:val>
          <c:smooth val="1"/>
        </c:ser>
        <c:ser>
          <c:idx val="2"/>
          <c:order val="2"/>
          <c:tx>
            <c:v>Energy Balance (Wh)</c:v>
          </c:tx>
          <c:spPr>
            <a:ln cmpd="sng">
              <a:solidFill>
                <a:srgbClr val="34A853"/>
              </a:solidFill>
            </a:ln>
          </c:spPr>
          <c:marker>
            <c:symbol val="none"/>
          </c:marker>
          <c:cat>
            <c:strRef>
              <c:f>'3b. Typical Mode Sequence (Ener'!$B$3:$B$92</c:f>
            </c:strRef>
          </c:cat>
          <c:val>
            <c:numRef>
              <c:f>'3b. Typical Mode Sequence (Ener'!$F$3:$F$92</c:f>
              <c:numCache/>
            </c:numRef>
          </c:val>
          <c:smooth val="1"/>
        </c:ser>
        <c:axId val="611359856"/>
        <c:axId val="1765991866"/>
      </c:lineChart>
      <c:catAx>
        <c:axId val="611359856"/>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765991866"/>
      </c:catAx>
      <c:valAx>
        <c:axId val="1765991866"/>
        <c:scaling>
          <c:orientation val="minMax"/>
          <c:max val="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611359856"/>
      </c:valAx>
    </c:plotArea>
    <c:legend>
      <c:legendPos val="r"/>
      <c:overlay val="0"/>
      <c:txPr>
        <a:bodyPr/>
        <a:lstStyle/>
        <a:p>
          <a:pPr lvl="0">
            <a:defRPr b="0" i="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Orbit </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(Ener'!$B$3:$B$92</c:f>
            </c:strRef>
          </c:cat>
          <c:val>
            <c:numRef>
              <c:f>'3b. Typical Mode Sequence (Ener'!$G$3:$G$92</c:f>
              <c:numCache/>
            </c:numRef>
          </c:val>
          <c:smooth val="1"/>
        </c:ser>
        <c:axId val="1219919148"/>
        <c:axId val="502207507"/>
      </c:lineChart>
      <c:catAx>
        <c:axId val="1219919148"/>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502207507"/>
      </c:catAx>
      <c:valAx>
        <c:axId val="502207507"/>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219919148"/>
      </c:valAx>
    </c:plotArea>
    <c:legend>
      <c:legendPos val="r"/>
      <c:overlay val="0"/>
      <c:txPr>
        <a:bodyPr/>
        <a:lstStyle/>
        <a:p>
          <a:pPr lvl="0">
            <a:defRPr b="0" i="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Day</a:t>
            </a:r>
          </a:p>
        </c:rich>
      </c:tx>
      <c:overlay val="0"/>
    </c:title>
    <c:plotArea>
      <c:layout/>
      <c:lineChart>
        <c:ser>
          <c:idx val="0"/>
          <c:order val="0"/>
          <c:tx>
            <c:v>Energy Used (Wh)</c:v>
          </c:tx>
          <c:spPr>
            <a:ln cmpd="sng">
              <a:solidFill>
                <a:srgbClr val="FF0000"/>
              </a:solidFill>
            </a:ln>
          </c:spPr>
          <c:marker>
            <c:symbol val="none"/>
          </c:marker>
          <c:cat>
            <c:strRef>
              <c:f>'3b. Typical Mode Sequence (Ener'!$B$3:$B$248</c:f>
            </c:strRef>
          </c:cat>
          <c:val>
            <c:numRef>
              <c:f>'3b. Typical Mode Sequence (Ener'!$D$3:$D$248</c:f>
              <c:numCache/>
            </c:numRef>
          </c:val>
          <c:smooth val="0"/>
        </c:ser>
        <c:ser>
          <c:idx val="1"/>
          <c:order val="1"/>
          <c:tx>
            <c:v>Energy Generated (Wh)</c:v>
          </c:tx>
          <c:spPr>
            <a:ln cmpd="sng">
              <a:solidFill>
                <a:srgbClr val="0000FF"/>
              </a:solidFill>
            </a:ln>
          </c:spPr>
          <c:marker>
            <c:symbol val="none"/>
          </c:marker>
          <c:cat>
            <c:strRef>
              <c:f>'3b. Typical Mode Sequence (Ener'!$B$3:$B$248</c:f>
            </c:strRef>
          </c:cat>
          <c:val>
            <c:numRef>
              <c:f>'3b. Typical Mode Sequence (Ener'!$E$3:$E$248</c:f>
              <c:numCache/>
            </c:numRef>
          </c:val>
          <c:smooth val="0"/>
        </c:ser>
        <c:ser>
          <c:idx val="2"/>
          <c:order val="2"/>
          <c:tx>
            <c:v>Energy Balance (Wh)</c:v>
          </c:tx>
          <c:spPr>
            <a:ln cmpd="sng">
              <a:solidFill>
                <a:srgbClr val="34A853"/>
              </a:solidFill>
            </a:ln>
          </c:spPr>
          <c:marker>
            <c:symbol val="none"/>
          </c:marker>
          <c:cat>
            <c:strRef>
              <c:f>'3b. Typical Mode Sequence (Ener'!$B$3:$B$248</c:f>
            </c:strRef>
          </c:cat>
          <c:val>
            <c:numRef>
              <c:f>'3b. Typical Mode Sequence (Ener'!$F$3:$F$248</c:f>
              <c:numCache/>
            </c:numRef>
          </c:val>
          <c:smooth val="0"/>
        </c:ser>
        <c:axId val="750087785"/>
        <c:axId val="230669279"/>
      </c:lineChart>
      <c:catAx>
        <c:axId val="75008778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30669279"/>
      </c:catAx>
      <c:valAx>
        <c:axId val="2306692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750087785"/>
      </c:valAx>
    </c:plotArea>
    <c:legend>
      <c:legendPos val="r"/>
      <c:overlay val="0"/>
      <c:txPr>
        <a:bodyPr/>
        <a:lstStyle/>
        <a:p>
          <a:pPr lvl="0">
            <a:defRPr b="0" i="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Day</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(Ener'!$B$3:$B$248</c:f>
            </c:strRef>
          </c:cat>
          <c:val>
            <c:numRef>
              <c:f>'3b. Typical Mode Sequence (Ener'!$G$3:$G$248</c:f>
              <c:numCache/>
            </c:numRef>
          </c:val>
          <c:smooth val="1"/>
        </c:ser>
        <c:axId val="889786259"/>
        <c:axId val="1404313462"/>
      </c:lineChart>
      <c:catAx>
        <c:axId val="889786259"/>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404313462"/>
      </c:catAx>
      <c:valAx>
        <c:axId val="1404313462"/>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889786259"/>
      </c:valAx>
    </c:plotArea>
    <c:legend>
      <c:legendPos val="r"/>
      <c:overlay val="0"/>
      <c:txPr>
        <a:bodyPr/>
        <a:lstStyle/>
        <a:p>
          <a:pPr lvl="0">
            <a:defRPr b="0" i="0">
              <a:solidFill>
                <a:srgbClr val="1A1A1A"/>
              </a:solidFill>
              <a:latin typeface="Arial"/>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25</xdr:row>
      <xdr:rowOff>190500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46</xdr:row>
      <xdr:rowOff>190500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43</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19050</xdr:colOff>
      <xdr:row>43</xdr:row>
      <xdr:rowOff>190500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666750</xdr:colOff>
      <xdr:row>43</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962025</xdr:colOff>
      <xdr:row>66</xdr:row>
      <xdr:rowOff>9525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666750</xdr:colOff>
      <xdr:row>66</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18</xdr:col>
      <xdr:colOff>19050</xdr:colOff>
      <xdr:row>66</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40</xdr:row>
      <xdr:rowOff>28575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904875</xdr:colOff>
      <xdr:row>40</xdr:row>
      <xdr:rowOff>38100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962025</xdr:colOff>
      <xdr:row>63</xdr:row>
      <xdr:rowOff>161925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904875</xdr:colOff>
      <xdr:row>63</xdr:row>
      <xdr:rowOff>161925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hyperlink" Target="https://docs.google.com/presentation/u/0/d/1FGrSy-MuiySFvODDCIes_q4aK-KQ4o_jAVCSxvhCWeI/edit" TargetMode="External"/><Relationship Id="rId4" Type="http://schemas.openxmlformats.org/officeDocument/2006/relationships/hyperlink" Target="https://docs.google.com/spreadsheets/u/0/d/1LpoYAPlqiiBF5XfHcVgHourUG5AtK7_XdkNew2ZwNhk/edit" TargetMode="External"/><Relationship Id="rId9" Type="http://schemas.openxmlformats.org/officeDocument/2006/relationships/drawing" Target="../drawings/drawing3.xml"/><Relationship Id="rId5" Type="http://schemas.openxmlformats.org/officeDocument/2006/relationships/hyperlink" Target="https://docs.google.com/presentation/u/0/d/1FGrSy-MuiySFvODDCIes_q4aK-KQ4o_jAVCSxvhCWeI/edit" TargetMode="External"/><Relationship Id="rId6" Type="http://schemas.openxmlformats.org/officeDocument/2006/relationships/hyperlink" Target="https://mars.nasa.gov/internal_resources/788/" TargetMode="External"/><Relationship Id="rId7" Type="http://schemas.openxmlformats.org/officeDocument/2006/relationships/hyperlink" Target="https://www.nasa.gov/" TargetMode="External"/><Relationship Id="rId8" Type="http://schemas.openxmlformats.org/officeDocument/2006/relationships/hyperlink" Target="https://www.nasa.go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9.0"/>
    <col customWidth="1" min="3" max="3" width="26.13"/>
    <col customWidth="1" min="4" max="4" width="38.88"/>
  </cols>
  <sheetData>
    <row r="1">
      <c r="A1" s="1" t="s">
        <v>0</v>
      </c>
      <c r="B1" s="1" t="s">
        <v>2</v>
      </c>
      <c r="C1" s="1" t="s">
        <v>3</v>
      </c>
      <c r="D1" s="1" t="s">
        <v>4</v>
      </c>
    </row>
    <row r="2">
      <c r="A2" s="3" t="s">
        <v>6</v>
      </c>
      <c r="B2" s="1" t="s">
        <v>8</v>
      </c>
      <c r="C2" s="9" t="s">
        <v>9</v>
      </c>
      <c r="D2" s="1" t="s">
        <v>19</v>
      </c>
    </row>
    <row r="3">
      <c r="A3" s="12"/>
      <c r="B3" s="1" t="s">
        <v>28</v>
      </c>
      <c r="C3" s="9" t="s">
        <v>30</v>
      </c>
      <c r="D3" s="1" t="s">
        <v>32</v>
      </c>
    </row>
    <row r="4">
      <c r="A4" s="3" t="s">
        <v>33</v>
      </c>
      <c r="B4" s="1" t="s">
        <v>35</v>
      </c>
      <c r="C4" s="9" t="s">
        <v>36</v>
      </c>
      <c r="D4" s="1" t="s">
        <v>37</v>
      </c>
    </row>
    <row r="5">
      <c r="A5" s="3" t="s">
        <v>39</v>
      </c>
      <c r="B5" s="1" t="s">
        <v>40</v>
      </c>
      <c r="C5" s="9" t="s">
        <v>44</v>
      </c>
      <c r="D5" s="1" t="s">
        <v>47</v>
      </c>
    </row>
    <row r="6">
      <c r="A6" s="3"/>
      <c r="B6" s="1"/>
      <c r="C6" s="9" t="s">
        <v>49</v>
      </c>
      <c r="D6" s="1"/>
    </row>
    <row r="7">
      <c r="A7" s="3"/>
      <c r="B7" s="1"/>
      <c r="C7" s="9" t="s">
        <v>51</v>
      </c>
      <c r="D7" s="1"/>
    </row>
    <row r="8">
      <c r="A8" s="3" t="s">
        <v>54</v>
      </c>
      <c r="B8" s="1" t="s">
        <v>55</v>
      </c>
      <c r="C8" s="9" t="s">
        <v>58</v>
      </c>
      <c r="D8" s="1" t="s">
        <v>60</v>
      </c>
    </row>
    <row r="9">
      <c r="A9" s="12"/>
      <c r="B9" s="1" t="s">
        <v>65</v>
      </c>
      <c r="C9" s="9" t="s">
        <v>66</v>
      </c>
      <c r="D9" s="1" t="s">
        <v>70</v>
      </c>
    </row>
  </sheetData>
  <hyperlinks>
    <hyperlink display="M.S. &amp; Objectives" location="'M.S. &amp; Objectives'!A1" ref="C2"/>
    <hyperlink display="Requirements" location="Requirements!A1" ref="C3"/>
    <hyperlink display="Payload" location="Payload!A1" ref="C4"/>
    <hyperlink display="Outline Key Phases" location="'Outline Key Phases of the Missi'!A1" ref="C5"/>
    <hyperlink display="Concept of Operations Timeline" location="'Concept of Operations Timeline'!A1" ref="C6"/>
    <hyperlink display="minute-by-minute breakdown" location="'minute-by-minute breakdown'!A1" ref="C7"/>
    <hyperlink display="Mass Budget" location="'Mass Budget'!A1" ref="C8"/>
    <hyperlink display="Structures Decision Matrix" location="' Structures Decision Matrix'!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2" t="s">
        <v>1</v>
      </c>
      <c r="B1" s="2" t="s">
        <v>5</v>
      </c>
      <c r="C1" s="4" t="s">
        <v>7</v>
      </c>
      <c r="D1" s="6" t="s">
        <v>10</v>
      </c>
      <c r="E1" s="8" t="s">
        <v>12</v>
      </c>
      <c r="F1" s="6" t="s">
        <v>17</v>
      </c>
      <c r="G1" s="6" t="s">
        <v>22</v>
      </c>
      <c r="H1" s="6" t="s">
        <v>25</v>
      </c>
      <c r="I1" s="14" t="s">
        <v>27</v>
      </c>
      <c r="J1" s="15" t="s">
        <v>31</v>
      </c>
      <c r="K1" s="16" t="s">
        <v>34</v>
      </c>
      <c r="L1" s="16" t="s">
        <v>17</v>
      </c>
      <c r="M1" s="18" t="s">
        <v>38</v>
      </c>
      <c r="N1" s="20" t="s">
        <v>41</v>
      </c>
      <c r="O1" s="22" t="s">
        <v>42</v>
      </c>
      <c r="P1" s="24" t="s">
        <v>43</v>
      </c>
      <c r="Q1" s="26" t="s">
        <v>45</v>
      </c>
      <c r="R1" s="26" t="s">
        <v>46</v>
      </c>
      <c r="S1" s="26" t="s">
        <v>48</v>
      </c>
      <c r="T1" s="29"/>
      <c r="U1" s="29"/>
      <c r="V1" s="29"/>
      <c r="W1" s="29"/>
      <c r="X1" s="29"/>
      <c r="Y1" s="29"/>
      <c r="Z1" s="29"/>
      <c r="AA1" s="29"/>
      <c r="AB1" s="29"/>
      <c r="AC1" s="29"/>
      <c r="AD1" s="29"/>
      <c r="AE1" s="29"/>
    </row>
    <row r="2">
      <c r="A2" s="33" t="s">
        <v>61</v>
      </c>
      <c r="B2" s="33" t="s">
        <v>64</v>
      </c>
      <c r="C2" s="34"/>
      <c r="D2" s="33" t="s">
        <v>69</v>
      </c>
      <c r="E2" s="35" t="s">
        <v>71</v>
      </c>
      <c r="F2" s="33" t="s">
        <v>73</v>
      </c>
      <c r="G2" s="33" t="s">
        <v>75</v>
      </c>
      <c r="H2" s="33" t="s">
        <v>76</v>
      </c>
      <c r="I2" s="34"/>
      <c r="J2" s="36" t="s">
        <v>78</v>
      </c>
      <c r="K2" s="33" t="s">
        <v>80</v>
      </c>
      <c r="L2" s="33"/>
      <c r="M2" s="34"/>
      <c r="N2" s="36" t="s">
        <v>83</v>
      </c>
      <c r="O2" s="34"/>
      <c r="P2" s="36"/>
      <c r="Q2" s="33" t="s">
        <v>86</v>
      </c>
      <c r="R2" s="33" t="s">
        <v>87</v>
      </c>
      <c r="S2" s="33"/>
      <c r="T2" s="33"/>
      <c r="U2" s="33"/>
      <c r="V2" s="33"/>
      <c r="W2" s="33"/>
      <c r="X2" s="33"/>
      <c r="Y2" s="33"/>
      <c r="Z2" s="33"/>
      <c r="AA2" s="33"/>
      <c r="AB2" s="33"/>
      <c r="AC2" s="33"/>
      <c r="AD2" s="33"/>
      <c r="AE2" s="33"/>
    </row>
    <row r="3">
      <c r="A3" s="43" t="s">
        <v>97</v>
      </c>
      <c r="B3" s="46" t="s">
        <v>97</v>
      </c>
      <c r="C3" s="47"/>
      <c r="D3" s="51" t="s">
        <v>153</v>
      </c>
      <c r="E3" s="52">
        <v>46187.0</v>
      </c>
      <c r="F3" s="46" t="s">
        <v>154</v>
      </c>
      <c r="G3" s="46" t="s">
        <v>154</v>
      </c>
      <c r="H3" s="46" t="s">
        <v>154</v>
      </c>
      <c r="I3" s="54"/>
      <c r="J3" s="55"/>
      <c r="K3" s="58"/>
      <c r="L3" s="58"/>
      <c r="M3" s="60"/>
      <c r="N3" s="55"/>
      <c r="O3" s="65"/>
      <c r="P3" s="55"/>
      <c r="Q3" s="58"/>
      <c r="R3" s="58"/>
      <c r="S3" s="56"/>
      <c r="T3" s="56"/>
      <c r="U3" s="56"/>
      <c r="V3" s="56"/>
      <c r="W3" s="56"/>
      <c r="X3" s="56"/>
      <c r="Y3" s="56"/>
      <c r="Z3" s="56"/>
      <c r="AA3" s="56"/>
      <c r="AB3" s="56"/>
      <c r="AC3" s="56"/>
      <c r="AD3" s="56"/>
      <c r="AE3" s="56"/>
    </row>
    <row r="4">
      <c r="A4" s="69" t="s">
        <v>161</v>
      </c>
      <c r="B4" s="53" t="s">
        <v>165</v>
      </c>
      <c r="C4" s="47"/>
      <c r="D4" s="53" t="s">
        <v>166</v>
      </c>
      <c r="E4" s="63">
        <v>46187.0</v>
      </c>
      <c r="F4" s="78" t="s">
        <v>169</v>
      </c>
      <c r="G4" s="79"/>
      <c r="H4" s="79"/>
      <c r="I4" s="54"/>
      <c r="J4" s="55"/>
      <c r="K4" s="58"/>
      <c r="L4" s="58"/>
      <c r="M4" s="60"/>
      <c r="N4" s="55"/>
      <c r="O4" s="65"/>
      <c r="P4" s="55"/>
      <c r="Q4" s="58"/>
      <c r="R4" s="58"/>
      <c r="S4" s="56"/>
      <c r="T4" s="56"/>
      <c r="U4" s="56"/>
      <c r="V4" s="56"/>
      <c r="W4" s="56"/>
      <c r="X4" s="56"/>
      <c r="Y4" s="56"/>
      <c r="Z4" s="56"/>
      <c r="AA4" s="56"/>
      <c r="AB4" s="56"/>
      <c r="AC4" s="56"/>
      <c r="AD4" s="56"/>
      <c r="AE4" s="56"/>
    </row>
    <row r="5">
      <c r="A5" s="69" t="s">
        <v>195</v>
      </c>
      <c r="B5" s="53" t="s">
        <v>196</v>
      </c>
      <c r="C5" s="47"/>
      <c r="D5" s="81" t="s">
        <v>197</v>
      </c>
      <c r="E5" s="63">
        <v>46187.0</v>
      </c>
      <c r="F5" s="78" t="s">
        <v>200</v>
      </c>
      <c r="G5" s="79"/>
      <c r="H5" s="79"/>
      <c r="I5" s="54"/>
      <c r="J5" s="55"/>
      <c r="K5" s="58"/>
      <c r="L5" s="58"/>
      <c r="M5" s="60"/>
      <c r="N5" s="55"/>
      <c r="O5" s="65"/>
      <c r="P5" s="55"/>
      <c r="Q5" s="58"/>
      <c r="R5" s="58"/>
      <c r="S5" s="56"/>
      <c r="T5" s="56"/>
      <c r="U5" s="56"/>
      <c r="V5" s="56"/>
      <c r="W5" s="56"/>
      <c r="X5" s="56"/>
      <c r="Y5" s="56"/>
      <c r="Z5" s="56"/>
      <c r="AA5" s="56"/>
      <c r="AB5" s="56"/>
      <c r="AC5" s="56"/>
      <c r="AD5" s="56"/>
      <c r="AE5" s="56"/>
    </row>
    <row r="6">
      <c r="A6" s="69" t="s">
        <v>213</v>
      </c>
      <c r="B6" s="53" t="s">
        <v>215</v>
      </c>
      <c r="C6" s="47"/>
      <c r="D6" s="53" t="s">
        <v>216</v>
      </c>
      <c r="E6" s="63">
        <v>46187.0</v>
      </c>
      <c r="F6" s="78" t="s">
        <v>218</v>
      </c>
      <c r="G6" s="79"/>
      <c r="H6" s="79"/>
      <c r="I6" s="54"/>
      <c r="J6" s="55"/>
      <c r="K6" s="58"/>
      <c r="L6" s="58"/>
      <c r="M6" s="60"/>
      <c r="N6" s="55"/>
      <c r="O6" s="65"/>
      <c r="P6" s="55"/>
      <c r="Q6" s="58"/>
      <c r="R6" s="58"/>
      <c r="S6" s="56"/>
      <c r="T6" s="56"/>
      <c r="U6" s="56"/>
      <c r="V6" s="56"/>
      <c r="W6" s="56"/>
      <c r="X6" s="56"/>
      <c r="Y6" s="56"/>
      <c r="Z6" s="56"/>
      <c r="AA6" s="56"/>
      <c r="AB6" s="56"/>
      <c r="AC6" s="56"/>
      <c r="AD6" s="56"/>
      <c r="AE6" s="56"/>
    </row>
    <row r="7">
      <c r="A7" s="69" t="s">
        <v>234</v>
      </c>
      <c r="B7" s="53" t="s">
        <v>236</v>
      </c>
      <c r="C7" s="47"/>
      <c r="D7" s="53" t="s">
        <v>238</v>
      </c>
      <c r="E7" s="63">
        <v>46187.0</v>
      </c>
      <c r="F7" s="78" t="s">
        <v>242</v>
      </c>
      <c r="G7" s="79"/>
      <c r="H7" s="79"/>
      <c r="I7" s="54"/>
      <c r="J7" s="55"/>
      <c r="K7" s="58"/>
      <c r="L7" s="58"/>
      <c r="M7" s="60"/>
      <c r="N7" s="55"/>
      <c r="O7" s="65"/>
      <c r="P7" s="55"/>
      <c r="Q7" s="58"/>
      <c r="R7" s="58"/>
      <c r="S7" s="56"/>
      <c r="T7" s="56"/>
      <c r="U7" s="56"/>
      <c r="V7" s="56"/>
      <c r="W7" s="56"/>
      <c r="X7" s="56"/>
      <c r="Y7" s="56"/>
      <c r="Z7" s="56"/>
      <c r="AA7" s="56"/>
      <c r="AB7" s="56"/>
      <c r="AC7" s="56"/>
      <c r="AD7" s="56"/>
      <c r="AE7" s="56"/>
    </row>
    <row r="8" ht="15.75" customHeight="1">
      <c r="A8" s="79"/>
      <c r="B8" s="74"/>
      <c r="C8" s="47"/>
      <c r="D8" s="74"/>
      <c r="E8" s="87"/>
      <c r="F8" s="74"/>
      <c r="G8" s="79"/>
      <c r="H8" s="79"/>
      <c r="I8" s="54"/>
      <c r="J8" s="55"/>
      <c r="K8" s="58"/>
      <c r="L8" s="58"/>
      <c r="M8" s="60"/>
      <c r="N8" s="55"/>
      <c r="O8" s="65"/>
      <c r="P8" s="55"/>
      <c r="Q8" s="58"/>
      <c r="R8" s="58"/>
      <c r="S8" s="56"/>
      <c r="T8" s="56"/>
      <c r="U8" s="56"/>
      <c r="V8" s="56"/>
      <c r="W8" s="56"/>
      <c r="X8" s="56"/>
      <c r="Y8" s="56"/>
      <c r="Z8" s="56"/>
      <c r="AA8" s="56"/>
      <c r="AB8" s="56"/>
      <c r="AC8" s="56"/>
      <c r="AD8" s="56"/>
      <c r="AE8" s="56"/>
    </row>
    <row r="9" ht="15.75" customHeight="1">
      <c r="A9" s="79"/>
      <c r="B9" s="74"/>
      <c r="C9" s="47"/>
      <c r="D9" s="74"/>
      <c r="E9" s="87"/>
      <c r="F9" s="74"/>
      <c r="G9" s="79"/>
      <c r="H9" s="79"/>
      <c r="I9" s="54"/>
      <c r="J9" s="55"/>
      <c r="K9" s="58"/>
      <c r="L9" s="58"/>
      <c r="M9" s="60"/>
      <c r="N9" s="55"/>
      <c r="O9" s="65"/>
      <c r="P9" s="55"/>
      <c r="Q9" s="58"/>
      <c r="R9" s="58"/>
      <c r="S9" s="56"/>
      <c r="T9" s="56"/>
      <c r="U9" s="56"/>
      <c r="V9" s="56"/>
      <c r="W9" s="56"/>
      <c r="X9" s="56"/>
      <c r="Y9" s="56"/>
      <c r="Z9" s="56"/>
      <c r="AA9" s="56"/>
      <c r="AB9" s="56"/>
      <c r="AC9" s="56"/>
      <c r="AD9" s="56"/>
      <c r="AE9" s="56"/>
    </row>
    <row r="10" ht="15.75" customHeight="1">
      <c r="A10" s="79"/>
      <c r="B10" s="74"/>
      <c r="C10" s="47"/>
      <c r="D10" s="74"/>
      <c r="E10" s="87"/>
      <c r="F10" s="74"/>
      <c r="G10" s="79"/>
      <c r="H10" s="79"/>
      <c r="I10" s="54"/>
      <c r="J10" s="55"/>
      <c r="K10" s="58"/>
      <c r="L10" s="58"/>
      <c r="M10" s="60"/>
      <c r="N10" s="55"/>
      <c r="O10" s="65"/>
      <c r="P10" s="55"/>
      <c r="Q10" s="58"/>
      <c r="R10" s="58"/>
      <c r="S10" s="56"/>
      <c r="T10" s="56"/>
      <c r="U10" s="56"/>
      <c r="V10" s="56"/>
      <c r="W10" s="56"/>
      <c r="X10" s="56"/>
      <c r="Y10" s="56"/>
      <c r="Z10" s="56"/>
      <c r="AA10" s="56"/>
      <c r="AB10" s="56"/>
      <c r="AC10" s="56"/>
      <c r="AD10" s="56"/>
      <c r="AE10" s="56"/>
    </row>
    <row r="11" ht="15.75" customHeight="1">
      <c r="A11" s="79"/>
      <c r="B11" s="74"/>
      <c r="C11" s="47"/>
      <c r="D11" s="74"/>
      <c r="E11" s="87"/>
      <c r="F11" s="74"/>
      <c r="G11" s="79"/>
      <c r="H11" s="79"/>
      <c r="I11" s="54"/>
      <c r="J11" s="55"/>
      <c r="K11" s="58"/>
      <c r="L11" s="58"/>
      <c r="M11" s="60"/>
      <c r="N11" s="55"/>
      <c r="O11" s="65"/>
      <c r="P11" s="55"/>
      <c r="Q11" s="58"/>
      <c r="R11" s="58"/>
      <c r="S11" s="56"/>
      <c r="T11" s="56"/>
      <c r="U11" s="56"/>
      <c r="V11" s="56"/>
      <c r="W11" s="56"/>
      <c r="X11" s="56"/>
      <c r="Y11" s="56"/>
      <c r="Z11" s="56"/>
      <c r="AA11" s="56"/>
      <c r="AB11" s="56"/>
      <c r="AC11" s="56"/>
      <c r="AD11" s="56"/>
      <c r="AE11" s="56"/>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7.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8.5"/>
    <col customWidth="1" min="17" max="17" width="19.75"/>
    <col customWidth="1" min="18" max="18" width="23.38"/>
    <col customWidth="1" min="19" max="19" width="23.0"/>
    <col customWidth="1" hidden="1" min="20" max="20" width="12.25"/>
    <col customWidth="1" min="21" max="32" width="14.38"/>
  </cols>
  <sheetData>
    <row r="1" ht="15.75" customHeight="1">
      <c r="A1" s="5"/>
      <c r="B1" s="5" t="s">
        <v>5</v>
      </c>
      <c r="C1" s="10" t="s">
        <v>7</v>
      </c>
      <c r="D1" s="11" t="s">
        <v>10</v>
      </c>
      <c r="E1" s="11" t="s">
        <v>12</v>
      </c>
      <c r="F1" s="11" t="s">
        <v>29</v>
      </c>
      <c r="G1" s="11" t="s">
        <v>17</v>
      </c>
      <c r="H1" s="11" t="s">
        <v>22</v>
      </c>
      <c r="I1" s="11" t="s">
        <v>25</v>
      </c>
      <c r="J1" s="17" t="s">
        <v>27</v>
      </c>
      <c r="K1" s="19" t="s">
        <v>31</v>
      </c>
      <c r="L1" s="21" t="s">
        <v>34</v>
      </c>
      <c r="M1" s="21" t="s">
        <v>17</v>
      </c>
      <c r="N1" s="23" t="s">
        <v>38</v>
      </c>
      <c r="O1" s="25" t="s">
        <v>41</v>
      </c>
      <c r="P1" s="27" t="s">
        <v>42</v>
      </c>
      <c r="Q1" s="28" t="s">
        <v>43</v>
      </c>
      <c r="R1" s="31" t="s">
        <v>45</v>
      </c>
      <c r="S1" s="31" t="s">
        <v>46</v>
      </c>
      <c r="T1" s="31" t="s">
        <v>48</v>
      </c>
      <c r="U1" s="32" t="s">
        <v>57</v>
      </c>
      <c r="V1" s="29"/>
      <c r="W1" s="29"/>
      <c r="X1" s="29"/>
      <c r="Y1" s="29"/>
      <c r="Z1" s="29"/>
      <c r="AA1" s="29"/>
      <c r="AB1" s="29"/>
      <c r="AC1" s="29"/>
      <c r="AD1" s="29"/>
      <c r="AE1" s="29"/>
      <c r="AF1" s="29"/>
    </row>
    <row r="2" ht="85.5" customHeight="1">
      <c r="A2" s="38" t="s">
        <v>79</v>
      </c>
      <c r="B2" s="38" t="s">
        <v>64</v>
      </c>
      <c r="C2" s="34"/>
      <c r="D2" s="38" t="s">
        <v>88</v>
      </c>
      <c r="E2" s="38" t="s">
        <v>71</v>
      </c>
      <c r="F2" s="38"/>
      <c r="G2" s="38" t="s">
        <v>73</v>
      </c>
      <c r="H2" s="38" t="s">
        <v>75</v>
      </c>
      <c r="I2" s="38" t="s">
        <v>76</v>
      </c>
      <c r="J2" s="34"/>
      <c r="K2" s="45" t="s">
        <v>78</v>
      </c>
      <c r="L2" s="38" t="s">
        <v>80</v>
      </c>
      <c r="M2" s="38"/>
      <c r="N2" s="34"/>
      <c r="O2" s="45" t="s">
        <v>83</v>
      </c>
      <c r="P2" s="34"/>
      <c r="Q2" s="45"/>
      <c r="R2" s="38" t="s">
        <v>86</v>
      </c>
      <c r="S2" s="38" t="s">
        <v>87</v>
      </c>
      <c r="T2" s="38"/>
      <c r="U2" s="48" t="s">
        <v>124</v>
      </c>
      <c r="V2" s="33"/>
      <c r="W2" s="33"/>
      <c r="X2" s="33"/>
      <c r="Y2" s="33"/>
      <c r="Z2" s="33"/>
      <c r="AA2" s="33"/>
      <c r="AB2" s="33"/>
      <c r="AC2" s="33"/>
      <c r="AD2" s="33"/>
      <c r="AE2" s="33"/>
      <c r="AF2" s="33"/>
    </row>
    <row r="3">
      <c r="A3" s="53" t="s">
        <v>155</v>
      </c>
      <c r="B3" s="53" t="s">
        <v>156</v>
      </c>
      <c r="C3" s="57"/>
      <c r="D3" s="40" t="s">
        <v>157</v>
      </c>
      <c r="E3" s="63">
        <v>46187.0</v>
      </c>
      <c r="F3" s="53" t="s">
        <v>158</v>
      </c>
      <c r="G3" s="40" t="s">
        <v>160</v>
      </c>
      <c r="H3" s="53" t="s">
        <v>162</v>
      </c>
      <c r="I3" s="53" t="s">
        <v>164</v>
      </c>
      <c r="J3" s="72"/>
      <c r="K3" s="73"/>
      <c r="L3" s="74"/>
      <c r="M3" s="74"/>
      <c r="N3" s="75"/>
      <c r="O3" s="76" t="s">
        <v>182</v>
      </c>
      <c r="P3" s="77"/>
      <c r="Q3" s="76" t="s">
        <v>188</v>
      </c>
      <c r="R3" s="53" t="s">
        <v>189</v>
      </c>
      <c r="S3" s="53" t="s">
        <v>192</v>
      </c>
      <c r="T3" s="74"/>
      <c r="U3" s="74"/>
      <c r="V3" s="80"/>
      <c r="W3" s="80"/>
      <c r="X3" s="80"/>
      <c r="Y3" s="80"/>
      <c r="Z3" s="80"/>
      <c r="AA3" s="80"/>
      <c r="AB3" s="80"/>
      <c r="AC3" s="80"/>
      <c r="AD3" s="80"/>
      <c r="AE3" s="80"/>
      <c r="AF3" s="80"/>
    </row>
    <row r="4">
      <c r="A4" s="53" t="s">
        <v>203</v>
      </c>
      <c r="B4" s="53" t="s">
        <v>156</v>
      </c>
      <c r="C4" s="57"/>
      <c r="D4" s="40" t="s">
        <v>208</v>
      </c>
      <c r="E4" s="63">
        <v>46187.0</v>
      </c>
      <c r="F4" s="53" t="s">
        <v>210</v>
      </c>
      <c r="G4" s="85" t="s">
        <v>220</v>
      </c>
      <c r="H4" s="53" t="s">
        <v>241</v>
      </c>
      <c r="I4" s="53" t="s">
        <v>164</v>
      </c>
      <c r="J4" s="72"/>
      <c r="K4" s="73"/>
      <c r="L4" s="74"/>
      <c r="M4" s="74"/>
      <c r="N4" s="75"/>
      <c r="O4" s="76" t="s">
        <v>246</v>
      </c>
      <c r="P4" s="77"/>
      <c r="Q4" s="76" t="s">
        <v>249</v>
      </c>
      <c r="R4" s="53" t="s">
        <v>251</v>
      </c>
      <c r="S4" s="53" t="s">
        <v>253</v>
      </c>
      <c r="T4" s="74"/>
      <c r="U4" s="74"/>
      <c r="V4" s="80"/>
      <c r="W4" s="80"/>
      <c r="X4" s="80"/>
      <c r="Y4" s="80"/>
      <c r="Z4" s="80"/>
      <c r="AA4" s="80"/>
      <c r="AB4" s="80"/>
      <c r="AC4" s="80"/>
      <c r="AD4" s="80"/>
      <c r="AE4" s="80"/>
      <c r="AF4" s="80"/>
    </row>
    <row r="5">
      <c r="A5" s="53" t="s">
        <v>262</v>
      </c>
      <c r="B5" s="53" t="s">
        <v>156</v>
      </c>
      <c r="C5" s="57"/>
      <c r="D5" s="40" t="s">
        <v>266</v>
      </c>
      <c r="E5" s="63">
        <v>46187.0</v>
      </c>
      <c r="F5" s="53" t="s">
        <v>269</v>
      </c>
      <c r="G5" s="85" t="s">
        <v>271</v>
      </c>
      <c r="H5" s="53" t="s">
        <v>278</v>
      </c>
      <c r="I5" s="53" t="s">
        <v>164</v>
      </c>
      <c r="J5" s="72"/>
      <c r="K5" s="73"/>
      <c r="L5" s="74"/>
      <c r="M5" s="74"/>
      <c r="N5" s="75"/>
      <c r="O5" s="76" t="s">
        <v>286</v>
      </c>
      <c r="P5" s="77"/>
      <c r="Q5" s="76" t="s">
        <v>290</v>
      </c>
      <c r="R5" s="53" t="s">
        <v>291</v>
      </c>
      <c r="S5" s="53" t="s">
        <v>293</v>
      </c>
      <c r="T5" s="74"/>
      <c r="U5" s="74"/>
      <c r="V5" s="80"/>
      <c r="W5" s="80"/>
      <c r="X5" s="80"/>
      <c r="Y5" s="80"/>
      <c r="Z5" s="80"/>
      <c r="AA5" s="80"/>
      <c r="AB5" s="80"/>
      <c r="AC5" s="80"/>
      <c r="AD5" s="80"/>
      <c r="AE5" s="80"/>
      <c r="AF5" s="80"/>
    </row>
    <row r="6">
      <c r="A6" s="53" t="s">
        <v>300</v>
      </c>
      <c r="B6" s="53" t="s">
        <v>302</v>
      </c>
      <c r="C6" s="57"/>
      <c r="D6" s="40" t="s">
        <v>305</v>
      </c>
      <c r="E6" s="63">
        <v>46187.0</v>
      </c>
      <c r="F6" s="53" t="s">
        <v>308</v>
      </c>
      <c r="G6" s="89" t="s">
        <v>309</v>
      </c>
      <c r="H6" s="53" t="s">
        <v>311</v>
      </c>
      <c r="I6" s="53" t="s">
        <v>164</v>
      </c>
      <c r="J6" s="72"/>
      <c r="K6" s="73"/>
      <c r="L6" s="74"/>
      <c r="M6" s="74"/>
      <c r="N6" s="75"/>
      <c r="O6" s="76" t="s">
        <v>313</v>
      </c>
      <c r="P6" s="77"/>
      <c r="Q6" s="76" t="s">
        <v>316</v>
      </c>
      <c r="R6" s="53" t="s">
        <v>317</v>
      </c>
      <c r="S6" s="53" t="s">
        <v>319</v>
      </c>
      <c r="T6" s="74"/>
      <c r="U6" s="74"/>
      <c r="V6" s="80"/>
      <c r="W6" s="80"/>
      <c r="X6" s="80"/>
      <c r="Y6" s="80"/>
      <c r="Z6" s="80"/>
      <c r="AA6" s="80"/>
      <c r="AB6" s="80"/>
      <c r="AC6" s="80"/>
      <c r="AD6" s="80"/>
      <c r="AE6" s="80"/>
      <c r="AF6" s="80"/>
    </row>
    <row r="7">
      <c r="A7" s="53" t="s">
        <v>329</v>
      </c>
      <c r="B7" s="53" t="s">
        <v>330</v>
      </c>
      <c r="C7" s="57"/>
      <c r="D7" s="40" t="s">
        <v>332</v>
      </c>
      <c r="E7" s="63">
        <v>46187.0</v>
      </c>
      <c r="F7" s="53" t="s">
        <v>334</v>
      </c>
      <c r="G7" s="89" t="s">
        <v>335</v>
      </c>
      <c r="H7" s="53" t="s">
        <v>337</v>
      </c>
      <c r="I7" s="53" t="s">
        <v>164</v>
      </c>
      <c r="J7" s="72"/>
      <c r="K7" s="73"/>
      <c r="L7" s="74"/>
      <c r="M7" s="74"/>
      <c r="N7" s="75"/>
      <c r="O7" s="76" t="s">
        <v>340</v>
      </c>
      <c r="P7" s="77"/>
      <c r="Q7" s="76" t="s">
        <v>342</v>
      </c>
      <c r="R7" s="53" t="s">
        <v>343</v>
      </c>
      <c r="S7" s="53" t="s">
        <v>344</v>
      </c>
      <c r="T7" s="74"/>
      <c r="U7" s="74"/>
      <c r="V7" s="80"/>
      <c r="W7" s="80"/>
      <c r="X7" s="80"/>
      <c r="Y7" s="80"/>
      <c r="Z7" s="80"/>
      <c r="AA7" s="80"/>
      <c r="AB7" s="80"/>
      <c r="AC7" s="80"/>
      <c r="AD7" s="80"/>
      <c r="AE7" s="80"/>
      <c r="AF7" s="80"/>
    </row>
    <row r="8">
      <c r="A8" s="53" t="s">
        <v>352</v>
      </c>
      <c r="B8" s="92" t="s">
        <v>354</v>
      </c>
      <c r="C8" s="57"/>
      <c r="D8" s="40" t="s">
        <v>355</v>
      </c>
      <c r="E8" s="63">
        <v>46187.0</v>
      </c>
      <c r="F8" s="53" t="s">
        <v>356</v>
      </c>
      <c r="G8" s="89" t="s">
        <v>357</v>
      </c>
      <c r="H8" s="53" t="s">
        <v>358</v>
      </c>
      <c r="I8" s="53" t="s">
        <v>164</v>
      </c>
      <c r="J8" s="72"/>
      <c r="K8" s="73"/>
      <c r="L8" s="74"/>
      <c r="M8" s="74"/>
      <c r="N8" s="75"/>
      <c r="O8" s="76" t="s">
        <v>362</v>
      </c>
      <c r="P8" s="77"/>
      <c r="Q8" s="76" t="s">
        <v>364</v>
      </c>
      <c r="R8" s="53" t="s">
        <v>366</v>
      </c>
      <c r="S8" s="53" t="s">
        <v>369</v>
      </c>
      <c r="T8" s="74"/>
      <c r="U8" s="74"/>
      <c r="V8" s="80"/>
      <c r="W8" s="80"/>
      <c r="X8" s="80"/>
      <c r="Y8" s="80"/>
      <c r="Z8" s="80"/>
      <c r="AA8" s="80"/>
      <c r="AB8" s="80"/>
      <c r="AC8" s="80"/>
      <c r="AD8" s="80"/>
      <c r="AE8" s="80"/>
      <c r="AF8" s="80"/>
    </row>
    <row r="9">
      <c r="A9" s="98" t="s">
        <v>375</v>
      </c>
      <c r="B9" s="100" t="s">
        <v>376</v>
      </c>
      <c r="C9" s="102"/>
      <c r="D9" s="104" t="s">
        <v>379</v>
      </c>
      <c r="E9" s="63">
        <v>46189.0</v>
      </c>
      <c r="F9" s="53" t="s">
        <v>381</v>
      </c>
      <c r="G9" s="107" t="s">
        <v>383</v>
      </c>
      <c r="H9" s="53" t="s">
        <v>384</v>
      </c>
      <c r="I9" s="40" t="s">
        <v>164</v>
      </c>
      <c r="J9" s="72"/>
      <c r="K9" s="73"/>
      <c r="L9" s="74"/>
      <c r="M9" s="74"/>
      <c r="N9" s="75"/>
      <c r="O9" s="76" t="s">
        <v>388</v>
      </c>
      <c r="P9" s="77"/>
      <c r="Q9" s="40" t="s">
        <v>390</v>
      </c>
      <c r="R9" s="40" t="s">
        <v>392</v>
      </c>
      <c r="S9" s="40" t="s">
        <v>393</v>
      </c>
      <c r="T9" s="74"/>
      <c r="U9" s="74"/>
      <c r="V9" s="80"/>
      <c r="W9" s="80"/>
      <c r="X9" s="80"/>
      <c r="Y9" s="80"/>
      <c r="Z9" s="80"/>
      <c r="AA9" s="80"/>
      <c r="AB9" s="80"/>
      <c r="AC9" s="80"/>
      <c r="AD9" s="80"/>
      <c r="AE9" s="80"/>
      <c r="AF9" s="80"/>
    </row>
    <row r="10">
      <c r="A10" s="114" t="s">
        <v>396</v>
      </c>
      <c r="B10" s="115" t="s">
        <v>330</v>
      </c>
      <c r="C10" s="102"/>
      <c r="D10" s="40" t="s">
        <v>399</v>
      </c>
      <c r="E10" s="116">
        <v>46189.0</v>
      </c>
      <c r="F10" s="53" t="s">
        <v>402</v>
      </c>
      <c r="G10" s="117" t="s">
        <v>403</v>
      </c>
      <c r="H10" s="53" t="s">
        <v>406</v>
      </c>
      <c r="I10" s="53" t="s">
        <v>164</v>
      </c>
      <c r="J10" s="72"/>
      <c r="K10" s="73"/>
      <c r="L10" s="74"/>
      <c r="M10" s="74"/>
      <c r="N10" s="75"/>
      <c r="O10" s="76" t="s">
        <v>409</v>
      </c>
      <c r="P10" s="77"/>
      <c r="Q10" s="76" t="s">
        <v>410</v>
      </c>
      <c r="R10" s="53" t="s">
        <v>411</v>
      </c>
      <c r="S10" s="53" t="s">
        <v>412</v>
      </c>
      <c r="T10" s="74"/>
      <c r="U10" s="74"/>
      <c r="V10" s="79"/>
      <c r="W10" s="79"/>
      <c r="X10" s="79"/>
      <c r="Y10" s="79"/>
      <c r="Z10" s="79"/>
      <c r="AA10" s="79"/>
      <c r="AB10" s="79"/>
      <c r="AC10" s="79"/>
      <c r="AD10" s="79"/>
      <c r="AE10" s="79"/>
      <c r="AF10" s="79"/>
    </row>
    <row r="11">
      <c r="A11" s="53" t="s">
        <v>416</v>
      </c>
      <c r="B11" s="92" t="s">
        <v>417</v>
      </c>
      <c r="C11" s="57"/>
      <c r="D11" s="40" t="s">
        <v>418</v>
      </c>
      <c r="E11" s="116">
        <v>46189.0</v>
      </c>
      <c r="F11" s="53" t="s">
        <v>420</v>
      </c>
      <c r="G11" s="117" t="s">
        <v>421</v>
      </c>
      <c r="H11" s="53" t="s">
        <v>422</v>
      </c>
      <c r="I11" s="53" t="s">
        <v>164</v>
      </c>
      <c r="J11" s="72"/>
      <c r="K11" s="73"/>
      <c r="L11" s="74"/>
      <c r="M11" s="74"/>
      <c r="N11" s="75"/>
      <c r="O11" s="76" t="s">
        <v>426</v>
      </c>
      <c r="P11" s="77"/>
      <c r="Q11" s="76" t="s">
        <v>429</v>
      </c>
      <c r="R11" s="53" t="s">
        <v>430</v>
      </c>
      <c r="S11" s="53" t="s">
        <v>431</v>
      </c>
      <c r="T11" s="74"/>
      <c r="U11" s="74"/>
      <c r="V11" s="80"/>
      <c r="W11" s="80"/>
      <c r="X11" s="80"/>
      <c r="Y11" s="80"/>
      <c r="Z11" s="80"/>
      <c r="AA11" s="80"/>
      <c r="AB11" s="80"/>
      <c r="AC11" s="80"/>
      <c r="AD11" s="80"/>
      <c r="AE11" s="80"/>
      <c r="AF11" s="80"/>
    </row>
    <row r="12">
      <c r="A12" s="129" t="s">
        <v>439</v>
      </c>
      <c r="B12" s="130" t="s">
        <v>441</v>
      </c>
      <c r="C12" s="131"/>
      <c r="D12" s="104" t="s">
        <v>445</v>
      </c>
      <c r="E12" s="63">
        <v>46201.0</v>
      </c>
      <c r="F12" s="53" t="s">
        <v>446</v>
      </c>
      <c r="G12" s="117" t="s">
        <v>448</v>
      </c>
      <c r="H12" s="53" t="s">
        <v>450</v>
      </c>
      <c r="I12" s="53" t="s">
        <v>164</v>
      </c>
      <c r="J12" s="134"/>
      <c r="K12" s="135"/>
      <c r="L12" s="137"/>
      <c r="M12" s="137"/>
      <c r="N12" s="138"/>
      <c r="O12" s="139" t="s">
        <v>458</v>
      </c>
      <c r="P12" s="140"/>
      <c r="Q12" s="76" t="s">
        <v>461</v>
      </c>
      <c r="R12" s="53" t="s">
        <v>462</v>
      </c>
      <c r="S12" s="53" t="s">
        <v>463</v>
      </c>
      <c r="T12" s="74"/>
      <c r="U12" s="137"/>
      <c r="V12" s="80"/>
      <c r="W12" s="80"/>
      <c r="X12" s="80"/>
      <c r="Y12" s="80"/>
      <c r="Z12" s="80"/>
      <c r="AA12" s="80"/>
      <c r="AB12" s="80"/>
      <c r="AC12" s="80"/>
      <c r="AD12" s="80"/>
      <c r="AE12" s="80"/>
      <c r="AF12" s="80"/>
    </row>
    <row r="13">
      <c r="A13" s="129" t="s">
        <v>469</v>
      </c>
      <c r="B13" s="130" t="s">
        <v>470</v>
      </c>
      <c r="C13" s="131"/>
      <c r="D13" s="104" t="s">
        <v>472</v>
      </c>
      <c r="E13" s="63">
        <v>46201.0</v>
      </c>
      <c r="F13" s="53" t="s">
        <v>473</v>
      </c>
      <c r="G13" s="117" t="s">
        <v>475</v>
      </c>
      <c r="H13" s="53" t="s">
        <v>477</v>
      </c>
      <c r="I13" s="53" t="s">
        <v>164</v>
      </c>
      <c r="J13" s="134"/>
      <c r="K13" s="135"/>
      <c r="L13" s="137"/>
      <c r="M13" s="137"/>
      <c r="N13" s="138"/>
      <c r="O13" s="76" t="s">
        <v>246</v>
      </c>
      <c r="P13" s="140"/>
      <c r="Q13" s="76" t="s">
        <v>479</v>
      </c>
      <c r="R13" s="53" t="s">
        <v>480</v>
      </c>
      <c r="S13" s="53" t="s">
        <v>482</v>
      </c>
      <c r="T13" s="74"/>
      <c r="U13" s="137"/>
      <c r="V13" s="80"/>
      <c r="W13" s="80"/>
      <c r="X13" s="80"/>
      <c r="Y13" s="80"/>
      <c r="Z13" s="80"/>
      <c r="AA13" s="80"/>
      <c r="AB13" s="80"/>
      <c r="AC13" s="80"/>
      <c r="AD13" s="80"/>
      <c r="AE13" s="80"/>
      <c r="AF13" s="80"/>
    </row>
    <row r="14">
      <c r="A14" s="129" t="s">
        <v>483</v>
      </c>
      <c r="B14" s="148" t="s">
        <v>485</v>
      </c>
      <c r="C14" s="47"/>
      <c r="D14" s="104" t="s">
        <v>487</v>
      </c>
      <c r="E14" s="63">
        <v>46201.0</v>
      </c>
      <c r="F14" s="53" t="s">
        <v>488</v>
      </c>
      <c r="G14" s="117" t="s">
        <v>489</v>
      </c>
      <c r="H14" s="53" t="s">
        <v>490</v>
      </c>
      <c r="I14" s="53" t="s">
        <v>164</v>
      </c>
      <c r="J14" s="152"/>
      <c r="K14" s="55"/>
      <c r="L14" s="58"/>
      <c r="M14" s="155"/>
      <c r="N14" s="60"/>
      <c r="O14" s="76" t="s">
        <v>495</v>
      </c>
      <c r="P14" s="65"/>
      <c r="Q14" s="76" t="s">
        <v>498</v>
      </c>
      <c r="R14" s="53" t="s">
        <v>499</v>
      </c>
      <c r="S14" s="53" t="s">
        <v>501</v>
      </c>
      <c r="T14" s="74"/>
      <c r="U14" s="58"/>
      <c r="V14" s="56"/>
      <c r="W14" s="56"/>
      <c r="X14" s="56"/>
      <c r="Y14" s="56"/>
      <c r="Z14" s="56"/>
      <c r="AA14" s="56"/>
      <c r="AB14" s="56"/>
      <c r="AC14" s="56"/>
      <c r="AD14" s="56"/>
      <c r="AE14" s="56"/>
      <c r="AF14" s="56"/>
    </row>
    <row r="15">
      <c r="A15" s="129" t="s">
        <v>504</v>
      </c>
      <c r="B15" s="92" t="s">
        <v>505</v>
      </c>
      <c r="C15" s="47"/>
      <c r="D15" s="104" t="s">
        <v>508</v>
      </c>
      <c r="E15" s="63">
        <v>46201.0</v>
      </c>
      <c r="F15" s="53" t="s">
        <v>509</v>
      </c>
      <c r="G15" s="117" t="s">
        <v>511</v>
      </c>
      <c r="H15" s="53" t="s">
        <v>512</v>
      </c>
      <c r="I15" s="53" t="s">
        <v>164</v>
      </c>
      <c r="J15" s="152"/>
      <c r="K15" s="55"/>
      <c r="L15" s="58"/>
      <c r="M15" s="58"/>
      <c r="N15" s="60"/>
      <c r="O15" s="76" t="s">
        <v>388</v>
      </c>
      <c r="P15" s="65"/>
      <c r="Q15" s="76" t="s">
        <v>518</v>
      </c>
      <c r="R15" s="53" t="s">
        <v>519</v>
      </c>
      <c r="S15" s="53" t="s">
        <v>520</v>
      </c>
      <c r="T15" s="74"/>
      <c r="U15" s="58"/>
      <c r="V15" s="56"/>
      <c r="W15" s="56"/>
      <c r="X15" s="56"/>
      <c r="Y15" s="56"/>
      <c r="Z15" s="56"/>
      <c r="AA15" s="56"/>
      <c r="AB15" s="56"/>
      <c r="AC15" s="56"/>
      <c r="AD15" s="56"/>
      <c r="AE15" s="56"/>
      <c r="AF15" s="56"/>
    </row>
    <row r="16">
      <c r="A16" s="129" t="s">
        <v>523</v>
      </c>
      <c r="B16" s="92" t="s">
        <v>330</v>
      </c>
      <c r="C16" s="47"/>
      <c r="D16" s="104" t="s">
        <v>527</v>
      </c>
      <c r="E16" s="63">
        <v>46201.0</v>
      </c>
      <c r="F16" s="53" t="s">
        <v>529</v>
      </c>
      <c r="G16" s="117" t="s">
        <v>511</v>
      </c>
      <c r="H16" s="53" t="s">
        <v>531</v>
      </c>
      <c r="I16" s="53" t="s">
        <v>164</v>
      </c>
      <c r="J16" s="152"/>
      <c r="K16" s="55"/>
      <c r="L16" s="58"/>
      <c r="M16" s="58"/>
      <c r="N16" s="60"/>
      <c r="O16" s="76" t="s">
        <v>534</v>
      </c>
      <c r="P16" s="65"/>
      <c r="Q16" s="76" t="s">
        <v>536</v>
      </c>
      <c r="R16" s="53" t="s">
        <v>538</v>
      </c>
      <c r="S16" s="53" t="s">
        <v>539</v>
      </c>
      <c r="T16" s="74"/>
      <c r="U16" s="58"/>
      <c r="V16" s="56"/>
      <c r="W16" s="56"/>
      <c r="X16" s="56"/>
      <c r="Y16" s="56"/>
      <c r="Z16" s="56"/>
      <c r="AA16" s="56"/>
      <c r="AB16" s="56"/>
      <c r="AC16" s="56"/>
      <c r="AD16" s="56"/>
      <c r="AE16" s="56"/>
      <c r="AF16" s="56"/>
    </row>
    <row r="17">
      <c r="A17" s="129" t="s">
        <v>545</v>
      </c>
      <c r="B17" s="92" t="s">
        <v>546</v>
      </c>
      <c r="C17" s="47"/>
      <c r="D17" s="104" t="s">
        <v>548</v>
      </c>
      <c r="E17" s="63">
        <v>46201.0</v>
      </c>
      <c r="F17" s="53" t="s">
        <v>550</v>
      </c>
      <c r="G17" s="117" t="s">
        <v>551</v>
      </c>
      <c r="H17" s="53" t="s">
        <v>554</v>
      </c>
      <c r="I17" s="53" t="s">
        <v>164</v>
      </c>
      <c r="J17" s="152"/>
      <c r="K17" s="55"/>
      <c r="L17" s="58"/>
      <c r="M17" s="155"/>
      <c r="N17" s="60"/>
      <c r="O17" s="76" t="s">
        <v>558</v>
      </c>
      <c r="P17" s="65"/>
      <c r="Q17" s="76" t="s">
        <v>550</v>
      </c>
      <c r="R17" s="53" t="s">
        <v>560</v>
      </c>
      <c r="S17" s="53" t="s">
        <v>561</v>
      </c>
      <c r="T17" s="74"/>
      <c r="U17" s="58"/>
      <c r="V17" s="56"/>
      <c r="W17" s="56"/>
      <c r="X17" s="56"/>
      <c r="Y17" s="56"/>
      <c r="Z17" s="56"/>
      <c r="AA17" s="56"/>
      <c r="AB17" s="56"/>
      <c r="AC17" s="56"/>
      <c r="AD17" s="56"/>
      <c r="AE17" s="56"/>
      <c r="AF17" s="56"/>
    </row>
    <row r="18">
      <c r="A18" s="163" t="s">
        <v>565</v>
      </c>
      <c r="B18" s="164" t="s">
        <v>568</v>
      </c>
      <c r="C18" s="166"/>
      <c r="D18" s="104" t="s">
        <v>571</v>
      </c>
      <c r="E18" s="168">
        <v>46210.0</v>
      </c>
      <c r="F18" s="104" t="s">
        <v>573</v>
      </c>
      <c r="G18" s="78" t="s">
        <v>574</v>
      </c>
      <c r="H18" s="104" t="s">
        <v>579</v>
      </c>
      <c r="I18" s="104" t="s">
        <v>164</v>
      </c>
      <c r="J18" s="170"/>
      <c r="K18" s="171"/>
      <c r="L18" s="59"/>
      <c r="M18" s="172"/>
      <c r="N18" s="174"/>
      <c r="O18" s="175" t="s">
        <v>584</v>
      </c>
      <c r="P18" s="177"/>
      <c r="Q18" s="175" t="s">
        <v>586</v>
      </c>
      <c r="R18" s="104" t="s">
        <v>587</v>
      </c>
      <c r="S18" s="104" t="s">
        <v>588</v>
      </c>
      <c r="T18" s="61"/>
      <c r="U18" s="59"/>
      <c r="V18" s="178"/>
      <c r="W18" s="178"/>
      <c r="X18" s="178"/>
      <c r="Y18" s="178"/>
      <c r="Z18" s="178"/>
      <c r="AA18" s="178"/>
      <c r="AB18" s="178"/>
      <c r="AC18" s="178"/>
      <c r="AD18" s="178"/>
      <c r="AE18" s="178"/>
      <c r="AF18" s="178"/>
    </row>
    <row r="19">
      <c r="A19" s="163" t="s">
        <v>589</v>
      </c>
      <c r="B19" s="164" t="s">
        <v>568</v>
      </c>
      <c r="C19" s="166"/>
      <c r="D19" s="104" t="s">
        <v>590</v>
      </c>
      <c r="E19" s="168">
        <v>46210.0</v>
      </c>
      <c r="F19" s="104" t="s">
        <v>591</v>
      </c>
      <c r="G19" s="78" t="s">
        <v>593</v>
      </c>
      <c r="H19" s="104" t="s">
        <v>596</v>
      </c>
      <c r="I19" s="104" t="s">
        <v>164</v>
      </c>
      <c r="J19" s="170"/>
      <c r="K19" s="171"/>
      <c r="L19" s="59"/>
      <c r="M19" s="172"/>
      <c r="N19" s="174"/>
      <c r="O19" s="175" t="s">
        <v>598</v>
      </c>
      <c r="P19" s="177"/>
      <c r="Q19" s="175" t="s">
        <v>600</v>
      </c>
      <c r="R19" s="104" t="s">
        <v>602</v>
      </c>
      <c r="S19" s="104" t="s">
        <v>602</v>
      </c>
      <c r="T19" s="61"/>
      <c r="U19" s="59"/>
      <c r="V19" s="178"/>
      <c r="W19" s="178"/>
      <c r="X19" s="178"/>
      <c r="Y19" s="178"/>
      <c r="Z19" s="178"/>
      <c r="AA19" s="178"/>
      <c r="AB19" s="178"/>
      <c r="AC19" s="178"/>
      <c r="AD19" s="178"/>
      <c r="AE19" s="178"/>
      <c r="AF19" s="178"/>
    </row>
    <row r="20">
      <c r="A20" s="163" t="s">
        <v>603</v>
      </c>
      <c r="B20" s="164" t="s">
        <v>568</v>
      </c>
      <c r="C20" s="166"/>
      <c r="D20" s="104" t="s">
        <v>605</v>
      </c>
      <c r="E20" s="168">
        <v>46210.0</v>
      </c>
      <c r="F20" s="104" t="s">
        <v>607</v>
      </c>
      <c r="G20" s="78" t="s">
        <v>609</v>
      </c>
      <c r="H20" s="104" t="s">
        <v>612</v>
      </c>
      <c r="I20" s="104" t="s">
        <v>164</v>
      </c>
      <c r="J20" s="170"/>
      <c r="K20" s="171"/>
      <c r="L20" s="59"/>
      <c r="M20" s="172"/>
      <c r="N20" s="174"/>
      <c r="O20" s="175" t="s">
        <v>617</v>
      </c>
      <c r="P20" s="177"/>
      <c r="Q20" s="175" t="s">
        <v>618</v>
      </c>
      <c r="R20" s="104" t="s">
        <v>619</v>
      </c>
      <c r="S20" s="104" t="s">
        <v>620</v>
      </c>
      <c r="T20" s="61"/>
      <c r="U20" s="59"/>
      <c r="V20" s="178"/>
      <c r="W20" s="178"/>
      <c r="X20" s="178"/>
      <c r="Y20" s="178"/>
      <c r="Z20" s="178"/>
      <c r="AA20" s="178"/>
      <c r="AB20" s="178"/>
      <c r="AC20" s="178"/>
      <c r="AD20" s="178"/>
      <c r="AE20" s="178"/>
      <c r="AF20" s="178"/>
    </row>
    <row r="21" ht="99.0" customHeight="1">
      <c r="A21" s="163" t="s">
        <v>624</v>
      </c>
      <c r="B21" s="164" t="s">
        <v>625</v>
      </c>
      <c r="C21" s="166"/>
      <c r="D21" s="104" t="s">
        <v>627</v>
      </c>
      <c r="E21" s="168">
        <v>46216.0</v>
      </c>
      <c r="F21" s="104" t="s">
        <v>628</v>
      </c>
      <c r="G21" s="78" t="s">
        <v>629</v>
      </c>
      <c r="H21" s="104" t="s">
        <v>632</v>
      </c>
      <c r="I21" s="104" t="s">
        <v>164</v>
      </c>
      <c r="J21" s="170"/>
      <c r="K21" s="171"/>
      <c r="L21" s="59"/>
      <c r="M21" s="172"/>
      <c r="N21" s="174"/>
      <c r="O21" s="175" t="s">
        <v>633</v>
      </c>
      <c r="P21" s="177"/>
      <c r="Q21" s="175" t="s">
        <v>635</v>
      </c>
      <c r="R21" s="104" t="s">
        <v>636</v>
      </c>
      <c r="S21" s="104" t="s">
        <v>637</v>
      </c>
      <c r="T21" s="61"/>
      <c r="U21" s="59"/>
      <c r="V21" s="178"/>
      <c r="W21" s="178"/>
      <c r="X21" s="178"/>
      <c r="Y21" s="178"/>
      <c r="Z21" s="178"/>
      <c r="AA21" s="178"/>
      <c r="AB21" s="178"/>
      <c r="AC21" s="178"/>
      <c r="AD21" s="178"/>
      <c r="AE21" s="178"/>
      <c r="AF21" s="178"/>
    </row>
    <row r="22" ht="99.0" customHeight="1">
      <c r="A22" s="163" t="s">
        <v>640</v>
      </c>
      <c r="B22" s="164" t="s">
        <v>642</v>
      </c>
      <c r="C22" s="166"/>
      <c r="D22" s="104" t="s">
        <v>643</v>
      </c>
      <c r="E22" s="168">
        <v>46216.0</v>
      </c>
      <c r="F22" s="104" t="s">
        <v>644</v>
      </c>
      <c r="G22" s="78" t="s">
        <v>646</v>
      </c>
      <c r="H22" s="104" t="s">
        <v>649</v>
      </c>
      <c r="I22" s="104" t="s">
        <v>164</v>
      </c>
      <c r="J22" s="170"/>
      <c r="K22" s="171"/>
      <c r="L22" s="59"/>
      <c r="M22" s="172"/>
      <c r="N22" s="174"/>
      <c r="O22" s="139" t="s">
        <v>458</v>
      </c>
      <c r="P22" s="177"/>
      <c r="Q22" s="175" t="s">
        <v>652</v>
      </c>
      <c r="R22" s="104" t="s">
        <v>653</v>
      </c>
      <c r="S22" s="104" t="s">
        <v>654</v>
      </c>
      <c r="T22" s="61"/>
      <c r="U22" s="59"/>
      <c r="V22" s="178"/>
      <c r="W22" s="178"/>
      <c r="X22" s="178"/>
      <c r="Y22" s="178"/>
      <c r="Z22" s="178"/>
      <c r="AA22" s="178"/>
      <c r="AB22" s="178"/>
      <c r="AC22" s="178"/>
      <c r="AD22" s="178"/>
      <c r="AE22" s="178"/>
      <c r="AF22" s="178"/>
    </row>
    <row r="23">
      <c r="A23" s="163" t="s">
        <v>657</v>
      </c>
      <c r="B23" s="164" t="s">
        <v>658</v>
      </c>
      <c r="C23" s="166"/>
      <c r="D23" s="104" t="s">
        <v>660</v>
      </c>
      <c r="E23" s="168">
        <v>46216.0</v>
      </c>
      <c r="F23" s="104" t="s">
        <v>663</v>
      </c>
      <c r="G23" s="78" t="s">
        <v>664</v>
      </c>
      <c r="H23" s="104" t="s">
        <v>665</v>
      </c>
      <c r="I23" s="104" t="s">
        <v>164</v>
      </c>
      <c r="J23" s="170"/>
      <c r="K23" s="171"/>
      <c r="L23" s="59"/>
      <c r="M23" s="172"/>
      <c r="N23" s="174"/>
      <c r="O23" s="76" t="s">
        <v>667</v>
      </c>
      <c r="P23" s="177"/>
      <c r="Q23" s="175" t="s">
        <v>669</v>
      </c>
      <c r="R23" s="104" t="s">
        <v>670</v>
      </c>
      <c r="S23" s="104" t="s">
        <v>671</v>
      </c>
      <c r="T23" s="61"/>
      <c r="U23" s="59"/>
      <c r="V23" s="178"/>
      <c r="W23" s="178"/>
      <c r="X23" s="178"/>
      <c r="Y23" s="178"/>
      <c r="Z23" s="178"/>
      <c r="AA23" s="178"/>
      <c r="AB23" s="178"/>
      <c r="AC23" s="178"/>
      <c r="AD23" s="178"/>
      <c r="AE23" s="178"/>
      <c r="AF23" s="178"/>
    </row>
    <row r="24">
      <c r="A24" s="163" t="s">
        <v>676</v>
      </c>
      <c r="B24" s="164" t="s">
        <v>677</v>
      </c>
      <c r="C24" s="166"/>
      <c r="D24" s="104" t="s">
        <v>679</v>
      </c>
      <c r="E24" s="168">
        <v>46223.0</v>
      </c>
      <c r="F24" s="104" t="s">
        <v>680</v>
      </c>
      <c r="G24" s="206" t="s">
        <v>681</v>
      </c>
      <c r="H24" s="104" t="s">
        <v>683</v>
      </c>
      <c r="I24" s="104" t="s">
        <v>164</v>
      </c>
      <c r="J24" s="170"/>
      <c r="K24" s="171"/>
      <c r="L24" s="59"/>
      <c r="M24" s="172"/>
      <c r="N24" s="174"/>
      <c r="O24" s="76" t="s">
        <v>685</v>
      </c>
      <c r="P24" s="177"/>
      <c r="Q24" s="175" t="s">
        <v>687</v>
      </c>
      <c r="R24" s="104" t="s">
        <v>688</v>
      </c>
      <c r="S24" s="104" t="s">
        <v>689</v>
      </c>
      <c r="T24" s="61"/>
      <c r="U24" s="59"/>
      <c r="V24" s="178"/>
      <c r="W24" s="178"/>
      <c r="X24" s="178"/>
      <c r="Y24" s="178"/>
      <c r="Z24" s="178"/>
      <c r="AA24" s="178"/>
      <c r="AB24" s="178"/>
      <c r="AC24" s="178"/>
      <c r="AD24" s="178"/>
      <c r="AE24" s="178"/>
      <c r="AF24" s="178"/>
    </row>
    <row r="25">
      <c r="A25" s="163" t="s">
        <v>692</v>
      </c>
      <c r="B25" s="164" t="s">
        <v>693</v>
      </c>
      <c r="C25" s="166"/>
      <c r="D25" s="104" t="s">
        <v>694</v>
      </c>
      <c r="E25" s="168">
        <v>46223.0</v>
      </c>
      <c r="F25" s="104" t="s">
        <v>696</v>
      </c>
      <c r="G25" s="206" t="s">
        <v>698</v>
      </c>
      <c r="H25" s="104" t="s">
        <v>699</v>
      </c>
      <c r="I25" s="104" t="s">
        <v>164</v>
      </c>
      <c r="J25" s="170"/>
      <c r="K25" s="171"/>
      <c r="L25" s="59"/>
      <c r="M25" s="172"/>
      <c r="N25" s="174"/>
      <c r="O25" s="76" t="s">
        <v>701</v>
      </c>
      <c r="P25" s="177"/>
      <c r="Q25" s="175" t="s">
        <v>702</v>
      </c>
      <c r="R25" s="104" t="s">
        <v>703</v>
      </c>
      <c r="S25" s="104" t="s">
        <v>704</v>
      </c>
      <c r="T25" s="61"/>
      <c r="U25" s="59"/>
      <c r="V25" s="178"/>
      <c r="W25" s="178"/>
      <c r="X25" s="178"/>
      <c r="Y25" s="178"/>
      <c r="Z25" s="178"/>
      <c r="AA25" s="178"/>
      <c r="AB25" s="178"/>
      <c r="AC25" s="178"/>
      <c r="AD25" s="178"/>
      <c r="AE25" s="178"/>
      <c r="AF25" s="178"/>
    </row>
    <row r="26">
      <c r="A26" s="163" t="s">
        <v>705</v>
      </c>
      <c r="B26" s="164" t="s">
        <v>706</v>
      </c>
      <c r="C26" s="166"/>
      <c r="D26" s="104" t="s">
        <v>707</v>
      </c>
      <c r="E26" s="168">
        <v>46223.0</v>
      </c>
      <c r="F26" s="104" t="s">
        <v>708</v>
      </c>
      <c r="G26" s="206" t="s">
        <v>709</v>
      </c>
      <c r="H26" s="104" t="s">
        <v>450</v>
      </c>
      <c r="I26" s="104" t="s">
        <v>164</v>
      </c>
      <c r="J26" s="170"/>
      <c r="K26" s="171"/>
      <c r="L26" s="59"/>
      <c r="M26" s="172"/>
      <c r="N26" s="174"/>
      <c r="O26" s="76" t="s">
        <v>458</v>
      </c>
      <c r="P26" s="177"/>
      <c r="Q26" s="175" t="s">
        <v>711</v>
      </c>
      <c r="R26" s="104" t="s">
        <v>712</v>
      </c>
      <c r="S26" s="104" t="s">
        <v>713</v>
      </c>
      <c r="T26" s="61"/>
      <c r="U26" s="59"/>
      <c r="V26" s="178"/>
      <c r="W26" s="178"/>
      <c r="X26" s="178"/>
      <c r="Y26" s="178"/>
      <c r="Z26" s="178"/>
      <c r="AA26" s="178"/>
      <c r="AB26" s="178"/>
      <c r="AC26" s="178"/>
      <c r="AD26" s="178"/>
      <c r="AE26" s="178"/>
      <c r="AF26" s="178"/>
    </row>
    <row r="27">
      <c r="A27" s="163" t="s">
        <v>714</v>
      </c>
      <c r="B27" s="164" t="s">
        <v>546</v>
      </c>
      <c r="C27" s="166"/>
      <c r="D27" s="104" t="s">
        <v>715</v>
      </c>
      <c r="E27" s="168">
        <v>46231.0</v>
      </c>
      <c r="F27" s="104" t="s">
        <v>716</v>
      </c>
      <c r="G27" s="206" t="s">
        <v>717</v>
      </c>
      <c r="H27" s="104" t="s">
        <v>718</v>
      </c>
      <c r="I27" s="104" t="s">
        <v>164</v>
      </c>
      <c r="J27" s="170"/>
      <c r="K27" s="171"/>
      <c r="L27" s="59"/>
      <c r="M27" s="172"/>
      <c r="N27" s="174"/>
      <c r="O27" s="76" t="s">
        <v>720</v>
      </c>
      <c r="P27" s="177"/>
      <c r="Q27" s="175" t="s">
        <v>722</v>
      </c>
      <c r="R27" s="104" t="s">
        <v>723</v>
      </c>
      <c r="S27" s="104" t="s">
        <v>724</v>
      </c>
      <c r="T27" s="61"/>
      <c r="U27" s="59"/>
      <c r="V27" s="178"/>
      <c r="W27" s="178"/>
      <c r="X27" s="178"/>
      <c r="Y27" s="178"/>
      <c r="Z27" s="178"/>
      <c r="AA27" s="178"/>
      <c r="AB27" s="178"/>
      <c r="AC27" s="178"/>
      <c r="AD27" s="178"/>
      <c r="AE27" s="178"/>
      <c r="AF27" s="178"/>
    </row>
    <row r="28">
      <c r="A28" s="163" t="s">
        <v>729</v>
      </c>
      <c r="B28" s="164" t="s">
        <v>546</v>
      </c>
      <c r="C28" s="166"/>
      <c r="D28" s="104" t="s">
        <v>731</v>
      </c>
      <c r="E28" s="168">
        <v>46231.0</v>
      </c>
      <c r="F28" s="104" t="s">
        <v>733</v>
      </c>
      <c r="G28" s="206" t="s">
        <v>735</v>
      </c>
      <c r="H28" s="104" t="s">
        <v>737</v>
      </c>
      <c r="I28" s="104" t="s">
        <v>164</v>
      </c>
      <c r="J28" s="170"/>
      <c r="K28" s="171"/>
      <c r="L28" s="59"/>
      <c r="M28" s="172"/>
      <c r="N28" s="174"/>
      <c r="O28" s="76" t="s">
        <v>739</v>
      </c>
      <c r="P28" s="177"/>
      <c r="Q28" s="175" t="s">
        <v>741</v>
      </c>
      <c r="R28" s="104" t="s">
        <v>743</v>
      </c>
      <c r="S28" s="104" t="s">
        <v>744</v>
      </c>
      <c r="T28" s="61"/>
      <c r="U28" s="59"/>
      <c r="V28" s="178"/>
      <c r="W28" s="178"/>
      <c r="X28" s="178"/>
      <c r="Y28" s="178"/>
      <c r="Z28" s="178"/>
      <c r="AA28" s="178"/>
      <c r="AB28" s="178"/>
      <c r="AC28" s="178"/>
      <c r="AD28" s="178"/>
      <c r="AE28" s="178"/>
      <c r="AF28" s="178"/>
    </row>
    <row r="29">
      <c r="A29" s="163" t="s">
        <v>751</v>
      </c>
      <c r="B29" s="164" t="s">
        <v>754</v>
      </c>
      <c r="C29" s="166"/>
      <c r="D29" s="104" t="s">
        <v>757</v>
      </c>
      <c r="E29" s="168">
        <v>46231.0</v>
      </c>
      <c r="F29" s="104" t="s">
        <v>759</v>
      </c>
      <c r="G29" s="206" t="s">
        <v>761</v>
      </c>
      <c r="H29" s="104" t="s">
        <v>763</v>
      </c>
      <c r="I29" s="104" t="s">
        <v>164</v>
      </c>
      <c r="J29" s="170"/>
      <c r="K29" s="171"/>
      <c r="L29" s="59"/>
      <c r="M29" s="172"/>
      <c r="N29" s="174"/>
      <c r="O29" s="76" t="s">
        <v>767</v>
      </c>
      <c r="P29" s="177"/>
      <c r="Q29" s="175" t="s">
        <v>770</v>
      </c>
      <c r="R29" s="104" t="s">
        <v>773</v>
      </c>
      <c r="S29" s="104" t="s">
        <v>775</v>
      </c>
      <c r="T29" s="61"/>
      <c r="U29" s="59"/>
      <c r="V29" s="178"/>
      <c r="W29" s="178"/>
      <c r="X29" s="178"/>
      <c r="Y29" s="178"/>
      <c r="Z29" s="178"/>
      <c r="AA29" s="178"/>
      <c r="AB29" s="178"/>
      <c r="AC29" s="178"/>
      <c r="AD29" s="178"/>
      <c r="AE29" s="178"/>
      <c r="AF29" s="178"/>
    </row>
    <row r="30">
      <c r="A30" s="79"/>
      <c r="B30" s="235"/>
      <c r="C30" s="47"/>
      <c r="D30" s="237"/>
      <c r="E30" s="87"/>
      <c r="F30" s="87"/>
      <c r="G30" s="240"/>
      <c r="H30" s="74"/>
      <c r="I30" s="74"/>
      <c r="J30" s="54"/>
      <c r="K30" s="55"/>
      <c r="L30" s="58"/>
      <c r="M30" s="58"/>
      <c r="N30" s="60"/>
      <c r="O30" s="55"/>
      <c r="P30" s="65"/>
      <c r="Q30" s="73"/>
      <c r="R30" s="74"/>
      <c r="S30" s="74"/>
      <c r="T30" s="74"/>
      <c r="U30" s="58"/>
      <c r="V30" s="56"/>
      <c r="W30" s="56"/>
      <c r="X30" s="56"/>
      <c r="Y30" s="56"/>
      <c r="Z30" s="56"/>
      <c r="AA30" s="56"/>
      <c r="AB30" s="56"/>
      <c r="AC30" s="56"/>
      <c r="AD30" s="56"/>
      <c r="AE30" s="56"/>
      <c r="AF30" s="56"/>
    </row>
  </sheetData>
  <mergeCells count="4">
    <mergeCell ref="C1:C2"/>
    <mergeCell ref="J1:J2"/>
    <mergeCell ref="N1:N2"/>
    <mergeCell ref="P1:P2"/>
  </mergeCells>
  <hyperlinks>
    <hyperlink r:id="rId1" ref="G4"/>
    <hyperlink r:id="rId2" ref="G5"/>
    <hyperlink r:id="rId3" ref="G18"/>
    <hyperlink r:id="rId4" ref="G19"/>
    <hyperlink r:id="rId5" ref="G20"/>
    <hyperlink r:id="rId6" ref="G21"/>
    <hyperlink r:id="rId7" ref="G22"/>
    <hyperlink r:id="rId8" ref="G23"/>
  </hyperlinks>
  <printOptions/>
  <pageMargins bottom="0.75" footer="0.0" header="0.0" left="0.25" right="0.25" top="0.75"/>
  <pageSetup fitToHeight="0" paperSize="3"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7" t="s">
        <v>11</v>
      </c>
      <c r="B1" s="7" t="s">
        <v>13</v>
      </c>
      <c r="C1" s="7" t="s">
        <v>14</v>
      </c>
      <c r="D1" s="7" t="s">
        <v>15</v>
      </c>
      <c r="E1" s="7" t="s">
        <v>16</v>
      </c>
      <c r="F1" s="7" t="s">
        <v>18</v>
      </c>
      <c r="G1" s="7" t="s">
        <v>20</v>
      </c>
      <c r="H1" s="7" t="s">
        <v>21</v>
      </c>
      <c r="I1" s="7" t="s">
        <v>23</v>
      </c>
      <c r="J1" s="7" t="s">
        <v>24</v>
      </c>
      <c r="K1" s="7" t="s">
        <v>26</v>
      </c>
    </row>
    <row r="2" ht="12.75" customHeight="1">
      <c r="A2" s="13"/>
    </row>
    <row r="3" ht="12.75" customHeight="1">
      <c r="A3" s="13"/>
    </row>
    <row r="4" ht="12.75" customHeight="1">
      <c r="A4" s="13"/>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30" t="s">
        <v>50</v>
      </c>
      <c r="B1" s="30" t="s">
        <v>52</v>
      </c>
      <c r="C1" s="30" t="s">
        <v>53</v>
      </c>
      <c r="D1" s="30" t="s">
        <v>56</v>
      </c>
      <c r="E1" s="30" t="s">
        <v>59</v>
      </c>
      <c r="F1" s="30" t="s">
        <v>62</v>
      </c>
      <c r="G1" s="30" t="s">
        <v>63</v>
      </c>
      <c r="H1" s="30" t="s">
        <v>67</v>
      </c>
      <c r="I1" s="30" t="s">
        <v>68</v>
      </c>
      <c r="J1" s="30" t="s">
        <v>72</v>
      </c>
      <c r="K1" s="30" t="s">
        <v>74</v>
      </c>
      <c r="L1" s="30" t="s">
        <v>77</v>
      </c>
      <c r="M1" s="37"/>
    </row>
    <row r="2">
      <c r="A2" s="37" t="s">
        <v>81</v>
      </c>
      <c r="B2" s="39" t="s">
        <v>82</v>
      </c>
      <c r="C2" s="37" t="s">
        <v>84</v>
      </c>
      <c r="D2" s="40" t="s">
        <v>85</v>
      </c>
      <c r="E2" s="40" t="s">
        <v>89</v>
      </c>
      <c r="F2" s="40" t="s">
        <v>90</v>
      </c>
      <c r="G2" s="40" t="s">
        <v>91</v>
      </c>
      <c r="H2" s="40" t="s">
        <v>92</v>
      </c>
      <c r="I2" s="40" t="s">
        <v>93</v>
      </c>
      <c r="J2" s="40" t="s">
        <v>94</v>
      </c>
      <c r="K2" s="40" t="s">
        <v>95</v>
      </c>
      <c r="L2" s="41"/>
      <c r="M2" s="40"/>
    </row>
    <row r="3">
      <c r="A3" s="42" t="s">
        <v>96</v>
      </c>
      <c r="B3" s="39" t="s">
        <v>98</v>
      </c>
      <c r="C3" s="42" t="s">
        <v>99</v>
      </c>
      <c r="D3" s="40" t="s">
        <v>100</v>
      </c>
      <c r="E3" s="40" t="s">
        <v>101</v>
      </c>
      <c r="F3" s="40" t="s">
        <v>102</v>
      </c>
      <c r="G3" s="40" t="s">
        <v>103</v>
      </c>
      <c r="H3" s="40" t="s">
        <v>105</v>
      </c>
      <c r="I3" s="40" t="s">
        <v>106</v>
      </c>
      <c r="J3" s="40" t="s">
        <v>107</v>
      </c>
      <c r="K3" s="40" t="s">
        <v>109</v>
      </c>
      <c r="L3" s="41"/>
      <c r="M3" s="41"/>
    </row>
    <row r="4">
      <c r="A4" s="42" t="s">
        <v>111</v>
      </c>
      <c r="B4" s="39" t="s">
        <v>112</v>
      </c>
      <c r="C4" s="42" t="s">
        <v>113</v>
      </c>
      <c r="D4" s="40" t="s">
        <v>115</v>
      </c>
      <c r="E4" s="40" t="s">
        <v>116</v>
      </c>
      <c r="F4" s="40" t="s">
        <v>117</v>
      </c>
      <c r="G4" s="40" t="s">
        <v>119</v>
      </c>
      <c r="H4" s="40" t="s">
        <v>120</v>
      </c>
      <c r="I4" s="40" t="s">
        <v>93</v>
      </c>
      <c r="J4" s="40" t="s">
        <v>122</v>
      </c>
      <c r="K4" s="40" t="s">
        <v>123</v>
      </c>
      <c r="L4" s="41"/>
      <c r="M4" s="41"/>
    </row>
    <row r="5">
      <c r="A5" s="42" t="s">
        <v>125</v>
      </c>
      <c r="B5" s="39" t="s">
        <v>127</v>
      </c>
      <c r="C5" s="42" t="s">
        <v>128</v>
      </c>
      <c r="D5" s="40" t="s">
        <v>115</v>
      </c>
      <c r="E5" s="40" t="s">
        <v>129</v>
      </c>
      <c r="F5" s="40" t="s">
        <v>130</v>
      </c>
      <c r="G5" s="40" t="s">
        <v>131</v>
      </c>
      <c r="H5" s="40" t="s">
        <v>132</v>
      </c>
      <c r="I5" s="40" t="s">
        <v>93</v>
      </c>
      <c r="J5" s="40" t="s">
        <v>133</v>
      </c>
      <c r="K5" s="40" t="s">
        <v>134</v>
      </c>
      <c r="L5" s="41"/>
      <c r="M5" s="41"/>
    </row>
    <row r="6">
      <c r="A6" s="42" t="s">
        <v>135</v>
      </c>
      <c r="B6" s="39" t="s">
        <v>136</v>
      </c>
      <c r="C6" s="42" t="s">
        <v>137</v>
      </c>
      <c r="D6" s="40" t="s">
        <v>115</v>
      </c>
      <c r="E6" s="40" t="s">
        <v>138</v>
      </c>
      <c r="F6" s="40" t="s">
        <v>139</v>
      </c>
      <c r="G6" s="40" t="s">
        <v>140</v>
      </c>
      <c r="H6" s="40" t="s">
        <v>141</v>
      </c>
      <c r="I6" s="40" t="s">
        <v>106</v>
      </c>
      <c r="J6" s="40" t="s">
        <v>142</v>
      </c>
      <c r="K6" s="40" t="s">
        <v>123</v>
      </c>
      <c r="L6" s="41"/>
      <c r="M6" s="41"/>
    </row>
    <row r="7">
      <c r="A7" s="42" t="s">
        <v>143</v>
      </c>
      <c r="B7" s="39" t="s">
        <v>144</v>
      </c>
      <c r="C7" s="42" t="s">
        <v>145</v>
      </c>
      <c r="D7" s="40" t="s">
        <v>100</v>
      </c>
      <c r="E7" s="40" t="s">
        <v>146</v>
      </c>
      <c r="F7" s="40" t="s">
        <v>147</v>
      </c>
      <c r="G7" s="40" t="s">
        <v>148</v>
      </c>
      <c r="H7" s="40" t="s">
        <v>149</v>
      </c>
      <c r="I7" s="40" t="s">
        <v>150</v>
      </c>
      <c r="J7" s="40" t="s">
        <v>151</v>
      </c>
      <c r="K7" s="40" t="s">
        <v>152</v>
      </c>
      <c r="L7" s="41"/>
      <c r="M7" s="41"/>
    </row>
    <row r="8" ht="14.25" customHeight="1">
      <c r="A8" s="50"/>
      <c r="B8" s="50"/>
      <c r="C8" s="37"/>
      <c r="D8" s="50"/>
      <c r="E8" s="50"/>
      <c r="F8" s="50"/>
      <c r="G8" s="50"/>
      <c r="H8" s="50"/>
      <c r="I8" s="50"/>
      <c r="J8" s="50"/>
      <c r="K8" s="50"/>
      <c r="L8" s="50"/>
      <c r="M8" s="50"/>
    </row>
  </sheetData>
  <printOptions/>
  <pageMargins bottom="0.75" footer="0.0" header="0.0" left="0.7" right="0.7" top="0.75"/>
  <pageSetup paperSize="8"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44" t="s">
        <v>5</v>
      </c>
      <c r="B1" s="44" t="s">
        <v>104</v>
      </c>
      <c r="C1" s="44" t="s">
        <v>108</v>
      </c>
      <c r="D1" s="44" t="s">
        <v>110</v>
      </c>
      <c r="E1" s="44" t="s">
        <v>114</v>
      </c>
      <c r="F1" s="44" t="s">
        <v>118</v>
      </c>
      <c r="G1" s="44" t="s">
        <v>121</v>
      </c>
      <c r="H1" s="44" t="s">
        <v>12</v>
      </c>
      <c r="I1" s="49" t="s">
        <v>126</v>
      </c>
    </row>
    <row r="2" ht="15.75" customHeight="1">
      <c r="A2" s="56" t="str">
        <f>Requirements!B3</f>
        <v>System [Mission level]</v>
      </c>
      <c r="B2" s="56" t="str">
        <f>Requirements!A3</f>
        <v>REQ.01.01</v>
      </c>
      <c r="C2" s="59"/>
      <c r="D2" s="59"/>
      <c r="E2" s="59"/>
      <c r="F2" s="61"/>
      <c r="G2" s="61"/>
      <c r="H2" s="67"/>
      <c r="I2" s="59" t="s">
        <v>159</v>
      </c>
    </row>
    <row r="3" ht="15.75" customHeight="1">
      <c r="A3" s="56" t="str">
        <f>Requirements!B12</f>
        <v>Subsystem [Operational Level] Thermal</v>
      </c>
      <c r="B3" s="56" t="str">
        <f>Requirements!A12</f>
        <v>REQ.05.01</v>
      </c>
      <c r="C3" s="59"/>
      <c r="D3" s="59"/>
      <c r="E3" s="59"/>
      <c r="F3" s="61"/>
      <c r="G3" s="61"/>
      <c r="H3" s="67"/>
      <c r="I3" s="67" t="s">
        <v>171</v>
      </c>
    </row>
    <row r="4" ht="15.75" customHeight="1">
      <c r="A4" s="56" t="str">
        <f t="shared" ref="A4:B4" si="1">#REF!</f>
        <v>#REF!</v>
      </c>
      <c r="B4" s="56" t="str">
        <f t="shared" si="1"/>
        <v>#REF!</v>
      </c>
      <c r="C4" s="59"/>
      <c r="D4" s="59"/>
      <c r="E4" s="59"/>
      <c r="F4" s="61"/>
      <c r="G4" s="61"/>
      <c r="H4" s="67"/>
      <c r="I4" s="67" t="s">
        <v>177</v>
      </c>
    </row>
    <row r="5" ht="15.75" customHeight="1">
      <c r="A5" s="56" t="str">
        <f t="shared" ref="A5:B5" si="2">#REF!</f>
        <v>#REF!</v>
      </c>
      <c r="B5" s="56" t="str">
        <f t="shared" si="2"/>
        <v>#REF!</v>
      </c>
      <c r="C5" s="59"/>
      <c r="D5" s="59"/>
      <c r="E5" s="59"/>
      <c r="F5" s="61"/>
      <c r="G5" s="61"/>
      <c r="H5" s="67"/>
      <c r="I5" s="67" t="s">
        <v>183</v>
      </c>
    </row>
    <row r="6" ht="15.75" customHeight="1">
      <c r="A6" s="56" t="str">
        <f>Requirements!B13</f>
        <v>Subsystem [Operations Level] CDH</v>
      </c>
      <c r="B6" s="56" t="str">
        <f>Requirements!A13</f>
        <v>REQ.05.02</v>
      </c>
      <c r="C6" s="59"/>
      <c r="D6" s="59"/>
      <c r="E6" s="59"/>
      <c r="F6" s="61"/>
      <c r="G6" s="61"/>
      <c r="H6" s="67"/>
      <c r="I6" s="67" t="s">
        <v>191</v>
      </c>
    </row>
    <row r="7" ht="15.75" customHeight="1">
      <c r="A7" s="56" t="str">
        <f>Requirements!B14</f>
        <v>Subsystem [Operations Level] Power</v>
      </c>
      <c r="B7" s="56" t="str">
        <f>Requirements!A14</f>
        <v>REQ.05.03</v>
      </c>
      <c r="C7" s="59"/>
      <c r="D7" s="59"/>
      <c r="E7" s="59"/>
      <c r="F7" s="61"/>
      <c r="G7" s="61"/>
      <c r="H7" s="67"/>
      <c r="I7" s="67"/>
    </row>
    <row r="8" ht="15.75" customHeight="1">
      <c r="A8" s="56" t="str">
        <f t="shared" ref="A8:B8" si="3">#REF!</f>
        <v>#REF!</v>
      </c>
      <c r="B8" s="56" t="str">
        <f t="shared" si="3"/>
        <v>#REF!</v>
      </c>
      <c r="C8" s="59"/>
      <c r="D8" s="59"/>
      <c r="E8" s="59"/>
      <c r="F8" s="61"/>
      <c r="G8" s="61"/>
      <c r="H8" s="67"/>
      <c r="I8" s="67"/>
    </row>
    <row r="9" ht="15.75" customHeight="1">
      <c r="A9" s="56" t="str">
        <f t="shared" ref="A9:B9" si="4">#REF!</f>
        <v>#REF!</v>
      </c>
      <c r="B9" s="56" t="str">
        <f t="shared" si="4"/>
        <v>#REF!</v>
      </c>
      <c r="C9" s="59"/>
      <c r="D9" s="59"/>
      <c r="E9" s="59"/>
      <c r="F9" s="61"/>
      <c r="G9" s="61"/>
      <c r="H9" s="67"/>
      <c r="I9" s="67"/>
    </row>
    <row r="10" ht="15.75" customHeight="1">
      <c r="A10" s="56" t="str">
        <f>Requirements!B15</f>
        <v>Subsystem [Operation Level] Mobility</v>
      </c>
      <c r="B10" s="56" t="str">
        <f>Requirements!A15</f>
        <v>REQ.06.01</v>
      </c>
      <c r="C10" s="59"/>
      <c r="D10" s="59"/>
      <c r="E10" s="59"/>
      <c r="F10" s="61"/>
      <c r="G10" s="61"/>
      <c r="H10" s="67"/>
      <c r="I10" s="67"/>
    </row>
    <row r="11" ht="15.75" customHeight="1">
      <c r="A11" s="56" t="str">
        <f>Requirements!B16</f>
        <v>Subsystem [Operations Level] Science / Payload</v>
      </c>
      <c r="B11" s="56" t="str">
        <f>Requirements!A16</f>
        <v>REQ.06.02</v>
      </c>
      <c r="C11" s="59"/>
      <c r="D11" s="59"/>
      <c r="E11" s="59"/>
      <c r="F11" s="61"/>
      <c r="G11" s="61"/>
      <c r="H11" s="67"/>
      <c r="I11" s="67"/>
    </row>
    <row r="12" ht="15.75" customHeight="1">
      <c r="A12" s="56" t="str">
        <f>Requirements!B17</f>
        <v>Subsystem [Operations Level] COMMs</v>
      </c>
      <c r="B12" s="56" t="str">
        <f>Requirements!A17</f>
        <v>REQ.06.03</v>
      </c>
      <c r="C12" s="59"/>
      <c r="D12" s="59"/>
      <c r="E12" s="59"/>
      <c r="F12" s="61"/>
      <c r="G12" s="61"/>
      <c r="H12" s="67"/>
      <c r="I12" s="67"/>
    </row>
    <row r="13" ht="15.75" customHeight="1">
      <c r="A13" s="56" t="str">
        <f>Requirements!B30</f>
        <v/>
      </c>
      <c r="B13" s="56" t="str">
        <f>Requirements!A30</f>
        <v/>
      </c>
      <c r="C13" s="59"/>
      <c r="D13" s="59"/>
      <c r="E13" s="83"/>
      <c r="F13" s="59"/>
      <c r="G13" s="61"/>
      <c r="H13" s="67"/>
      <c r="I13" s="67"/>
    </row>
    <row r="14" ht="15.75" customHeight="1">
      <c r="A14" s="56" t="str">
        <f t="shared" ref="A14:B14" si="5">#REF!</f>
        <v>#REF!</v>
      </c>
      <c r="B14" s="56" t="str">
        <f t="shared" si="5"/>
        <v>#REF!</v>
      </c>
      <c r="C14" s="59"/>
      <c r="D14" s="59"/>
      <c r="E14" s="83"/>
      <c r="F14" s="59"/>
      <c r="G14" s="61"/>
      <c r="H14" s="67"/>
      <c r="I14" s="67"/>
    </row>
    <row r="15" ht="15.75" customHeight="1">
      <c r="A15" s="56" t="str">
        <f t="shared" ref="A15:B15" si="6">#REF!</f>
        <v>#REF!</v>
      </c>
      <c r="B15" s="56" t="str">
        <f t="shared" si="6"/>
        <v>#REF!</v>
      </c>
      <c r="C15" s="59"/>
      <c r="D15" s="59"/>
      <c r="E15" s="83"/>
      <c r="F15" s="59"/>
      <c r="G15" s="74"/>
      <c r="H15" s="84"/>
      <c r="I15" s="84"/>
    </row>
    <row r="16" ht="15.75" customHeight="1">
      <c r="A16" s="56" t="str">
        <f t="shared" ref="A16:B16" si="7">#REF!</f>
        <v>#REF!</v>
      </c>
      <c r="B16" s="56" t="str">
        <f t="shared" si="7"/>
        <v>#REF!</v>
      </c>
      <c r="C16" s="59"/>
      <c r="D16" s="59"/>
      <c r="E16" s="83"/>
      <c r="F16" s="59"/>
      <c r="G16" s="61"/>
      <c r="H16" s="67"/>
      <c r="I16" s="67"/>
    </row>
    <row r="17" ht="15.75" customHeight="1">
      <c r="A17" s="56" t="str">
        <f t="shared" ref="A17:B17" si="8">#REF!</f>
        <v>#REF!</v>
      </c>
      <c r="B17" s="56" t="str">
        <f t="shared" si="8"/>
        <v>#REF!</v>
      </c>
      <c r="C17" s="59"/>
      <c r="D17" s="59"/>
      <c r="E17" s="59"/>
      <c r="F17" s="61"/>
      <c r="G17" s="61"/>
      <c r="H17" s="67"/>
      <c r="I17" s="67"/>
    </row>
    <row r="18" ht="15.75" customHeight="1">
      <c r="A18" s="56" t="str">
        <f t="shared" ref="A18:B18" si="9">#REF!</f>
        <v>#REF!</v>
      </c>
      <c r="B18" s="56" t="str">
        <f t="shared" si="9"/>
        <v>#REF!</v>
      </c>
      <c r="C18" s="59"/>
      <c r="D18" s="59"/>
      <c r="E18" s="59"/>
      <c r="F18" s="61"/>
      <c r="G18" s="61"/>
      <c r="H18" s="86"/>
      <c r="I18" s="67"/>
    </row>
    <row r="19" ht="15.75" customHeight="1">
      <c r="A19" s="56" t="str">
        <f t="shared" ref="A19:B19" si="10">#REF!</f>
        <v>#REF!</v>
      </c>
      <c r="B19" s="56" t="str">
        <f t="shared" si="10"/>
        <v>#REF!</v>
      </c>
      <c r="C19" s="59"/>
      <c r="D19" s="59"/>
      <c r="E19" s="59"/>
      <c r="F19" s="61"/>
      <c r="G19" s="61"/>
      <c r="H19" s="67"/>
      <c r="I19" s="67"/>
    </row>
    <row r="20" ht="15.75" customHeight="1">
      <c r="A20" s="56" t="str">
        <f t="shared" ref="A20:B20" si="11">#REF!</f>
        <v>#REF!</v>
      </c>
      <c r="B20" s="56" t="str">
        <f t="shared" si="11"/>
        <v>#REF!</v>
      </c>
      <c r="C20" s="59"/>
      <c r="D20" s="59"/>
      <c r="E20" s="59"/>
      <c r="F20" s="61"/>
      <c r="G20" s="61"/>
      <c r="H20" s="88"/>
      <c r="I20" s="67"/>
    </row>
    <row r="21" ht="15.75" customHeight="1">
      <c r="A21" s="56" t="str">
        <f t="shared" ref="A21:B21" si="12">#REF!</f>
        <v>#REF!</v>
      </c>
      <c r="B21" s="56" t="str">
        <f t="shared" si="12"/>
        <v>#REF!</v>
      </c>
      <c r="C21" s="59"/>
      <c r="D21" s="59"/>
      <c r="E21" s="59"/>
      <c r="F21" s="61"/>
      <c r="G21" s="61"/>
      <c r="H21" s="67"/>
      <c r="I21" s="67"/>
    </row>
    <row r="22" ht="15.75" customHeight="1">
      <c r="A22" s="56" t="str">
        <f t="shared" ref="A22:B22" si="13">#REF!</f>
        <v>#REF!</v>
      </c>
      <c r="B22" s="56" t="str">
        <f t="shared" si="13"/>
        <v>#REF!</v>
      </c>
      <c r="C22" s="59"/>
      <c r="D22" s="59"/>
      <c r="E22" s="59"/>
      <c r="F22" s="61"/>
      <c r="G22" s="61"/>
      <c r="H22" s="67"/>
      <c r="I22" s="67"/>
    </row>
    <row r="23" ht="15.75" customHeight="1">
      <c r="A23" s="56" t="str">
        <f t="shared" ref="A23:B23" si="14">#REF!</f>
        <v>#REF!</v>
      </c>
      <c r="B23" s="56" t="str">
        <f t="shared" si="14"/>
        <v>#REF!</v>
      </c>
      <c r="C23" s="59"/>
      <c r="D23" s="59"/>
      <c r="E23" s="59"/>
      <c r="F23" s="61"/>
      <c r="G23" s="61"/>
      <c r="H23" s="67"/>
      <c r="I23" s="67"/>
    </row>
    <row r="24" ht="15.75" customHeight="1">
      <c r="A24" s="56" t="str">
        <f t="shared" ref="A24:B24" si="15">#REF!</f>
        <v>#REF!</v>
      </c>
      <c r="B24" s="56" t="str">
        <f t="shared" si="15"/>
        <v>#REF!</v>
      </c>
      <c r="C24" s="59"/>
      <c r="D24" s="59"/>
      <c r="E24" s="59"/>
      <c r="F24" s="61"/>
      <c r="G24" s="61"/>
      <c r="H24" s="67"/>
      <c r="I24" s="67"/>
    </row>
    <row r="25" ht="56.25" customHeight="1">
      <c r="A25" s="56" t="str">
        <f t="shared" ref="A25:B25" si="16">#REF!</f>
        <v>#REF!</v>
      </c>
      <c r="B25" s="56" t="str">
        <f t="shared" si="16"/>
        <v>#REF!</v>
      </c>
      <c r="C25" s="59"/>
      <c r="D25" s="59"/>
      <c r="E25" s="59"/>
      <c r="F25" s="61"/>
      <c r="G25" s="61"/>
      <c r="H25" s="67"/>
      <c r="I25" s="67"/>
    </row>
    <row r="26" ht="56.25" customHeight="1">
      <c r="A26" s="56" t="str">
        <f t="shared" ref="A26:B26" si="17">#REF!</f>
        <v>#REF!</v>
      </c>
      <c r="B26" s="56" t="str">
        <f t="shared" si="17"/>
        <v>#REF!</v>
      </c>
      <c r="C26" s="59"/>
      <c r="D26" s="59"/>
      <c r="E26" s="59"/>
      <c r="F26" s="61"/>
      <c r="G26" s="61"/>
      <c r="H26" s="67"/>
      <c r="I26" s="67"/>
    </row>
    <row r="27" ht="15.75" customHeight="1">
      <c r="A27" s="56" t="str">
        <f t="shared" ref="A27:B27" si="18">#REF!</f>
        <v>#REF!</v>
      </c>
      <c r="B27" s="56" t="str">
        <f t="shared" si="18"/>
        <v>#REF!</v>
      </c>
      <c r="C27" s="59"/>
      <c r="D27" s="59"/>
      <c r="E27" s="59"/>
      <c r="F27" s="59"/>
      <c r="G27" s="61"/>
      <c r="H27" s="67"/>
      <c r="I27" s="67"/>
    </row>
    <row r="28" ht="15.75" customHeight="1">
      <c r="A28" s="56" t="str">
        <f t="shared" ref="A28:B28" si="19">#REF!</f>
        <v>#REF!</v>
      </c>
      <c r="B28" s="56" t="str">
        <f t="shared" si="19"/>
        <v>#REF!</v>
      </c>
      <c r="C28" s="59"/>
      <c r="D28" s="59"/>
      <c r="E28" s="59"/>
      <c r="F28" s="59"/>
      <c r="G28" s="61"/>
      <c r="H28" s="67"/>
      <c r="I28" s="67"/>
    </row>
    <row r="29" ht="15.75" customHeight="1">
      <c r="A29" s="56" t="str">
        <f t="shared" ref="A29:B29" si="20">#REF!</f>
        <v>#REF!</v>
      </c>
      <c r="B29" s="56" t="str">
        <f t="shared" si="20"/>
        <v>#REF!</v>
      </c>
      <c r="C29" s="59"/>
      <c r="D29" s="59"/>
      <c r="E29" s="59"/>
      <c r="F29" s="61"/>
      <c r="G29" s="61"/>
      <c r="H29" s="67"/>
      <c r="I29" s="67"/>
    </row>
    <row r="30" ht="15.75" customHeight="1">
      <c r="A30" s="56" t="str">
        <f t="shared" ref="A30:B30" si="21">#REF!</f>
        <v>#REF!</v>
      </c>
      <c r="B30" s="56" t="str">
        <f t="shared" si="21"/>
        <v>#REF!</v>
      </c>
      <c r="C30" s="59"/>
      <c r="D30" s="59"/>
      <c r="E30" s="59"/>
      <c r="F30" s="74"/>
      <c r="G30" s="74"/>
      <c r="H30" s="91"/>
      <c r="I30" s="84"/>
    </row>
    <row r="31" ht="15.75" customHeight="1">
      <c r="A31" s="56" t="str">
        <f t="shared" ref="A31:B31" si="22">#REF!</f>
        <v>#REF!</v>
      </c>
      <c r="B31" s="56" t="str">
        <f t="shared" si="22"/>
        <v>#REF!</v>
      </c>
      <c r="C31" s="59"/>
      <c r="D31" s="59"/>
      <c r="E31" s="59"/>
      <c r="F31" s="61"/>
      <c r="G31" s="61"/>
      <c r="H31" s="93"/>
      <c r="I31" s="67"/>
    </row>
    <row r="32" ht="15.75" customHeight="1">
      <c r="A32" s="56" t="str">
        <f t="shared" ref="A32:B32" si="23">#REF!</f>
        <v>#REF!</v>
      </c>
      <c r="B32" s="56" t="str">
        <f t="shared" si="23"/>
        <v>#REF!</v>
      </c>
      <c r="C32" s="59"/>
      <c r="D32" s="59"/>
      <c r="E32" s="59"/>
      <c r="F32" s="61"/>
      <c r="G32" s="61"/>
      <c r="H32" s="67"/>
      <c r="I32" s="67"/>
    </row>
    <row r="33" ht="15.75" customHeight="1">
      <c r="A33" s="56" t="str">
        <f t="shared" ref="A33:B33" si="24">#REF!</f>
        <v>#REF!</v>
      </c>
      <c r="B33" s="56" t="str">
        <f t="shared" si="24"/>
        <v>#REF!</v>
      </c>
      <c r="C33" s="59"/>
      <c r="D33" s="59"/>
      <c r="E33" s="59"/>
      <c r="F33" s="61"/>
      <c r="G33" s="61"/>
      <c r="H33" s="67"/>
      <c r="I33" s="67"/>
    </row>
    <row r="34" ht="15.75" customHeight="1">
      <c r="A34" s="56" t="str">
        <f t="shared" ref="A34:B34" si="25">#REF!</f>
        <v>#REF!</v>
      </c>
      <c r="B34" s="56" t="str">
        <f t="shared" si="25"/>
        <v>#REF!</v>
      </c>
      <c r="C34" s="59"/>
      <c r="D34" s="59"/>
      <c r="E34" s="59"/>
      <c r="F34" s="61"/>
      <c r="G34" s="61"/>
      <c r="H34" s="67"/>
      <c r="I34" s="67"/>
    </row>
    <row r="35" ht="15.75" customHeight="1">
      <c r="A35" s="56" t="str">
        <f t="shared" ref="A35:B35" si="26">#REF!</f>
        <v>#REF!</v>
      </c>
      <c r="B35" s="56" t="str">
        <f t="shared" si="26"/>
        <v>#REF!</v>
      </c>
      <c r="C35" s="59"/>
      <c r="D35" s="59"/>
      <c r="E35" s="83"/>
      <c r="F35" s="61"/>
      <c r="G35" s="61"/>
      <c r="H35" s="67"/>
      <c r="I35" s="67"/>
    </row>
    <row r="36" ht="15.75" customHeight="1">
      <c r="A36" s="56" t="str">
        <f t="shared" ref="A36:B36" si="27">#REF!</f>
        <v>#REF!</v>
      </c>
      <c r="B36" s="56" t="str">
        <f t="shared" si="27"/>
        <v>#REF!</v>
      </c>
      <c r="C36" s="59"/>
      <c r="D36" s="59"/>
      <c r="E36" s="83"/>
      <c r="F36" s="61"/>
      <c r="G36" s="61"/>
      <c r="H36" s="67"/>
      <c r="I36" s="67"/>
    </row>
    <row r="37" ht="15.75" customHeight="1">
      <c r="A37" s="56"/>
      <c r="B37" s="56"/>
      <c r="C37" s="58"/>
      <c r="D37" s="58"/>
      <c r="E37" s="58"/>
      <c r="F37" s="74"/>
      <c r="G37" s="74"/>
      <c r="H37" s="84"/>
      <c r="I37" s="84"/>
    </row>
    <row r="38" ht="15.75" customHeight="1">
      <c r="A38" s="56" t="str">
        <f t="shared" ref="A38:B38" si="28">#REF!</f>
        <v>#REF!</v>
      </c>
      <c r="B38" s="56" t="str">
        <f t="shared" si="28"/>
        <v>#REF!</v>
      </c>
      <c r="C38" s="59"/>
      <c r="D38" s="59"/>
      <c r="E38" s="59"/>
      <c r="F38" s="74"/>
      <c r="G38" s="74"/>
      <c r="H38" s="67"/>
      <c r="I38" s="84"/>
    </row>
    <row r="39" ht="15.75" customHeight="1">
      <c r="A39" s="56" t="str">
        <f t="shared" ref="A39:B39" si="29">#REF!</f>
        <v>#REF!</v>
      </c>
      <c r="B39" s="56" t="str">
        <f t="shared" si="29"/>
        <v>#REF!</v>
      </c>
      <c r="C39" s="59"/>
      <c r="D39" s="59"/>
      <c r="E39" s="59"/>
      <c r="F39" s="74"/>
      <c r="G39" s="74"/>
      <c r="H39" s="67"/>
      <c r="I39" s="84"/>
    </row>
    <row r="40" ht="15.75" customHeight="1">
      <c r="A40" s="56"/>
      <c r="B40" s="56"/>
      <c r="C40" s="58"/>
      <c r="D40" s="58"/>
      <c r="E40" s="58"/>
      <c r="F40" s="74"/>
      <c r="G40" s="74"/>
      <c r="H40" s="84"/>
      <c r="I40" s="84"/>
    </row>
    <row r="41" ht="15.75" customHeight="1">
      <c r="A41" s="56"/>
      <c r="B41" s="56"/>
      <c r="C41" s="58"/>
      <c r="D41" s="58"/>
      <c r="E41" s="58"/>
      <c r="F41" s="74"/>
      <c r="G41" s="74"/>
      <c r="H41" s="84"/>
      <c r="I41" s="84"/>
    </row>
    <row r="42" ht="15.75" customHeight="1">
      <c r="A42" s="56"/>
      <c r="B42" s="56"/>
      <c r="C42" s="58"/>
      <c r="D42" s="58"/>
      <c r="E42" s="58"/>
      <c r="F42" s="74"/>
      <c r="G42" s="74"/>
      <c r="H42" s="84"/>
      <c r="I42" s="84"/>
    </row>
    <row r="43" ht="15.75" customHeight="1">
      <c r="A43" s="56"/>
      <c r="B43" s="56"/>
      <c r="C43" s="58"/>
      <c r="D43" s="58"/>
      <c r="E43" s="58"/>
      <c r="F43" s="74"/>
      <c r="G43" s="74"/>
      <c r="H43" s="84"/>
      <c r="I43" s="84"/>
    </row>
    <row r="44" ht="15.75" customHeight="1">
      <c r="A44" s="56"/>
      <c r="B44" s="56"/>
      <c r="C44" s="58"/>
      <c r="D44" s="58"/>
      <c r="E44" s="58"/>
      <c r="F44" s="74"/>
      <c r="G44" s="74"/>
      <c r="H44" s="84"/>
      <c r="I44" s="84"/>
    </row>
    <row r="45" ht="15.75" customHeight="1">
      <c r="A45" s="56"/>
      <c r="B45" s="56"/>
      <c r="C45" s="58"/>
      <c r="D45" s="58"/>
      <c r="E45" s="58"/>
      <c r="F45" s="74"/>
      <c r="G45" s="74"/>
      <c r="H45" s="84"/>
      <c r="I45" s="84"/>
    </row>
    <row r="46" ht="15.75" customHeight="1">
      <c r="A46" s="56"/>
      <c r="B46" s="56"/>
      <c r="C46" s="58"/>
      <c r="D46" s="58"/>
      <c r="E46" s="58"/>
      <c r="F46" s="74"/>
      <c r="G46" s="74"/>
      <c r="H46" s="84"/>
      <c r="I46" s="84"/>
    </row>
    <row r="47" ht="15.75" customHeight="1">
      <c r="A47" s="56"/>
      <c r="B47" s="56"/>
      <c r="C47" s="58"/>
      <c r="D47" s="58"/>
      <c r="E47" s="58"/>
      <c r="F47" s="74"/>
      <c r="G47" s="74"/>
      <c r="H47" s="84"/>
      <c r="I47" s="84"/>
    </row>
    <row r="48" ht="15.75" customHeight="1">
      <c r="A48" s="56"/>
      <c r="B48" s="56"/>
      <c r="C48" s="58"/>
      <c r="D48" s="58"/>
      <c r="E48" s="58"/>
      <c r="F48" s="74"/>
      <c r="G48" s="74"/>
      <c r="H48" s="84"/>
      <c r="I48" s="84"/>
    </row>
    <row r="49" ht="15.75" customHeight="1">
      <c r="A49" s="56"/>
      <c r="B49" s="56"/>
      <c r="C49" s="58"/>
      <c r="D49" s="58"/>
      <c r="E49" s="58"/>
      <c r="F49" s="74"/>
      <c r="G49" s="74"/>
      <c r="H49" s="84"/>
      <c r="I49" s="84"/>
    </row>
    <row r="50" ht="15.75" customHeight="1">
      <c r="A50" s="56"/>
      <c r="B50" s="56"/>
      <c r="C50" s="58"/>
      <c r="D50" s="58"/>
      <c r="E50" s="58"/>
      <c r="F50" s="74"/>
      <c r="G50" s="74"/>
      <c r="H50" s="84"/>
      <c r="I50" s="84"/>
    </row>
    <row r="51" ht="15.75" customHeight="1">
      <c r="A51" s="56"/>
      <c r="B51" s="56"/>
      <c r="C51" s="58"/>
      <c r="D51" s="58"/>
      <c r="E51" s="58"/>
      <c r="F51" s="74"/>
      <c r="G51" s="74"/>
      <c r="H51" s="84"/>
      <c r="I51" s="84"/>
    </row>
    <row r="52" ht="15.75" customHeight="1">
      <c r="A52" s="56"/>
      <c r="B52" s="56"/>
      <c r="C52" s="58"/>
      <c r="D52" s="58"/>
      <c r="E52" s="58"/>
      <c r="F52" s="74"/>
      <c r="G52" s="74"/>
      <c r="H52" s="84"/>
      <c r="I52" s="84"/>
    </row>
    <row r="53" ht="15.75" customHeight="1">
      <c r="A53" s="56"/>
      <c r="B53" s="56"/>
      <c r="C53" s="58"/>
      <c r="D53" s="58"/>
      <c r="E53" s="58"/>
      <c r="F53" s="74"/>
      <c r="G53" s="74"/>
      <c r="H53" s="84"/>
      <c r="I53" s="84"/>
    </row>
    <row r="54" ht="15.75" customHeight="1">
      <c r="A54" s="56"/>
      <c r="B54" s="56"/>
      <c r="C54" s="58"/>
      <c r="D54" s="58"/>
      <c r="E54" s="58"/>
      <c r="F54" s="74"/>
      <c r="G54" s="74"/>
      <c r="H54" s="84"/>
      <c r="I54" s="84"/>
    </row>
    <row r="55" ht="15.75" customHeight="1">
      <c r="A55" s="56"/>
      <c r="B55" s="56"/>
      <c r="C55" s="58"/>
      <c r="D55" s="58"/>
      <c r="E55" s="58"/>
      <c r="F55" s="74"/>
      <c r="G55" s="74"/>
      <c r="H55" s="84"/>
      <c r="I55" s="84"/>
    </row>
    <row r="56" ht="15.75" customHeight="1">
      <c r="A56" s="56"/>
      <c r="B56" s="56"/>
      <c r="C56" s="58"/>
      <c r="D56" s="58"/>
      <c r="E56" s="58"/>
      <c r="F56" s="74"/>
      <c r="G56" s="74"/>
      <c r="H56" s="84"/>
      <c r="I56" s="84"/>
    </row>
    <row r="57" ht="15.75" customHeight="1">
      <c r="A57" s="56"/>
      <c r="B57" s="56"/>
      <c r="C57" s="58"/>
      <c r="D57" s="58"/>
      <c r="E57" s="58"/>
      <c r="F57" s="74"/>
      <c r="G57" s="74"/>
      <c r="H57" s="84"/>
      <c r="I57" s="84"/>
    </row>
    <row r="58" ht="15.75" customHeight="1">
      <c r="A58" s="56"/>
      <c r="B58" s="56"/>
      <c r="C58" s="58"/>
      <c r="D58" s="58"/>
      <c r="E58" s="58"/>
      <c r="F58" s="74"/>
      <c r="G58" s="74"/>
      <c r="H58" s="84"/>
      <c r="I58" s="84"/>
    </row>
    <row r="59" ht="15.75" customHeight="1">
      <c r="A59" s="56"/>
      <c r="B59" s="56"/>
      <c r="C59" s="58"/>
      <c r="D59" s="58"/>
      <c r="E59" s="58"/>
      <c r="F59" s="74"/>
      <c r="G59" s="74"/>
      <c r="H59" s="84"/>
      <c r="I59" s="84"/>
    </row>
    <row r="60" ht="15.75" customHeight="1">
      <c r="A60" s="56"/>
      <c r="B60" s="56"/>
      <c r="C60" s="58"/>
      <c r="D60" s="58"/>
      <c r="E60" s="58"/>
      <c r="F60" s="74"/>
      <c r="G60" s="74"/>
      <c r="H60" s="84"/>
      <c r="I60" s="84"/>
    </row>
    <row r="61" ht="15.75" customHeight="1">
      <c r="A61" s="56"/>
      <c r="B61" s="56"/>
      <c r="C61" s="58"/>
      <c r="D61" s="58"/>
      <c r="E61" s="58"/>
      <c r="F61" s="74"/>
      <c r="G61" s="74"/>
      <c r="H61" s="84"/>
      <c r="I61" s="84"/>
    </row>
    <row r="62" ht="15.75" customHeight="1">
      <c r="A62" s="56"/>
      <c r="B62" s="56"/>
      <c r="C62" s="58"/>
      <c r="D62" s="58"/>
      <c r="E62" s="58"/>
      <c r="F62" s="74"/>
      <c r="G62" s="74"/>
      <c r="H62" s="84"/>
      <c r="I62" s="84"/>
    </row>
    <row r="63" ht="15.75" customHeight="1">
      <c r="A63" s="56"/>
      <c r="B63" s="56"/>
      <c r="C63" s="58"/>
      <c r="D63" s="58"/>
      <c r="E63" s="58"/>
      <c r="F63" s="74"/>
      <c r="G63" s="74"/>
      <c r="H63" s="84"/>
      <c r="I63" s="84"/>
    </row>
    <row r="64" ht="15.75" customHeight="1">
      <c r="A64" s="56"/>
      <c r="B64" s="56"/>
      <c r="C64" s="58"/>
      <c r="D64" s="58"/>
      <c r="E64" s="58"/>
      <c r="F64" s="74"/>
      <c r="G64" s="74"/>
      <c r="H64" s="84"/>
      <c r="I64" s="84"/>
    </row>
    <row r="65" ht="15.75" customHeight="1">
      <c r="A65" s="56"/>
      <c r="B65" s="56"/>
      <c r="C65" s="58"/>
      <c r="D65" s="58"/>
      <c r="E65" s="58"/>
      <c r="F65" s="74"/>
      <c r="G65" s="74"/>
      <c r="H65" s="84"/>
      <c r="I65" s="84"/>
    </row>
    <row r="66" ht="15.75" customHeight="1">
      <c r="A66" s="56"/>
      <c r="B66" s="56"/>
      <c r="C66" s="58"/>
      <c r="D66" s="58"/>
      <c r="E66" s="58"/>
      <c r="F66" s="74"/>
      <c r="G66" s="74"/>
      <c r="H66" s="84"/>
      <c r="I66" s="84"/>
    </row>
    <row r="67" ht="15.75" customHeight="1">
      <c r="A67" s="56"/>
      <c r="B67" s="56"/>
      <c r="C67" s="58"/>
      <c r="D67" s="58"/>
      <c r="E67" s="58"/>
      <c r="F67" s="74"/>
      <c r="G67" s="74"/>
      <c r="H67" s="84"/>
      <c r="I67" s="84"/>
    </row>
    <row r="68" ht="15.75" customHeight="1">
      <c r="A68" s="56"/>
      <c r="B68" s="56"/>
      <c r="C68" s="58"/>
      <c r="D68" s="58"/>
      <c r="E68" s="58"/>
      <c r="F68" s="74"/>
      <c r="G68" s="74"/>
      <c r="H68" s="84"/>
      <c r="I68" s="84"/>
    </row>
    <row r="69" ht="15.75" customHeight="1">
      <c r="A69" s="56"/>
      <c r="B69" s="56"/>
      <c r="C69" s="58"/>
      <c r="D69" s="58"/>
      <c r="E69" s="58"/>
      <c r="F69" s="74"/>
      <c r="G69" s="74"/>
      <c r="H69" s="84"/>
      <c r="I69" s="84"/>
    </row>
    <row r="70" ht="15.75" customHeight="1">
      <c r="A70" s="56"/>
      <c r="B70" s="56"/>
      <c r="C70" s="58"/>
      <c r="D70" s="58"/>
      <c r="E70" s="58"/>
      <c r="F70" s="74"/>
      <c r="G70" s="74"/>
      <c r="H70" s="84"/>
      <c r="I70" s="84"/>
    </row>
    <row r="71" ht="15.75" customHeight="1">
      <c r="A71" s="56"/>
      <c r="B71" s="56"/>
      <c r="C71" s="58"/>
      <c r="D71" s="58"/>
      <c r="E71" s="58"/>
      <c r="F71" s="74"/>
      <c r="G71" s="74"/>
      <c r="H71" s="84"/>
      <c r="I71" s="84"/>
    </row>
    <row r="72" ht="15.75" customHeight="1">
      <c r="A72" s="56"/>
      <c r="B72" s="56"/>
      <c r="C72" s="58"/>
      <c r="D72" s="58"/>
      <c r="E72" s="58"/>
      <c r="F72" s="74"/>
      <c r="G72" s="74"/>
      <c r="H72" s="84"/>
      <c r="I72" s="84"/>
    </row>
    <row r="73" ht="15.75" customHeight="1">
      <c r="A73" s="56"/>
      <c r="B73" s="56"/>
      <c r="C73" s="58"/>
      <c r="D73" s="58"/>
      <c r="E73" s="58"/>
      <c r="F73" s="74"/>
      <c r="G73" s="74"/>
      <c r="H73" s="84"/>
      <c r="I73" s="84"/>
    </row>
    <row r="74" ht="15.75" customHeight="1">
      <c r="A74" s="56"/>
      <c r="B74" s="56"/>
      <c r="C74" s="58"/>
      <c r="D74" s="58"/>
      <c r="E74" s="58"/>
      <c r="F74" s="74"/>
      <c r="G74" s="74"/>
      <c r="H74" s="84"/>
      <c r="I74" s="84"/>
    </row>
    <row r="75" ht="15.75" customHeight="1">
      <c r="A75" s="56"/>
      <c r="B75" s="56"/>
      <c r="C75" s="58"/>
      <c r="D75" s="58"/>
      <c r="E75" s="58"/>
      <c r="F75" s="74"/>
      <c r="G75" s="74"/>
      <c r="H75" s="84"/>
      <c r="I75" s="84"/>
    </row>
    <row r="76" ht="15.75" customHeight="1">
      <c r="A76" s="56"/>
      <c r="B76" s="56"/>
      <c r="C76" s="58"/>
      <c r="D76" s="58"/>
      <c r="E76" s="58"/>
      <c r="F76" s="74"/>
      <c r="G76" s="74"/>
      <c r="H76" s="84"/>
      <c r="I76" s="84"/>
    </row>
    <row r="77" ht="15.75" customHeight="1">
      <c r="A77" s="56"/>
      <c r="B77" s="56"/>
      <c r="C77" s="58"/>
      <c r="D77" s="58"/>
      <c r="E77" s="58"/>
      <c r="F77" s="74"/>
      <c r="G77" s="74"/>
      <c r="H77" s="84"/>
      <c r="I77" s="84"/>
    </row>
    <row r="78" ht="15.75" customHeight="1">
      <c r="A78" s="56"/>
      <c r="B78" s="56"/>
      <c r="C78" s="58"/>
      <c r="D78" s="58"/>
      <c r="E78" s="58"/>
      <c r="F78" s="74"/>
      <c r="G78" s="74"/>
      <c r="H78" s="84"/>
      <c r="I78" s="84"/>
    </row>
    <row r="79" ht="15.75" customHeight="1">
      <c r="A79" s="56"/>
      <c r="B79" s="56"/>
      <c r="C79" s="58"/>
      <c r="D79" s="58"/>
      <c r="E79" s="58"/>
      <c r="F79" s="74"/>
      <c r="G79" s="74"/>
      <c r="H79" s="84"/>
      <c r="I79" s="84"/>
    </row>
    <row r="80" ht="15.75" customHeight="1">
      <c r="A80" s="56"/>
      <c r="B80" s="56"/>
      <c r="C80" s="58"/>
      <c r="D80" s="58"/>
      <c r="E80" s="58"/>
      <c r="F80" s="74"/>
      <c r="G80" s="74"/>
      <c r="H80" s="84"/>
      <c r="I80" s="84"/>
    </row>
    <row r="81" ht="15.75" customHeight="1">
      <c r="A81" s="56"/>
      <c r="B81" s="56"/>
      <c r="C81" s="58"/>
      <c r="D81" s="58"/>
      <c r="E81" s="58"/>
      <c r="F81" s="74"/>
      <c r="G81" s="74"/>
      <c r="H81" s="84"/>
      <c r="I81" s="84"/>
    </row>
    <row r="82" ht="15.75" customHeight="1">
      <c r="A82" s="56"/>
      <c r="B82" s="56"/>
      <c r="C82" s="58"/>
      <c r="D82" s="58"/>
      <c r="E82" s="58"/>
      <c r="F82" s="74"/>
      <c r="G82" s="74"/>
      <c r="H82" s="84"/>
      <c r="I82" s="84"/>
    </row>
    <row r="83" ht="15.75" customHeight="1">
      <c r="A83" s="56"/>
      <c r="B83" s="56"/>
      <c r="C83" s="58"/>
      <c r="D83" s="58"/>
      <c r="E83" s="58"/>
      <c r="F83" s="74"/>
      <c r="G83" s="74"/>
      <c r="H83" s="84"/>
      <c r="I83" s="84"/>
    </row>
    <row r="84" ht="15.75" customHeight="1">
      <c r="A84" s="56"/>
      <c r="B84" s="56"/>
      <c r="C84" s="58"/>
      <c r="D84" s="58"/>
      <c r="E84" s="58"/>
      <c r="F84" s="74"/>
      <c r="G84" s="74"/>
      <c r="H84" s="84"/>
      <c r="I84" s="84"/>
    </row>
    <row r="85" ht="15.75" customHeight="1">
      <c r="A85" s="56"/>
      <c r="B85" s="56"/>
      <c r="C85" s="58"/>
      <c r="D85" s="58"/>
      <c r="E85" s="58"/>
      <c r="F85" s="74"/>
      <c r="G85" s="74"/>
      <c r="H85" s="84"/>
      <c r="I85" s="84"/>
    </row>
    <row r="86" ht="15.75" customHeight="1">
      <c r="A86" s="56"/>
      <c r="B86" s="56"/>
      <c r="C86" s="58"/>
      <c r="D86" s="58"/>
      <c r="E86" s="58"/>
      <c r="F86" s="74"/>
      <c r="G86" s="74"/>
      <c r="H86" s="84"/>
      <c r="I86" s="84"/>
    </row>
    <row r="87" ht="15.75" customHeight="1">
      <c r="A87" s="56"/>
      <c r="B87" s="56"/>
      <c r="C87" s="58"/>
      <c r="D87" s="58"/>
      <c r="E87" s="58"/>
      <c r="F87" s="74"/>
      <c r="G87" s="74"/>
      <c r="H87" s="84"/>
      <c r="I87" s="84"/>
    </row>
    <row r="88" ht="15.75" customHeight="1">
      <c r="A88" s="56"/>
      <c r="B88" s="56"/>
      <c r="C88" s="58"/>
      <c r="D88" s="58"/>
      <c r="E88" s="58"/>
      <c r="F88" s="74"/>
      <c r="G88" s="74"/>
      <c r="H88" s="84"/>
      <c r="I88" s="84"/>
    </row>
    <row r="89" ht="15.75" customHeight="1">
      <c r="A89" s="56"/>
      <c r="B89" s="56"/>
      <c r="C89" s="58"/>
      <c r="D89" s="58"/>
      <c r="E89" s="58"/>
      <c r="F89" s="74"/>
      <c r="G89" s="74"/>
      <c r="H89" s="84"/>
      <c r="I89" s="84"/>
    </row>
    <row r="90" ht="15.75" customHeight="1">
      <c r="A90" s="56"/>
      <c r="B90" s="56"/>
      <c r="C90" s="58"/>
      <c r="D90" s="58"/>
      <c r="E90" s="58"/>
      <c r="F90" s="74"/>
      <c r="G90" s="74"/>
      <c r="H90" s="84"/>
      <c r="I90" s="84"/>
    </row>
    <row r="91" ht="15.75" customHeight="1">
      <c r="A91" s="56"/>
      <c r="B91" s="56"/>
      <c r="C91" s="58"/>
      <c r="D91" s="58"/>
      <c r="E91" s="58"/>
      <c r="F91" s="74"/>
      <c r="G91" s="74"/>
      <c r="H91" s="84"/>
      <c r="I91" s="84"/>
    </row>
    <row r="92" ht="15.75" customHeight="1">
      <c r="A92" s="56"/>
      <c r="B92" s="56"/>
      <c r="C92" s="58"/>
      <c r="D92" s="58"/>
      <c r="E92" s="58"/>
      <c r="F92" s="74"/>
      <c r="G92" s="74"/>
      <c r="H92" s="84"/>
      <c r="I92" s="84"/>
    </row>
    <row r="93" ht="15.75" customHeight="1">
      <c r="A93" s="56"/>
      <c r="B93" s="56"/>
      <c r="C93" s="58"/>
      <c r="D93" s="58"/>
      <c r="E93" s="58"/>
      <c r="F93" s="74"/>
      <c r="G93" s="74"/>
      <c r="H93" s="84"/>
      <c r="I93" s="84"/>
    </row>
    <row r="94" ht="15.75" customHeight="1">
      <c r="A94" s="56"/>
      <c r="B94" s="56"/>
      <c r="C94" s="58"/>
      <c r="D94" s="58"/>
      <c r="E94" s="58"/>
      <c r="F94" s="74"/>
      <c r="G94" s="74"/>
      <c r="H94" s="84"/>
      <c r="I94" s="84"/>
    </row>
    <row r="95" ht="15.75" customHeight="1">
      <c r="A95" s="56"/>
      <c r="B95" s="56"/>
      <c r="C95" s="58"/>
      <c r="D95" s="58"/>
      <c r="E95" s="58"/>
      <c r="F95" s="74"/>
      <c r="G95" s="74"/>
      <c r="H95" s="84"/>
      <c r="I95" s="84"/>
    </row>
    <row r="96" ht="15.75" customHeight="1">
      <c r="A96" s="56"/>
      <c r="B96" s="56"/>
      <c r="C96" s="58"/>
      <c r="D96" s="58"/>
      <c r="E96" s="58"/>
      <c r="F96" s="74"/>
      <c r="G96" s="74"/>
      <c r="H96" s="84"/>
      <c r="I96" s="84"/>
    </row>
    <row r="97" ht="15.75" customHeight="1">
      <c r="A97" s="56"/>
      <c r="B97" s="56"/>
      <c r="C97" s="58"/>
      <c r="D97" s="58"/>
      <c r="E97" s="58"/>
      <c r="F97" s="74"/>
      <c r="G97" s="74"/>
      <c r="H97" s="84"/>
      <c r="I97" s="84"/>
    </row>
    <row r="98" ht="15.75" customHeight="1">
      <c r="A98" s="56"/>
      <c r="B98" s="56"/>
      <c r="C98" s="58"/>
      <c r="D98" s="58"/>
      <c r="E98" s="58"/>
      <c r="F98" s="74"/>
      <c r="G98" s="74"/>
      <c r="H98" s="84"/>
      <c r="I98" s="84"/>
    </row>
    <row r="99" ht="15.75" customHeight="1">
      <c r="A99" s="56"/>
      <c r="B99" s="56"/>
      <c r="C99" s="58"/>
      <c r="D99" s="58"/>
      <c r="E99" s="58"/>
      <c r="F99" s="74"/>
      <c r="G99" s="74"/>
      <c r="H99" s="84"/>
      <c r="I99" s="84"/>
    </row>
    <row r="100" ht="15.75" customHeight="1">
      <c r="A100" s="56"/>
      <c r="B100" s="56"/>
      <c r="C100" s="58"/>
      <c r="D100" s="58"/>
      <c r="E100" s="58"/>
      <c r="F100" s="74"/>
      <c r="G100" s="74"/>
      <c r="H100" s="84"/>
      <c r="I100" s="84"/>
    </row>
    <row r="101" ht="15.75" customHeight="1">
      <c r="A101" s="56"/>
      <c r="B101" s="56"/>
      <c r="C101" s="58"/>
      <c r="D101" s="58"/>
      <c r="E101" s="58"/>
      <c r="F101" s="74"/>
      <c r="G101" s="74"/>
      <c r="H101" s="84"/>
      <c r="I101" s="84"/>
    </row>
    <row r="102" ht="15.75" customHeight="1">
      <c r="A102" s="56"/>
      <c r="B102" s="56"/>
      <c r="C102" s="58"/>
      <c r="D102" s="58"/>
      <c r="E102" s="58"/>
      <c r="F102" s="74"/>
      <c r="G102" s="74"/>
      <c r="H102" s="84"/>
      <c r="I102" s="84"/>
    </row>
    <row r="103" ht="15.75" customHeight="1">
      <c r="A103" s="56"/>
      <c r="B103" s="56"/>
      <c r="C103" s="58"/>
      <c r="D103" s="58"/>
      <c r="E103" s="58"/>
      <c r="F103" s="74"/>
      <c r="G103" s="74"/>
      <c r="H103" s="84"/>
      <c r="I103" s="84"/>
    </row>
    <row r="104" ht="15.75" customHeight="1">
      <c r="A104" s="56"/>
      <c r="B104" s="56"/>
      <c r="C104" s="58"/>
      <c r="D104" s="58"/>
      <c r="E104" s="58"/>
      <c r="F104" s="74"/>
      <c r="G104" s="74"/>
      <c r="H104" s="84"/>
      <c r="I104" s="84"/>
    </row>
    <row r="105" ht="15.75" customHeight="1">
      <c r="A105" s="56"/>
      <c r="B105" s="56"/>
      <c r="C105" s="58"/>
      <c r="D105" s="58"/>
      <c r="E105" s="58"/>
      <c r="F105" s="74"/>
      <c r="G105" s="74"/>
      <c r="H105" s="84"/>
      <c r="I105" s="84"/>
    </row>
    <row r="106" ht="15.75" customHeight="1">
      <c r="A106" s="56"/>
      <c r="B106" s="56"/>
      <c r="C106" s="58"/>
      <c r="D106" s="58"/>
      <c r="E106" s="58"/>
      <c r="F106" s="74"/>
      <c r="G106" s="74"/>
      <c r="H106" s="84"/>
      <c r="I106" s="84"/>
    </row>
    <row r="107" ht="15.75" customHeight="1">
      <c r="A107" s="56"/>
      <c r="B107" s="56"/>
      <c r="C107" s="58"/>
      <c r="D107" s="58"/>
      <c r="E107" s="58"/>
      <c r="F107" s="74"/>
      <c r="G107" s="74"/>
      <c r="H107" s="84"/>
      <c r="I107" s="84"/>
    </row>
    <row r="108" ht="15.75" customHeight="1">
      <c r="A108" s="56"/>
      <c r="B108" s="56"/>
      <c r="C108" s="58"/>
      <c r="D108" s="58"/>
      <c r="E108" s="58"/>
      <c r="F108" s="74"/>
      <c r="G108" s="74"/>
      <c r="H108" s="84"/>
      <c r="I108" s="84"/>
    </row>
    <row r="109" ht="15.75" customHeight="1">
      <c r="A109" s="56"/>
      <c r="B109" s="56"/>
      <c r="C109" s="58"/>
      <c r="D109" s="58"/>
      <c r="E109" s="58"/>
      <c r="F109" s="74"/>
      <c r="G109" s="74"/>
      <c r="H109" s="84"/>
      <c r="I109" s="84"/>
    </row>
    <row r="110" ht="15.75" customHeight="1">
      <c r="A110" s="56"/>
      <c r="B110" s="56"/>
      <c r="C110" s="58"/>
      <c r="D110" s="58"/>
      <c r="E110" s="58"/>
      <c r="F110" s="74"/>
      <c r="G110" s="74"/>
      <c r="H110" s="84"/>
      <c r="I110" s="84"/>
    </row>
    <row r="111" ht="15.75" customHeight="1">
      <c r="A111" s="56"/>
      <c r="B111" s="56"/>
      <c r="C111" s="58"/>
      <c r="D111" s="58"/>
      <c r="E111" s="58"/>
      <c r="F111" s="74"/>
      <c r="G111" s="74"/>
      <c r="H111" s="84"/>
      <c r="I111" s="84"/>
    </row>
    <row r="112" ht="15.75" customHeight="1">
      <c r="A112" s="56"/>
      <c r="B112" s="56"/>
      <c r="C112" s="58"/>
      <c r="D112" s="58"/>
      <c r="E112" s="58"/>
      <c r="F112" s="74"/>
      <c r="G112" s="74"/>
      <c r="H112" s="84"/>
      <c r="I112" s="84"/>
    </row>
    <row r="113" ht="15.75" customHeight="1">
      <c r="A113" s="56"/>
      <c r="B113" s="56"/>
      <c r="C113" s="58"/>
      <c r="D113" s="58"/>
      <c r="E113" s="58"/>
      <c r="F113" s="74"/>
      <c r="G113" s="74"/>
      <c r="H113" s="84"/>
      <c r="I113" s="84"/>
    </row>
    <row r="114" ht="15.75" customHeight="1">
      <c r="A114" s="56"/>
      <c r="B114" s="56"/>
      <c r="C114" s="58"/>
      <c r="D114" s="58"/>
      <c r="E114" s="58"/>
      <c r="F114" s="74"/>
      <c r="G114" s="74"/>
      <c r="H114" s="84"/>
      <c r="I114" s="84"/>
    </row>
    <row r="115" ht="15.75" customHeight="1">
      <c r="A115" s="56"/>
      <c r="B115" s="56"/>
      <c r="C115" s="58"/>
      <c r="D115" s="58"/>
      <c r="E115" s="58"/>
      <c r="F115" s="74"/>
      <c r="G115" s="74"/>
      <c r="H115" s="84"/>
      <c r="I115" s="84"/>
    </row>
    <row r="116" ht="15.75" customHeight="1">
      <c r="A116" s="56"/>
      <c r="B116" s="56"/>
      <c r="C116" s="58"/>
      <c r="D116" s="58"/>
      <c r="E116" s="58"/>
      <c r="F116" s="74"/>
      <c r="G116" s="74"/>
      <c r="H116" s="84"/>
      <c r="I116" s="84"/>
    </row>
    <row r="117" ht="15.75" customHeight="1">
      <c r="A117" s="56"/>
      <c r="B117" s="56"/>
      <c r="C117" s="58"/>
      <c r="D117" s="58"/>
      <c r="E117" s="58"/>
      <c r="F117" s="74"/>
      <c r="G117" s="74"/>
      <c r="H117" s="84"/>
      <c r="I117" s="84"/>
    </row>
    <row r="118" ht="15.75" customHeight="1">
      <c r="A118" s="56"/>
      <c r="B118" s="56"/>
      <c r="C118" s="58"/>
      <c r="D118" s="58"/>
      <c r="E118" s="58"/>
      <c r="F118" s="74"/>
      <c r="G118" s="74"/>
      <c r="H118" s="84"/>
      <c r="I118" s="84"/>
    </row>
    <row r="119" ht="15.75" customHeight="1">
      <c r="A119" s="56"/>
      <c r="B119" s="56"/>
      <c r="C119" s="58"/>
      <c r="D119" s="58"/>
      <c r="E119" s="58"/>
      <c r="F119" s="74"/>
      <c r="G119" s="74"/>
      <c r="H119" s="84"/>
      <c r="I119" s="84"/>
    </row>
    <row r="120" ht="15.75" customHeight="1">
      <c r="A120" s="56"/>
      <c r="B120" s="56"/>
      <c r="C120" s="58"/>
      <c r="D120" s="58"/>
      <c r="E120" s="58"/>
      <c r="F120" s="74"/>
      <c r="G120" s="74"/>
      <c r="H120" s="84"/>
      <c r="I120" s="84"/>
    </row>
    <row r="121" ht="15.75" customHeight="1">
      <c r="A121" s="56"/>
      <c r="B121" s="56"/>
      <c r="C121" s="58"/>
      <c r="D121" s="58"/>
      <c r="E121" s="58"/>
      <c r="F121" s="74"/>
      <c r="G121" s="74"/>
      <c r="H121" s="84"/>
      <c r="I121" s="84"/>
    </row>
    <row r="122" ht="15.75" customHeight="1">
      <c r="A122" s="56"/>
      <c r="B122" s="56"/>
      <c r="C122" s="58"/>
      <c r="D122" s="58"/>
      <c r="E122" s="58"/>
      <c r="F122" s="74"/>
      <c r="G122" s="74"/>
      <c r="H122" s="84"/>
      <c r="I122" s="84"/>
    </row>
    <row r="123" ht="15.75" customHeight="1">
      <c r="A123" s="56"/>
      <c r="B123" s="56"/>
      <c r="C123" s="58"/>
      <c r="D123" s="58"/>
      <c r="E123" s="58"/>
      <c r="F123" s="74"/>
      <c r="G123" s="74"/>
      <c r="H123" s="84"/>
      <c r="I123" s="84"/>
    </row>
    <row r="124" ht="15.75" customHeight="1">
      <c r="A124" s="56"/>
      <c r="B124" s="56"/>
      <c r="C124" s="58"/>
      <c r="D124" s="58"/>
      <c r="E124" s="58"/>
      <c r="F124" s="74"/>
      <c r="G124" s="74"/>
      <c r="H124" s="84"/>
      <c r="I124" s="84"/>
    </row>
    <row r="125" ht="15.75" customHeight="1">
      <c r="A125" s="56"/>
      <c r="B125" s="56"/>
      <c r="C125" s="58"/>
      <c r="D125" s="58"/>
      <c r="E125" s="58"/>
      <c r="F125" s="74"/>
      <c r="G125" s="74"/>
      <c r="H125" s="84"/>
      <c r="I125" s="84"/>
    </row>
    <row r="126" ht="15.75" customHeight="1">
      <c r="A126" s="56"/>
      <c r="B126" s="56"/>
      <c r="C126" s="58"/>
      <c r="D126" s="58"/>
      <c r="E126" s="58"/>
      <c r="F126" s="74"/>
      <c r="G126" s="74"/>
      <c r="H126" s="84"/>
      <c r="I126" s="84"/>
    </row>
    <row r="127" ht="15.75" customHeight="1">
      <c r="A127" s="56"/>
      <c r="B127" s="56"/>
      <c r="C127" s="58"/>
      <c r="D127" s="58"/>
      <c r="E127" s="58"/>
      <c r="F127" s="74"/>
      <c r="G127" s="74"/>
      <c r="H127" s="84"/>
      <c r="I127" s="84"/>
    </row>
    <row r="128" ht="15.75" customHeight="1">
      <c r="A128" s="56"/>
      <c r="B128" s="56"/>
      <c r="C128" s="58"/>
      <c r="D128" s="58"/>
      <c r="E128" s="58"/>
      <c r="F128" s="74"/>
      <c r="G128" s="74"/>
      <c r="H128" s="84"/>
      <c r="I128" s="84"/>
    </row>
    <row r="129" ht="15.75" customHeight="1">
      <c r="A129" s="56"/>
      <c r="B129" s="56"/>
      <c r="C129" s="58"/>
      <c r="D129" s="58"/>
      <c r="E129" s="58"/>
      <c r="F129" s="74"/>
      <c r="G129" s="74"/>
      <c r="H129" s="84"/>
      <c r="I129" s="84"/>
    </row>
    <row r="130" ht="15.75" customHeight="1">
      <c r="A130" s="56"/>
      <c r="B130" s="56"/>
      <c r="C130" s="58"/>
      <c r="D130" s="58"/>
      <c r="E130" s="58"/>
      <c r="F130" s="74"/>
      <c r="G130" s="74"/>
      <c r="H130" s="84"/>
      <c r="I130" s="84"/>
    </row>
    <row r="131" ht="15.75" customHeight="1">
      <c r="A131" s="56"/>
      <c r="B131" s="56"/>
      <c r="C131" s="58"/>
      <c r="D131" s="58"/>
      <c r="E131" s="58"/>
      <c r="F131" s="74"/>
      <c r="G131" s="74"/>
      <c r="H131" s="84"/>
      <c r="I131" s="84"/>
    </row>
    <row r="132" ht="15.75" customHeight="1">
      <c r="A132" s="56"/>
      <c r="B132" s="56"/>
      <c r="C132" s="58"/>
      <c r="D132" s="58"/>
      <c r="E132" s="58"/>
      <c r="F132" s="74"/>
      <c r="G132" s="74"/>
      <c r="H132" s="84"/>
      <c r="I132" s="84"/>
    </row>
    <row r="133" ht="15.75" customHeight="1">
      <c r="A133" s="56"/>
      <c r="B133" s="56"/>
      <c r="C133" s="58"/>
      <c r="D133" s="58"/>
      <c r="E133" s="58"/>
      <c r="F133" s="74"/>
      <c r="G133" s="74"/>
      <c r="H133" s="84"/>
      <c r="I133" s="84"/>
    </row>
    <row r="134" ht="15.75" customHeight="1">
      <c r="A134" s="56"/>
      <c r="B134" s="56"/>
      <c r="C134" s="58"/>
      <c r="D134" s="58"/>
      <c r="E134" s="58"/>
      <c r="F134" s="74"/>
      <c r="G134" s="74"/>
      <c r="H134" s="84"/>
      <c r="I134" s="84"/>
    </row>
    <row r="135" ht="15.75" customHeight="1">
      <c r="A135" s="56"/>
      <c r="B135" s="56"/>
      <c r="C135" s="58"/>
      <c r="D135" s="58"/>
      <c r="E135" s="58"/>
      <c r="F135" s="74"/>
      <c r="G135" s="74"/>
      <c r="H135" s="84"/>
      <c r="I135" s="84"/>
    </row>
    <row r="136" ht="15.75" customHeight="1">
      <c r="A136" s="56"/>
      <c r="B136" s="56"/>
      <c r="C136" s="58"/>
      <c r="D136" s="58"/>
      <c r="E136" s="58"/>
      <c r="F136" s="74"/>
      <c r="G136" s="74"/>
      <c r="H136" s="84"/>
      <c r="I136" s="84"/>
    </row>
    <row r="137" ht="15.75" customHeight="1">
      <c r="A137" s="56"/>
      <c r="B137" s="56"/>
      <c r="C137" s="58"/>
      <c r="D137" s="58"/>
      <c r="E137" s="58"/>
      <c r="F137" s="74"/>
      <c r="G137" s="74"/>
      <c r="H137" s="84"/>
      <c r="I137" s="84"/>
    </row>
    <row r="138" ht="15.75" customHeight="1">
      <c r="A138" s="56"/>
      <c r="B138" s="56"/>
      <c r="C138" s="58"/>
      <c r="D138" s="58"/>
      <c r="E138" s="58"/>
      <c r="F138" s="74"/>
      <c r="G138" s="74"/>
      <c r="H138" s="84"/>
      <c r="I138" s="84"/>
    </row>
    <row r="139" ht="15.75" customHeight="1">
      <c r="A139" s="56"/>
      <c r="B139" s="56"/>
      <c r="C139" s="58"/>
      <c r="D139" s="58"/>
      <c r="E139" s="58"/>
      <c r="F139" s="74"/>
      <c r="G139" s="74"/>
      <c r="H139" s="84"/>
      <c r="I139" s="84"/>
    </row>
    <row r="140" ht="15.75" customHeight="1">
      <c r="A140" s="56"/>
      <c r="B140" s="56"/>
      <c r="C140" s="58"/>
      <c r="D140" s="58"/>
      <c r="E140" s="58"/>
      <c r="F140" s="74"/>
      <c r="G140" s="74"/>
      <c r="H140" s="84"/>
      <c r="I140" s="84"/>
    </row>
    <row r="141" ht="15.75" customHeight="1">
      <c r="A141" s="56"/>
      <c r="B141" s="56"/>
      <c r="C141" s="58"/>
      <c r="D141" s="58"/>
      <c r="E141" s="58"/>
      <c r="F141" s="74"/>
      <c r="G141" s="74"/>
      <c r="H141" s="84"/>
      <c r="I141" s="84"/>
    </row>
    <row r="142" ht="15.75" customHeight="1">
      <c r="A142" s="56"/>
      <c r="B142" s="56"/>
      <c r="C142" s="58"/>
      <c r="D142" s="58"/>
      <c r="E142" s="58"/>
      <c r="F142" s="74"/>
      <c r="G142" s="74"/>
      <c r="H142" s="84"/>
      <c r="I142" s="84"/>
    </row>
    <row r="143" ht="15.75" customHeight="1">
      <c r="A143" s="56"/>
      <c r="B143" s="56"/>
      <c r="C143" s="58"/>
      <c r="D143" s="58"/>
      <c r="E143" s="58"/>
      <c r="F143" s="74"/>
      <c r="G143" s="74"/>
      <c r="H143" s="84"/>
      <c r="I143" s="84"/>
    </row>
    <row r="144" ht="15.75" customHeight="1">
      <c r="A144" s="56"/>
      <c r="B144" s="56"/>
      <c r="C144" s="58"/>
      <c r="D144" s="58"/>
      <c r="E144" s="58"/>
      <c r="F144" s="74"/>
      <c r="G144" s="74"/>
      <c r="H144" s="84"/>
      <c r="I144" s="84"/>
    </row>
    <row r="145" ht="15.75" customHeight="1">
      <c r="A145" s="56"/>
      <c r="B145" s="56"/>
      <c r="C145" s="58"/>
      <c r="D145" s="58"/>
      <c r="E145" s="58"/>
      <c r="F145" s="74"/>
      <c r="G145" s="74"/>
      <c r="H145" s="84"/>
      <c r="I145" s="84"/>
    </row>
    <row r="146" ht="15.75" customHeight="1">
      <c r="A146" s="56"/>
      <c r="B146" s="56"/>
      <c r="C146" s="58"/>
      <c r="D146" s="58"/>
      <c r="E146" s="58"/>
      <c r="F146" s="74"/>
      <c r="G146" s="74"/>
      <c r="H146" s="84"/>
      <c r="I146" s="84"/>
    </row>
    <row r="147" ht="15.75" customHeight="1">
      <c r="A147" s="56"/>
      <c r="B147" s="56"/>
      <c r="C147" s="58"/>
      <c r="D147" s="58"/>
      <c r="E147" s="58"/>
      <c r="F147" s="74"/>
      <c r="G147" s="74"/>
      <c r="H147" s="84"/>
      <c r="I147" s="84"/>
    </row>
    <row r="148" ht="15.75" customHeight="1">
      <c r="A148" s="56"/>
      <c r="B148" s="56"/>
      <c r="C148" s="58"/>
      <c r="D148" s="58"/>
      <c r="E148" s="58"/>
      <c r="F148" s="74"/>
      <c r="G148" s="74"/>
      <c r="H148" s="84"/>
      <c r="I148" s="84"/>
    </row>
    <row r="149" ht="15.75" customHeight="1">
      <c r="A149" s="56"/>
      <c r="B149" s="56"/>
      <c r="C149" s="58"/>
      <c r="D149" s="58"/>
      <c r="E149" s="58"/>
      <c r="F149" s="74"/>
      <c r="G149" s="74"/>
      <c r="H149" s="84"/>
      <c r="I149" s="84"/>
    </row>
    <row r="150" ht="15.75" customHeight="1">
      <c r="A150" s="56"/>
      <c r="B150" s="56"/>
      <c r="C150" s="58"/>
      <c r="D150" s="58"/>
      <c r="E150" s="58"/>
      <c r="F150" s="74"/>
      <c r="G150" s="74"/>
      <c r="H150" s="84"/>
      <c r="I150" s="84"/>
    </row>
    <row r="151" ht="15.75" customHeight="1">
      <c r="A151" s="56"/>
      <c r="B151" s="56"/>
      <c r="C151" s="58"/>
      <c r="D151" s="58"/>
      <c r="E151" s="58"/>
      <c r="F151" s="74"/>
      <c r="G151" s="74"/>
      <c r="H151" s="84"/>
      <c r="I151" s="84"/>
    </row>
    <row r="152" ht="15.75" customHeight="1">
      <c r="A152" s="56"/>
      <c r="B152" s="56"/>
      <c r="C152" s="58"/>
      <c r="D152" s="58"/>
      <c r="E152" s="58"/>
      <c r="F152" s="74"/>
      <c r="G152" s="74"/>
      <c r="H152" s="84"/>
      <c r="I152" s="84"/>
    </row>
    <row r="153" ht="15.75" customHeight="1">
      <c r="A153" s="56"/>
      <c r="B153" s="56"/>
      <c r="C153" s="58"/>
      <c r="D153" s="58"/>
      <c r="E153" s="58"/>
      <c r="F153" s="74"/>
      <c r="G153" s="74"/>
      <c r="H153" s="84"/>
      <c r="I153" s="84"/>
    </row>
    <row r="154" ht="15.75" customHeight="1">
      <c r="A154" s="56"/>
      <c r="B154" s="56"/>
      <c r="C154" s="58"/>
      <c r="D154" s="58"/>
      <c r="E154" s="58"/>
      <c r="F154" s="74"/>
      <c r="G154" s="74"/>
      <c r="H154" s="84"/>
      <c r="I154" s="84"/>
    </row>
    <row r="155" ht="15.75" customHeight="1">
      <c r="A155" s="56"/>
      <c r="B155" s="56"/>
      <c r="C155" s="58"/>
      <c r="D155" s="58"/>
      <c r="E155" s="58"/>
      <c r="F155" s="74"/>
      <c r="G155" s="74"/>
      <c r="H155" s="84"/>
      <c r="I155" s="84"/>
    </row>
    <row r="156" ht="15.75" customHeight="1">
      <c r="A156" s="56"/>
      <c r="B156" s="56"/>
      <c r="C156" s="58"/>
      <c r="D156" s="58"/>
      <c r="E156" s="58"/>
      <c r="F156" s="74"/>
      <c r="G156" s="74"/>
      <c r="H156" s="84"/>
      <c r="I156" s="84"/>
    </row>
    <row r="157" ht="15.75" customHeight="1">
      <c r="A157" s="56"/>
      <c r="B157" s="56"/>
      <c r="C157" s="58"/>
      <c r="D157" s="58"/>
      <c r="E157" s="58"/>
      <c r="F157" s="74"/>
      <c r="G157" s="74"/>
      <c r="H157" s="84"/>
      <c r="I157" s="84"/>
    </row>
    <row r="158" ht="15.75" customHeight="1">
      <c r="A158" s="56"/>
      <c r="B158" s="56"/>
      <c r="C158" s="58"/>
      <c r="D158" s="58"/>
      <c r="E158" s="58"/>
      <c r="F158" s="74"/>
      <c r="G158" s="74"/>
      <c r="H158" s="84"/>
      <c r="I158" s="84"/>
    </row>
    <row r="159" ht="15.75" customHeight="1">
      <c r="A159" s="56"/>
      <c r="B159" s="56"/>
      <c r="C159" s="58"/>
      <c r="D159" s="58"/>
      <c r="E159" s="58"/>
      <c r="F159" s="74"/>
      <c r="G159" s="74"/>
      <c r="H159" s="84"/>
      <c r="I159" s="84"/>
    </row>
    <row r="160" ht="15.75" customHeight="1">
      <c r="A160" s="56"/>
      <c r="B160" s="56"/>
      <c r="C160" s="58"/>
      <c r="D160" s="58"/>
      <c r="E160" s="58"/>
      <c r="F160" s="74"/>
      <c r="G160" s="74"/>
      <c r="H160" s="84"/>
      <c r="I160" s="84"/>
    </row>
    <row r="161" ht="15.75" customHeight="1">
      <c r="A161" s="56"/>
      <c r="B161" s="56"/>
      <c r="C161" s="58"/>
      <c r="D161" s="58"/>
      <c r="E161" s="58"/>
      <c r="F161" s="74"/>
      <c r="G161" s="74"/>
      <c r="H161" s="84"/>
      <c r="I161" s="84"/>
    </row>
    <row r="162" ht="15.75" customHeight="1">
      <c r="A162" s="56"/>
      <c r="B162" s="56"/>
      <c r="C162" s="58"/>
      <c r="D162" s="58"/>
      <c r="E162" s="58"/>
      <c r="F162" s="74"/>
      <c r="G162" s="74"/>
      <c r="H162" s="84"/>
      <c r="I162" s="84"/>
    </row>
    <row r="163" ht="15.75" customHeight="1">
      <c r="A163" s="56"/>
      <c r="B163" s="56"/>
      <c r="C163" s="58"/>
      <c r="D163" s="58"/>
      <c r="E163" s="58"/>
      <c r="F163" s="74"/>
      <c r="G163" s="74"/>
      <c r="H163" s="84"/>
      <c r="I163" s="84"/>
    </row>
    <row r="164" ht="15.75" customHeight="1">
      <c r="A164" s="56"/>
      <c r="B164" s="56"/>
      <c r="C164" s="58"/>
      <c r="D164" s="58"/>
      <c r="E164" s="58"/>
      <c r="F164" s="74"/>
      <c r="G164" s="74"/>
      <c r="H164" s="84"/>
      <c r="I164" s="84"/>
    </row>
    <row r="165" ht="15.75" customHeight="1">
      <c r="A165" s="56"/>
      <c r="B165" s="56"/>
      <c r="C165" s="58"/>
      <c r="D165" s="58"/>
      <c r="E165" s="58"/>
      <c r="F165" s="74"/>
      <c r="G165" s="74"/>
      <c r="H165" s="84"/>
      <c r="I165" s="84"/>
    </row>
    <row r="166" ht="15.75" customHeight="1">
      <c r="A166" s="56"/>
      <c r="B166" s="56"/>
      <c r="C166" s="58"/>
      <c r="D166" s="58"/>
      <c r="E166" s="58"/>
      <c r="F166" s="74"/>
      <c r="G166" s="74"/>
      <c r="H166" s="84"/>
      <c r="I166" s="84"/>
    </row>
    <row r="167" ht="15.75" customHeight="1">
      <c r="A167" s="56"/>
      <c r="B167" s="56"/>
      <c r="C167" s="58"/>
      <c r="D167" s="58"/>
      <c r="E167" s="58"/>
      <c r="F167" s="74"/>
      <c r="G167" s="74"/>
      <c r="H167" s="84"/>
      <c r="I167" s="84"/>
    </row>
    <row r="168" ht="15.75" customHeight="1">
      <c r="A168" s="56"/>
      <c r="B168" s="56"/>
      <c r="C168" s="58"/>
      <c r="D168" s="58"/>
      <c r="E168" s="58"/>
      <c r="F168" s="74"/>
      <c r="G168" s="74"/>
      <c r="H168" s="84"/>
      <c r="I168" s="84"/>
    </row>
    <row r="169" ht="15.75" customHeight="1">
      <c r="A169" s="56"/>
      <c r="B169" s="56"/>
      <c r="C169" s="58"/>
      <c r="D169" s="58"/>
      <c r="E169" s="58"/>
      <c r="F169" s="74"/>
      <c r="G169" s="74"/>
      <c r="H169" s="84"/>
      <c r="I169" s="84"/>
    </row>
    <row r="170" ht="15.75" customHeight="1">
      <c r="A170" s="56"/>
      <c r="B170" s="56"/>
      <c r="C170" s="58"/>
      <c r="D170" s="58"/>
      <c r="E170" s="58"/>
      <c r="F170" s="74"/>
      <c r="G170" s="74"/>
      <c r="H170" s="84"/>
      <c r="I170" s="84"/>
    </row>
    <row r="171" ht="15.75" customHeight="1">
      <c r="A171" s="56"/>
      <c r="B171" s="56"/>
      <c r="C171" s="58"/>
      <c r="D171" s="58"/>
      <c r="E171" s="58"/>
      <c r="F171" s="74"/>
      <c r="G171" s="74"/>
      <c r="H171" s="84"/>
      <c r="I171" s="84"/>
    </row>
    <row r="172" ht="15.75" customHeight="1">
      <c r="A172" s="56"/>
      <c r="B172" s="56"/>
      <c r="C172" s="58"/>
      <c r="D172" s="58"/>
      <c r="E172" s="58"/>
      <c r="F172" s="74"/>
      <c r="G172" s="74"/>
      <c r="H172" s="84"/>
      <c r="I172" s="84"/>
    </row>
    <row r="173" ht="15.75" customHeight="1">
      <c r="A173" s="56"/>
      <c r="B173" s="56"/>
      <c r="C173" s="58"/>
      <c r="D173" s="58"/>
      <c r="E173" s="58"/>
      <c r="F173" s="74"/>
      <c r="G173" s="74"/>
      <c r="H173" s="84"/>
      <c r="I173" s="84"/>
    </row>
    <row r="174" ht="15.75" customHeight="1">
      <c r="A174" s="56"/>
      <c r="B174" s="56"/>
      <c r="C174" s="58"/>
      <c r="D174" s="58"/>
      <c r="E174" s="58"/>
      <c r="F174" s="74"/>
      <c r="G174" s="74"/>
      <c r="H174" s="84"/>
      <c r="I174" s="84"/>
    </row>
    <row r="175" ht="15.75" customHeight="1">
      <c r="A175" s="56"/>
      <c r="B175" s="56"/>
      <c r="C175" s="58"/>
      <c r="D175" s="58"/>
      <c r="E175" s="58"/>
      <c r="F175" s="74"/>
      <c r="G175" s="74"/>
      <c r="H175" s="84"/>
      <c r="I175" s="84"/>
    </row>
    <row r="176" ht="15.75" customHeight="1">
      <c r="A176" s="56"/>
      <c r="B176" s="56"/>
      <c r="C176" s="58"/>
      <c r="D176" s="58"/>
      <c r="E176" s="58"/>
      <c r="F176" s="74"/>
      <c r="G176" s="74"/>
      <c r="H176" s="84"/>
      <c r="I176" s="84"/>
    </row>
    <row r="177" ht="15.75" customHeight="1">
      <c r="A177" s="56"/>
      <c r="B177" s="56"/>
      <c r="C177" s="58"/>
      <c r="D177" s="58"/>
      <c r="E177" s="58"/>
      <c r="F177" s="74"/>
      <c r="G177" s="74"/>
      <c r="H177" s="84"/>
      <c r="I177" s="84"/>
    </row>
    <row r="178" ht="15.75" customHeight="1">
      <c r="A178" s="56"/>
      <c r="B178" s="56"/>
      <c r="C178" s="58"/>
      <c r="D178" s="58"/>
      <c r="E178" s="58"/>
      <c r="F178" s="74"/>
      <c r="G178" s="74"/>
      <c r="H178" s="84"/>
      <c r="I178" s="84"/>
    </row>
    <row r="179" ht="15.75" customHeight="1">
      <c r="A179" s="56"/>
      <c r="B179" s="56"/>
      <c r="C179" s="58"/>
      <c r="D179" s="58"/>
      <c r="E179" s="58"/>
      <c r="F179" s="74"/>
      <c r="G179" s="74"/>
      <c r="H179" s="84"/>
      <c r="I179" s="84"/>
    </row>
    <row r="180" ht="15.75" customHeight="1">
      <c r="A180" s="56"/>
      <c r="B180" s="56"/>
      <c r="C180" s="58"/>
      <c r="D180" s="58"/>
      <c r="E180" s="58"/>
      <c r="F180" s="74"/>
      <c r="G180" s="74"/>
      <c r="H180" s="84"/>
      <c r="I180" s="84"/>
    </row>
    <row r="181" ht="15.75" customHeight="1">
      <c r="A181" s="56"/>
      <c r="B181" s="56"/>
      <c r="C181" s="58"/>
      <c r="D181" s="58"/>
      <c r="E181" s="58"/>
      <c r="F181" s="74"/>
      <c r="G181" s="74"/>
      <c r="H181" s="84"/>
      <c r="I181" s="84"/>
    </row>
    <row r="182" ht="15.75" customHeight="1">
      <c r="A182" s="56"/>
      <c r="B182" s="56"/>
      <c r="C182" s="58"/>
      <c r="D182" s="58"/>
      <c r="E182" s="58"/>
      <c r="F182" s="74"/>
      <c r="G182" s="74"/>
      <c r="H182" s="84"/>
      <c r="I182" s="84"/>
    </row>
    <row r="183" ht="15.75" customHeight="1">
      <c r="A183" s="56"/>
      <c r="B183" s="56"/>
      <c r="C183" s="58"/>
      <c r="D183" s="58"/>
      <c r="E183" s="58"/>
      <c r="F183" s="74"/>
      <c r="G183" s="74"/>
      <c r="H183" s="84"/>
      <c r="I183" s="84"/>
    </row>
    <row r="184" ht="15.75" customHeight="1">
      <c r="A184" s="56"/>
      <c r="B184" s="56"/>
      <c r="C184" s="58"/>
      <c r="D184" s="58"/>
      <c r="E184" s="58"/>
      <c r="F184" s="74"/>
      <c r="G184" s="74"/>
      <c r="H184" s="84"/>
      <c r="I184" s="84"/>
    </row>
    <row r="185" ht="15.75" customHeight="1">
      <c r="A185" s="56"/>
      <c r="B185" s="56"/>
      <c r="C185" s="58"/>
      <c r="D185" s="58"/>
      <c r="E185" s="58"/>
      <c r="F185" s="74"/>
      <c r="G185" s="74"/>
      <c r="H185" s="84"/>
      <c r="I185" s="84"/>
    </row>
    <row r="186" ht="15.75" customHeight="1">
      <c r="A186" s="56"/>
      <c r="B186" s="56"/>
      <c r="C186" s="58"/>
      <c r="D186" s="58"/>
      <c r="E186" s="58"/>
      <c r="F186" s="74"/>
      <c r="G186" s="74"/>
      <c r="H186" s="84"/>
      <c r="I186" s="84"/>
    </row>
    <row r="187" ht="15.75" customHeight="1">
      <c r="A187" s="56"/>
      <c r="B187" s="56"/>
      <c r="C187" s="58"/>
      <c r="D187" s="58"/>
      <c r="E187" s="58"/>
      <c r="F187" s="74"/>
      <c r="G187" s="74"/>
      <c r="H187" s="84"/>
      <c r="I187" s="84"/>
    </row>
    <row r="188" ht="15.75" customHeight="1">
      <c r="A188" s="56"/>
      <c r="B188" s="56"/>
      <c r="C188" s="58"/>
      <c r="D188" s="58"/>
      <c r="E188" s="58"/>
      <c r="F188" s="74"/>
      <c r="G188" s="74"/>
      <c r="H188" s="84"/>
      <c r="I188" s="84"/>
    </row>
    <row r="189" ht="15.75" customHeight="1">
      <c r="A189" s="56"/>
      <c r="B189" s="56"/>
      <c r="C189" s="58"/>
      <c r="D189" s="58"/>
      <c r="E189" s="58"/>
      <c r="F189" s="74"/>
      <c r="G189" s="74"/>
      <c r="H189" s="84"/>
      <c r="I189" s="84"/>
    </row>
    <row r="190" ht="15.75" customHeight="1">
      <c r="A190" s="56"/>
      <c r="B190" s="56"/>
      <c r="C190" s="58"/>
      <c r="D190" s="58"/>
      <c r="E190" s="58"/>
      <c r="F190" s="74"/>
      <c r="G190" s="74"/>
      <c r="H190" s="84"/>
      <c r="I190" s="84"/>
    </row>
    <row r="191" ht="15.75" customHeight="1">
      <c r="A191" s="56"/>
      <c r="B191" s="56"/>
      <c r="C191" s="58"/>
      <c r="D191" s="58"/>
      <c r="E191" s="58"/>
      <c r="F191" s="74"/>
      <c r="G191" s="74"/>
      <c r="H191" s="84"/>
      <c r="I191" s="84"/>
    </row>
    <row r="192" ht="15.75" customHeight="1">
      <c r="A192" s="56"/>
      <c r="B192" s="56"/>
      <c r="C192" s="58"/>
      <c r="D192" s="58"/>
      <c r="E192" s="58"/>
      <c r="F192" s="74"/>
      <c r="G192" s="74"/>
      <c r="H192" s="84"/>
      <c r="I192" s="84"/>
    </row>
    <row r="193" ht="15.75" customHeight="1">
      <c r="A193" s="56"/>
      <c r="B193" s="56"/>
      <c r="C193" s="58"/>
      <c r="D193" s="58"/>
      <c r="E193" s="58"/>
      <c r="F193" s="74"/>
      <c r="G193" s="74"/>
      <c r="H193" s="84"/>
      <c r="I193" s="84"/>
    </row>
    <row r="194" ht="15.75" customHeight="1">
      <c r="A194" s="56"/>
      <c r="B194" s="56"/>
      <c r="C194" s="58"/>
      <c r="D194" s="58"/>
      <c r="E194" s="58"/>
      <c r="F194" s="74"/>
      <c r="G194" s="74"/>
      <c r="H194" s="84"/>
      <c r="I194" s="84"/>
    </row>
    <row r="195" ht="15.75" customHeight="1">
      <c r="A195" s="56"/>
      <c r="B195" s="56"/>
      <c r="C195" s="58"/>
      <c r="D195" s="58"/>
      <c r="E195" s="58"/>
      <c r="F195" s="74"/>
      <c r="G195" s="74"/>
      <c r="H195" s="84"/>
      <c r="I195" s="84"/>
    </row>
    <row r="196" ht="15.75" customHeight="1">
      <c r="A196" s="56"/>
      <c r="B196" s="56"/>
      <c r="C196" s="58"/>
      <c r="D196" s="58"/>
      <c r="E196" s="58"/>
      <c r="F196" s="74"/>
      <c r="G196" s="74"/>
      <c r="H196" s="84"/>
      <c r="I196" s="84"/>
    </row>
    <row r="197" ht="15.75" customHeight="1">
      <c r="A197" s="56"/>
      <c r="B197" s="56"/>
      <c r="C197" s="58"/>
      <c r="D197" s="58"/>
      <c r="E197" s="58"/>
      <c r="F197" s="74"/>
      <c r="G197" s="74"/>
      <c r="H197" s="84"/>
      <c r="I197" s="84"/>
    </row>
    <row r="198" ht="15.75" customHeight="1">
      <c r="A198" s="56"/>
      <c r="B198" s="56"/>
      <c r="C198" s="58"/>
      <c r="D198" s="58"/>
      <c r="E198" s="58"/>
      <c r="F198" s="74"/>
      <c r="G198" s="74"/>
      <c r="H198" s="84"/>
      <c r="I198" s="84"/>
    </row>
    <row r="199" ht="15.75" customHeight="1">
      <c r="A199" s="56"/>
      <c r="B199" s="56"/>
      <c r="C199" s="58"/>
      <c r="D199" s="58"/>
      <c r="E199" s="58"/>
      <c r="F199" s="74"/>
      <c r="G199" s="74"/>
      <c r="H199" s="84"/>
      <c r="I199" s="84"/>
    </row>
    <row r="200" ht="15.75" customHeight="1">
      <c r="A200" s="56"/>
      <c r="B200" s="56"/>
      <c r="C200" s="58"/>
      <c r="D200" s="58"/>
      <c r="E200" s="58"/>
      <c r="F200" s="74"/>
      <c r="G200" s="74"/>
      <c r="H200" s="84"/>
      <c r="I200" s="84"/>
    </row>
    <row r="201" ht="15.75" customHeight="1">
      <c r="A201" s="56"/>
      <c r="B201" s="56"/>
      <c r="C201" s="58"/>
      <c r="D201" s="58"/>
      <c r="E201" s="58"/>
      <c r="F201" s="74"/>
      <c r="G201" s="74"/>
      <c r="H201" s="84"/>
      <c r="I201" s="84"/>
    </row>
    <row r="202" ht="15.75" customHeight="1">
      <c r="A202" s="56"/>
      <c r="B202" s="56"/>
      <c r="C202" s="58"/>
      <c r="D202" s="58"/>
      <c r="E202" s="58"/>
      <c r="F202" s="74"/>
      <c r="G202" s="74"/>
      <c r="H202" s="84"/>
      <c r="I202" s="84"/>
    </row>
    <row r="203" ht="15.75" customHeight="1">
      <c r="A203" s="56"/>
      <c r="B203" s="56"/>
      <c r="C203" s="58"/>
      <c r="D203" s="58"/>
      <c r="E203" s="58"/>
      <c r="F203" s="74"/>
      <c r="G203" s="74"/>
      <c r="H203" s="84"/>
      <c r="I203" s="84"/>
    </row>
    <row r="204" ht="15.75" customHeight="1">
      <c r="A204" s="56"/>
      <c r="B204" s="56"/>
      <c r="C204" s="58"/>
      <c r="D204" s="58"/>
      <c r="E204" s="58"/>
      <c r="F204" s="74"/>
      <c r="G204" s="74"/>
      <c r="H204" s="84"/>
      <c r="I204" s="84"/>
    </row>
    <row r="205" ht="15.75" customHeight="1">
      <c r="A205" s="56"/>
      <c r="B205" s="56"/>
      <c r="C205" s="58"/>
      <c r="D205" s="58"/>
      <c r="E205" s="58"/>
      <c r="F205" s="74"/>
      <c r="G205" s="74"/>
      <c r="H205" s="84"/>
      <c r="I205" s="84"/>
    </row>
    <row r="206" ht="15.75" customHeight="1">
      <c r="A206" s="56"/>
      <c r="B206" s="56"/>
      <c r="C206" s="58"/>
      <c r="D206" s="58"/>
      <c r="E206" s="58"/>
      <c r="F206" s="74"/>
      <c r="G206" s="74"/>
      <c r="H206" s="84"/>
      <c r="I206" s="84"/>
    </row>
    <row r="207" ht="15.75" customHeight="1">
      <c r="A207" s="56"/>
      <c r="B207" s="56"/>
      <c r="C207" s="58"/>
      <c r="D207" s="58"/>
      <c r="E207" s="58"/>
      <c r="F207" s="74"/>
      <c r="G207" s="74"/>
      <c r="H207" s="84"/>
      <c r="I207" s="84"/>
    </row>
    <row r="208" ht="15.75" customHeight="1">
      <c r="A208" s="56"/>
      <c r="B208" s="56"/>
      <c r="C208" s="58"/>
      <c r="D208" s="58"/>
      <c r="E208" s="58"/>
      <c r="F208" s="74"/>
      <c r="G208" s="74"/>
      <c r="H208" s="84"/>
      <c r="I208" s="84"/>
    </row>
    <row r="209" ht="15.75" customHeight="1">
      <c r="A209" s="56"/>
      <c r="B209" s="56"/>
      <c r="C209" s="58"/>
      <c r="D209" s="58"/>
      <c r="E209" s="58"/>
      <c r="F209" s="74"/>
      <c r="G209" s="74"/>
      <c r="H209" s="84"/>
      <c r="I209" s="84"/>
    </row>
    <row r="210" ht="15.75" customHeight="1">
      <c r="A210" s="56"/>
      <c r="B210" s="56"/>
      <c r="C210" s="58"/>
      <c r="D210" s="58"/>
      <c r="E210" s="58"/>
      <c r="F210" s="74"/>
      <c r="G210" s="74"/>
      <c r="H210" s="84"/>
      <c r="I210" s="84"/>
    </row>
    <row r="211" ht="15.75" customHeight="1">
      <c r="A211" s="56"/>
      <c r="B211" s="56"/>
      <c r="C211" s="58"/>
      <c r="D211" s="58"/>
      <c r="E211" s="58"/>
      <c r="F211" s="74"/>
      <c r="G211" s="74"/>
      <c r="H211" s="84"/>
      <c r="I211" s="84"/>
    </row>
    <row r="212" ht="15.75" customHeight="1">
      <c r="A212" s="56"/>
      <c r="B212" s="56"/>
      <c r="C212" s="58"/>
      <c r="D212" s="58"/>
      <c r="E212" s="58"/>
      <c r="F212" s="74"/>
      <c r="G212" s="74"/>
      <c r="H212" s="84"/>
      <c r="I212" s="84"/>
    </row>
    <row r="213" ht="15.75" customHeight="1">
      <c r="A213" s="56"/>
      <c r="B213" s="56"/>
      <c r="C213" s="58"/>
      <c r="D213" s="58"/>
      <c r="E213" s="58"/>
      <c r="F213" s="74"/>
      <c r="G213" s="74"/>
      <c r="H213" s="84"/>
      <c r="I213" s="84"/>
    </row>
    <row r="214" ht="15.75" customHeight="1">
      <c r="A214" s="56"/>
      <c r="B214" s="56"/>
      <c r="C214" s="58"/>
      <c r="D214" s="58"/>
      <c r="E214" s="58"/>
      <c r="F214" s="74"/>
      <c r="G214" s="74"/>
      <c r="H214" s="84"/>
      <c r="I214" s="84"/>
    </row>
    <row r="215" ht="15.75" customHeight="1">
      <c r="A215" s="56"/>
      <c r="B215" s="56"/>
      <c r="C215" s="58"/>
      <c r="D215" s="58"/>
      <c r="E215" s="58"/>
      <c r="F215" s="74"/>
      <c r="G215" s="74"/>
      <c r="H215" s="84"/>
      <c r="I215" s="84"/>
    </row>
    <row r="216" ht="15.75" customHeight="1">
      <c r="A216" s="56"/>
      <c r="B216" s="56"/>
      <c r="C216" s="58"/>
      <c r="D216" s="58"/>
      <c r="E216" s="58"/>
      <c r="F216" s="74"/>
      <c r="G216" s="74"/>
      <c r="H216" s="84"/>
      <c r="I216" s="84"/>
    </row>
    <row r="217" ht="15.75" customHeight="1">
      <c r="A217" s="56"/>
      <c r="B217" s="56"/>
      <c r="C217" s="58"/>
      <c r="D217" s="58"/>
      <c r="E217" s="58"/>
      <c r="F217" s="74"/>
      <c r="G217" s="74"/>
      <c r="H217" s="84"/>
      <c r="I217" s="84"/>
    </row>
    <row r="218" ht="15.75" customHeight="1">
      <c r="A218" s="56"/>
      <c r="B218" s="56"/>
      <c r="C218" s="58"/>
      <c r="D218" s="58"/>
      <c r="E218" s="58"/>
      <c r="F218" s="74"/>
      <c r="G218" s="74"/>
      <c r="H218" s="84"/>
      <c r="I218" s="84"/>
    </row>
    <row r="219" ht="15.75" customHeight="1">
      <c r="A219" s="56"/>
      <c r="B219" s="56"/>
      <c r="C219" s="58"/>
      <c r="D219" s="58"/>
      <c r="E219" s="58"/>
      <c r="F219" s="74"/>
      <c r="G219" s="74"/>
      <c r="H219" s="84"/>
      <c r="I219" s="84"/>
    </row>
    <row r="220" ht="15.75" customHeight="1">
      <c r="A220" s="56"/>
      <c r="B220" s="56"/>
      <c r="C220" s="58"/>
      <c r="D220" s="58"/>
      <c r="E220" s="58"/>
      <c r="F220" s="74"/>
      <c r="G220" s="74"/>
      <c r="H220" s="84"/>
      <c r="I220" s="84"/>
    </row>
    <row r="221" ht="15.75" customHeight="1">
      <c r="A221" s="56"/>
      <c r="B221" s="56"/>
      <c r="C221" s="58"/>
      <c r="D221" s="58"/>
      <c r="E221" s="58"/>
      <c r="F221" s="74"/>
      <c r="G221" s="74"/>
      <c r="H221" s="84"/>
      <c r="I221" s="84"/>
    </row>
    <row r="222" ht="15.75" customHeight="1">
      <c r="A222" s="56"/>
      <c r="B222" s="56"/>
      <c r="C222" s="58"/>
      <c r="D222" s="58"/>
      <c r="E222" s="58"/>
      <c r="F222" s="74"/>
      <c r="G222" s="74"/>
      <c r="H222" s="84"/>
      <c r="I222" s="84"/>
    </row>
    <row r="223" ht="15.75" customHeight="1">
      <c r="A223" s="56"/>
      <c r="B223" s="56"/>
      <c r="C223" s="58"/>
      <c r="D223" s="58"/>
      <c r="E223" s="58"/>
      <c r="F223" s="74"/>
      <c r="G223" s="74"/>
      <c r="H223" s="84"/>
      <c r="I223" s="84"/>
    </row>
    <row r="224" ht="15.75" customHeight="1">
      <c r="A224" s="56"/>
      <c r="B224" s="56"/>
      <c r="C224" s="58"/>
      <c r="D224" s="58"/>
      <c r="E224" s="58"/>
      <c r="F224" s="74"/>
      <c r="G224" s="74"/>
      <c r="H224" s="84"/>
      <c r="I224" s="84"/>
    </row>
    <row r="225" ht="15.75" customHeight="1">
      <c r="A225" s="56"/>
      <c r="B225" s="56"/>
      <c r="C225" s="58"/>
      <c r="D225" s="58"/>
      <c r="E225" s="58"/>
      <c r="F225" s="74"/>
      <c r="G225" s="74"/>
      <c r="H225" s="84"/>
      <c r="I225" s="84"/>
    </row>
    <row r="226" ht="15.75" customHeight="1">
      <c r="A226" s="56"/>
      <c r="B226" s="56"/>
      <c r="C226" s="58"/>
      <c r="D226" s="58"/>
      <c r="E226" s="58"/>
      <c r="F226" s="74"/>
      <c r="G226" s="74"/>
      <c r="H226" s="84"/>
      <c r="I226" s="84"/>
    </row>
    <row r="227" ht="15.75" customHeight="1">
      <c r="A227" s="56"/>
      <c r="B227" s="56"/>
      <c r="C227" s="58"/>
      <c r="D227" s="58"/>
      <c r="E227" s="58"/>
      <c r="F227" s="74"/>
      <c r="G227" s="74"/>
      <c r="H227" s="84"/>
      <c r="I227" s="84"/>
    </row>
    <row r="228" ht="15.75" customHeight="1">
      <c r="A228" s="56"/>
      <c r="B228" s="56"/>
      <c r="C228" s="58"/>
      <c r="D228" s="58"/>
      <c r="E228" s="58"/>
      <c r="F228" s="74"/>
      <c r="G228" s="74"/>
      <c r="H228" s="84"/>
      <c r="I228" s="84"/>
    </row>
    <row r="229" ht="15.75" customHeight="1">
      <c r="A229" s="56"/>
      <c r="B229" s="56"/>
      <c r="C229" s="58"/>
      <c r="D229" s="58"/>
      <c r="E229" s="58"/>
      <c r="F229" s="74"/>
      <c r="G229" s="74"/>
      <c r="H229" s="84"/>
      <c r="I229" s="84"/>
    </row>
    <row r="230" ht="15.75" customHeight="1">
      <c r="A230" s="56"/>
      <c r="B230" s="56"/>
      <c r="C230" s="58"/>
      <c r="D230" s="58"/>
      <c r="E230" s="58"/>
      <c r="F230" s="74"/>
      <c r="G230" s="74"/>
      <c r="H230" s="84"/>
      <c r="I230" s="84"/>
    </row>
    <row r="231" ht="15.75" customHeight="1">
      <c r="A231" s="56"/>
      <c r="B231" s="56"/>
      <c r="C231" s="58"/>
      <c r="D231" s="58"/>
      <c r="E231" s="58"/>
      <c r="F231" s="74"/>
      <c r="G231" s="74"/>
      <c r="H231" s="84"/>
      <c r="I231" s="84"/>
    </row>
    <row r="232" ht="15.75" customHeight="1">
      <c r="A232" s="56"/>
      <c r="B232" s="56"/>
      <c r="C232" s="58"/>
      <c r="D232" s="58"/>
      <c r="E232" s="58"/>
      <c r="F232" s="74"/>
      <c r="G232" s="74"/>
      <c r="H232" s="84"/>
      <c r="I232" s="84"/>
    </row>
    <row r="233" ht="15.75" customHeight="1">
      <c r="A233" s="56"/>
      <c r="B233" s="56"/>
      <c r="C233" s="58"/>
      <c r="D233" s="58"/>
      <c r="E233" s="58"/>
      <c r="F233" s="74"/>
      <c r="G233" s="74"/>
      <c r="H233" s="84"/>
      <c r="I233" s="84"/>
    </row>
    <row r="234" ht="15.75" customHeight="1">
      <c r="A234" s="56"/>
      <c r="B234" s="56"/>
      <c r="C234" s="58"/>
      <c r="D234" s="58"/>
      <c r="E234" s="58"/>
      <c r="F234" s="74"/>
      <c r="G234" s="74"/>
      <c r="H234" s="84"/>
      <c r="I234" s="84"/>
    </row>
    <row r="235" ht="15.75" customHeight="1">
      <c r="A235" s="56"/>
      <c r="B235" s="56"/>
      <c r="C235" s="58"/>
      <c r="D235" s="58"/>
      <c r="E235" s="58"/>
      <c r="F235" s="74"/>
      <c r="G235" s="74"/>
      <c r="H235" s="84"/>
      <c r="I235" s="84"/>
    </row>
    <row r="236" ht="15.75" customHeight="1">
      <c r="A236" s="56"/>
      <c r="B236" s="56"/>
      <c r="C236" s="58"/>
      <c r="D236" s="58"/>
      <c r="E236" s="58"/>
      <c r="F236" s="74"/>
      <c r="G236" s="74"/>
      <c r="H236" s="84"/>
      <c r="I236" s="84"/>
    </row>
    <row r="237" ht="15.75" customHeight="1">
      <c r="A237" s="56"/>
      <c r="B237" s="56"/>
      <c r="C237" s="58"/>
      <c r="D237" s="58"/>
      <c r="E237" s="58"/>
      <c r="F237" s="74"/>
      <c r="G237" s="74"/>
      <c r="H237" s="84"/>
      <c r="I237" s="84"/>
    </row>
    <row r="238" ht="15.75" customHeight="1">
      <c r="A238" s="56"/>
      <c r="B238" s="56"/>
      <c r="C238" s="58"/>
      <c r="D238" s="58"/>
      <c r="E238" s="58"/>
      <c r="F238" s="74"/>
      <c r="G238" s="74"/>
      <c r="H238" s="84"/>
      <c r="I238" s="84"/>
    </row>
    <row r="239" ht="15.75" customHeight="1">
      <c r="A239" s="56"/>
      <c r="B239" s="56"/>
      <c r="C239" s="58"/>
      <c r="D239" s="58"/>
      <c r="E239" s="58"/>
      <c r="F239" s="74"/>
      <c r="G239" s="74"/>
      <c r="H239" s="84"/>
      <c r="I239" s="84"/>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62" t="s">
        <v>50</v>
      </c>
      <c r="B1" s="62" t="s">
        <v>52</v>
      </c>
      <c r="C1" s="62" t="s">
        <v>53</v>
      </c>
      <c r="D1" s="62" t="s">
        <v>56</v>
      </c>
      <c r="E1" s="62" t="s">
        <v>59</v>
      </c>
      <c r="F1" s="64" t="s">
        <v>62</v>
      </c>
      <c r="G1" s="66" t="s">
        <v>63</v>
      </c>
      <c r="H1" s="68" t="s">
        <v>67</v>
      </c>
      <c r="I1" s="62" t="s">
        <v>68</v>
      </c>
      <c r="J1" s="62" t="s">
        <v>72</v>
      </c>
      <c r="K1" s="62" t="s">
        <v>163</v>
      </c>
      <c r="L1" s="62" t="s">
        <v>77</v>
      </c>
      <c r="M1" s="70"/>
    </row>
    <row r="2">
      <c r="A2" s="71" t="s">
        <v>167</v>
      </c>
      <c r="B2" s="71" t="s">
        <v>168</v>
      </c>
      <c r="C2" s="71" t="s">
        <v>170</v>
      </c>
      <c r="D2" s="71" t="s">
        <v>85</v>
      </c>
      <c r="E2" s="71" t="s">
        <v>172</v>
      </c>
      <c r="F2" s="71" t="s">
        <v>173</v>
      </c>
      <c r="G2" s="71" t="s">
        <v>174</v>
      </c>
      <c r="H2" s="71" t="s">
        <v>175</v>
      </c>
      <c r="I2" s="71" t="s">
        <v>93</v>
      </c>
      <c r="J2" s="71" t="s">
        <v>176</v>
      </c>
      <c r="K2" s="71" t="s">
        <v>95</v>
      </c>
      <c r="L2" s="71" t="s">
        <v>178</v>
      </c>
      <c r="M2" s="70"/>
    </row>
    <row r="3">
      <c r="A3" s="71" t="s">
        <v>179</v>
      </c>
      <c r="B3" s="71" t="s">
        <v>180</v>
      </c>
      <c r="C3" s="71" t="s">
        <v>181</v>
      </c>
      <c r="D3" s="71" t="s">
        <v>100</v>
      </c>
      <c r="E3" s="71" t="s">
        <v>184</v>
      </c>
      <c r="F3" s="71" t="s">
        <v>185</v>
      </c>
      <c r="G3" s="71" t="s">
        <v>186</v>
      </c>
      <c r="H3" s="71" t="s">
        <v>187</v>
      </c>
      <c r="I3" s="71" t="s">
        <v>106</v>
      </c>
      <c r="J3" s="71" t="s">
        <v>190</v>
      </c>
      <c r="K3" s="71" t="s">
        <v>193</v>
      </c>
      <c r="L3" s="71" t="s">
        <v>194</v>
      </c>
      <c r="M3" s="70"/>
    </row>
    <row r="4">
      <c r="A4" s="71" t="s">
        <v>198</v>
      </c>
      <c r="B4" s="71" t="s">
        <v>199</v>
      </c>
      <c r="C4" s="71" t="s">
        <v>201</v>
      </c>
      <c r="D4" s="71" t="s">
        <v>115</v>
      </c>
      <c r="E4" s="71" t="s">
        <v>202</v>
      </c>
      <c r="F4" s="71" t="s">
        <v>204</v>
      </c>
      <c r="G4" s="71" t="s">
        <v>205</v>
      </c>
      <c r="H4" s="71" t="s">
        <v>206</v>
      </c>
      <c r="I4" s="71" t="s">
        <v>93</v>
      </c>
      <c r="J4" s="71" t="s">
        <v>207</v>
      </c>
      <c r="K4" s="71" t="s">
        <v>95</v>
      </c>
      <c r="L4" s="71" t="s">
        <v>209</v>
      </c>
      <c r="M4" s="82"/>
    </row>
    <row r="5">
      <c r="A5" s="71" t="s">
        <v>211</v>
      </c>
      <c r="B5" s="71" t="s">
        <v>212</v>
      </c>
      <c r="C5" s="71" t="s">
        <v>214</v>
      </c>
      <c r="D5" s="71" t="s">
        <v>115</v>
      </c>
      <c r="E5" s="71" t="s">
        <v>217</v>
      </c>
      <c r="F5" s="71" t="s">
        <v>219</v>
      </c>
      <c r="G5" s="71" t="s">
        <v>221</v>
      </c>
      <c r="H5" s="71" t="s">
        <v>222</v>
      </c>
      <c r="I5" s="71" t="s">
        <v>106</v>
      </c>
      <c r="J5" s="71" t="s">
        <v>223</v>
      </c>
      <c r="K5" s="71" t="s">
        <v>224</v>
      </c>
      <c r="L5" s="71" t="s">
        <v>225</v>
      </c>
      <c r="M5" s="82"/>
    </row>
    <row r="6">
      <c r="A6" s="71" t="s">
        <v>226</v>
      </c>
      <c r="B6" s="71" t="s">
        <v>227</v>
      </c>
      <c r="C6" s="71" t="s">
        <v>228</v>
      </c>
      <c r="D6" s="71" t="s">
        <v>115</v>
      </c>
      <c r="E6" s="71" t="s">
        <v>229</v>
      </c>
      <c r="F6" s="71" t="s">
        <v>230</v>
      </c>
      <c r="G6" s="71" t="s">
        <v>231</v>
      </c>
      <c r="H6" s="71" t="s">
        <v>232</v>
      </c>
      <c r="I6" s="71" t="s">
        <v>106</v>
      </c>
      <c r="J6" s="71" t="s">
        <v>233</v>
      </c>
      <c r="K6" s="71" t="s">
        <v>152</v>
      </c>
      <c r="L6" s="71" t="s">
        <v>235</v>
      </c>
      <c r="M6" s="82"/>
    </row>
    <row r="7">
      <c r="A7" s="71" t="s">
        <v>237</v>
      </c>
      <c r="B7" s="71" t="s">
        <v>239</v>
      </c>
      <c r="C7" s="71" t="s">
        <v>240</v>
      </c>
      <c r="D7" s="71" t="s">
        <v>115</v>
      </c>
      <c r="E7" s="71" t="s">
        <v>243</v>
      </c>
      <c r="F7" s="71" t="s">
        <v>244</v>
      </c>
      <c r="G7" s="71" t="s">
        <v>245</v>
      </c>
      <c r="H7" s="71" t="s">
        <v>247</v>
      </c>
      <c r="I7" s="71" t="s">
        <v>93</v>
      </c>
      <c r="J7" s="71" t="s">
        <v>248</v>
      </c>
      <c r="K7" s="71" t="s">
        <v>250</v>
      </c>
      <c r="L7" s="71" t="s">
        <v>252</v>
      </c>
      <c r="M7" s="82"/>
    </row>
    <row r="8">
      <c r="A8" s="71" t="s">
        <v>254</v>
      </c>
      <c r="B8" s="71" t="s">
        <v>255</v>
      </c>
      <c r="C8" s="71" t="s">
        <v>256</v>
      </c>
      <c r="D8" s="71" t="s">
        <v>115</v>
      </c>
      <c r="E8" s="71" t="s">
        <v>257</v>
      </c>
      <c r="F8" s="71" t="s">
        <v>258</v>
      </c>
      <c r="G8" s="71" t="s">
        <v>259</v>
      </c>
      <c r="H8" s="71" t="s">
        <v>260</v>
      </c>
      <c r="I8" s="71" t="s">
        <v>106</v>
      </c>
      <c r="J8" s="71" t="s">
        <v>261</v>
      </c>
      <c r="K8" s="71" t="s">
        <v>263</v>
      </c>
      <c r="L8" s="71" t="s">
        <v>264</v>
      </c>
      <c r="M8" s="82"/>
    </row>
    <row r="9">
      <c r="A9" s="71" t="s">
        <v>265</v>
      </c>
      <c r="B9" s="71" t="s">
        <v>267</v>
      </c>
      <c r="C9" s="71" t="s">
        <v>268</v>
      </c>
      <c r="D9" s="71" t="s">
        <v>115</v>
      </c>
      <c r="E9" s="71" t="s">
        <v>270</v>
      </c>
      <c r="F9" s="71" t="s">
        <v>272</v>
      </c>
      <c r="G9" s="71" t="s">
        <v>273</v>
      </c>
      <c r="H9" s="71" t="s">
        <v>274</v>
      </c>
      <c r="I9" s="71" t="s">
        <v>150</v>
      </c>
      <c r="J9" s="71" t="s">
        <v>275</v>
      </c>
      <c r="K9" s="71" t="s">
        <v>95</v>
      </c>
      <c r="L9" s="71" t="s">
        <v>264</v>
      </c>
      <c r="M9" s="82"/>
    </row>
    <row r="10">
      <c r="A10" s="71" t="s">
        <v>276</v>
      </c>
      <c r="B10" s="71" t="s">
        <v>277</v>
      </c>
      <c r="C10" s="71" t="s">
        <v>279</v>
      </c>
      <c r="D10" s="71" t="s">
        <v>115</v>
      </c>
      <c r="E10" s="71" t="s">
        <v>280</v>
      </c>
      <c r="F10" s="71" t="s">
        <v>281</v>
      </c>
      <c r="G10" s="71" t="s">
        <v>282</v>
      </c>
      <c r="H10" s="71" t="s">
        <v>283</v>
      </c>
      <c r="I10" s="71" t="s">
        <v>106</v>
      </c>
      <c r="J10" s="71" t="s">
        <v>284</v>
      </c>
      <c r="K10" s="71" t="s">
        <v>285</v>
      </c>
      <c r="L10" s="71" t="s">
        <v>264</v>
      </c>
      <c r="M10" s="82"/>
    </row>
    <row r="11">
      <c r="A11" s="71" t="s">
        <v>287</v>
      </c>
      <c r="B11" s="71" t="s">
        <v>288</v>
      </c>
      <c r="C11" s="71" t="s">
        <v>289</v>
      </c>
      <c r="D11" s="71" t="s">
        <v>115</v>
      </c>
      <c r="E11" s="71" t="s">
        <v>292</v>
      </c>
      <c r="F11" s="71" t="s">
        <v>294</v>
      </c>
      <c r="G11" s="71" t="s">
        <v>295</v>
      </c>
      <c r="H11" s="71" t="s">
        <v>296</v>
      </c>
      <c r="I11" s="71" t="s">
        <v>106</v>
      </c>
      <c r="J11" s="71" t="s">
        <v>297</v>
      </c>
      <c r="K11" s="71" t="s">
        <v>152</v>
      </c>
      <c r="L11" s="71" t="s">
        <v>298</v>
      </c>
      <c r="M11" s="82"/>
    </row>
    <row r="12">
      <c r="A12" s="71" t="s">
        <v>287</v>
      </c>
      <c r="B12" s="71" t="s">
        <v>299</v>
      </c>
      <c r="C12" s="71" t="s">
        <v>301</v>
      </c>
      <c r="D12" s="71" t="s">
        <v>115</v>
      </c>
      <c r="E12" s="71" t="s">
        <v>303</v>
      </c>
      <c r="F12" s="71" t="s">
        <v>304</v>
      </c>
      <c r="G12" s="71" t="s">
        <v>306</v>
      </c>
      <c r="H12" s="71" t="s">
        <v>307</v>
      </c>
      <c r="I12" s="71" t="s">
        <v>106</v>
      </c>
      <c r="J12" s="71" t="s">
        <v>310</v>
      </c>
      <c r="K12" s="71" t="s">
        <v>152</v>
      </c>
      <c r="L12" s="71" t="s">
        <v>298</v>
      </c>
      <c r="M12" s="82"/>
    </row>
    <row r="13">
      <c r="A13" s="71" t="s">
        <v>312</v>
      </c>
      <c r="B13" s="71" t="s">
        <v>314</v>
      </c>
      <c r="C13" s="71" t="s">
        <v>315</v>
      </c>
      <c r="D13" s="71" t="s">
        <v>115</v>
      </c>
      <c r="E13" s="71" t="s">
        <v>306</v>
      </c>
      <c r="F13" s="71" t="s">
        <v>318</v>
      </c>
      <c r="G13" s="71" t="s">
        <v>320</v>
      </c>
      <c r="H13" s="71" t="s">
        <v>321</v>
      </c>
      <c r="I13" s="71" t="s">
        <v>106</v>
      </c>
      <c r="J13" s="71" t="s">
        <v>322</v>
      </c>
      <c r="K13" s="71" t="s">
        <v>323</v>
      </c>
      <c r="L13" s="71" t="s">
        <v>298</v>
      </c>
      <c r="M13" s="82"/>
    </row>
    <row r="14">
      <c r="A14" s="71" t="s">
        <v>324</v>
      </c>
      <c r="B14" s="71" t="s">
        <v>325</v>
      </c>
      <c r="C14" s="71" t="s">
        <v>326</v>
      </c>
      <c r="D14" s="71" t="s">
        <v>115</v>
      </c>
      <c r="E14" s="71" t="s">
        <v>327</v>
      </c>
      <c r="F14" s="71" t="s">
        <v>328</v>
      </c>
      <c r="G14" s="71" t="s">
        <v>331</v>
      </c>
      <c r="H14" s="71" t="s">
        <v>333</v>
      </c>
      <c r="I14" s="71" t="s">
        <v>150</v>
      </c>
      <c r="J14" s="71" t="s">
        <v>336</v>
      </c>
      <c r="K14" s="71" t="s">
        <v>338</v>
      </c>
      <c r="L14" s="71" t="s">
        <v>264</v>
      </c>
      <c r="M14" s="82"/>
    </row>
    <row r="15">
      <c r="A15" s="71" t="s">
        <v>339</v>
      </c>
      <c r="B15" s="90" t="s">
        <v>341</v>
      </c>
      <c r="C15" s="71" t="s">
        <v>345</v>
      </c>
      <c r="D15" s="71" t="s">
        <v>115</v>
      </c>
      <c r="E15" s="71" t="s">
        <v>346</v>
      </c>
      <c r="F15" s="71" t="s">
        <v>347</v>
      </c>
      <c r="G15" s="71" t="s">
        <v>348</v>
      </c>
      <c r="H15" s="71" t="s">
        <v>349</v>
      </c>
      <c r="I15" s="71" t="s">
        <v>150</v>
      </c>
      <c r="J15" s="71" t="s">
        <v>350</v>
      </c>
      <c r="K15" s="71" t="s">
        <v>351</v>
      </c>
      <c r="L15" s="71" t="s">
        <v>353</v>
      </c>
      <c r="M15" s="82"/>
    </row>
    <row r="16">
      <c r="A16" s="71" t="s">
        <v>360</v>
      </c>
      <c r="B16" s="71" t="s">
        <v>361</v>
      </c>
      <c r="C16" s="71" t="s">
        <v>363</v>
      </c>
      <c r="D16" s="71" t="s">
        <v>100</v>
      </c>
      <c r="E16" s="71" t="s">
        <v>365</v>
      </c>
      <c r="F16" s="71" t="s">
        <v>368</v>
      </c>
      <c r="G16" s="71" t="s">
        <v>370</v>
      </c>
      <c r="H16" s="71" t="s">
        <v>372</v>
      </c>
      <c r="I16" s="71" t="s">
        <v>150</v>
      </c>
      <c r="J16" s="71" t="s">
        <v>373</v>
      </c>
      <c r="K16" s="71" t="s">
        <v>95</v>
      </c>
      <c r="L16" s="71" t="s">
        <v>374</v>
      </c>
      <c r="M16" s="106"/>
    </row>
    <row r="17" ht="23.25" customHeight="1">
      <c r="A17" s="37"/>
      <c r="B17" s="37"/>
      <c r="C17" s="37"/>
      <c r="D17" s="37"/>
      <c r="E17" s="37"/>
      <c r="F17" s="37"/>
      <c r="G17" s="37"/>
      <c r="H17" s="37"/>
      <c r="I17" s="37"/>
      <c r="J17" s="37"/>
      <c r="K17" s="37"/>
      <c r="L17" s="37"/>
      <c r="M17" s="106"/>
    </row>
  </sheetData>
  <printOptions/>
  <pageMargins bottom="0.75" footer="0.0" header="0.0" left="0.7" right="0.7" top="0.75"/>
  <pageSetup paperSize="3" scale="91"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94" t="s">
        <v>13</v>
      </c>
      <c r="B1" s="95" t="s">
        <v>359</v>
      </c>
      <c r="C1" s="66" t="s">
        <v>367</v>
      </c>
      <c r="E1" s="96" t="s">
        <v>371</v>
      </c>
      <c r="F1" s="97"/>
    </row>
    <row r="2" ht="14.25" customHeight="1">
      <c r="A2" s="99">
        <v>0.0</v>
      </c>
      <c r="B2" s="101" t="s">
        <v>377</v>
      </c>
      <c r="C2" s="103" t="s">
        <v>378</v>
      </c>
      <c r="E2" s="105" t="s">
        <v>380</v>
      </c>
      <c r="F2" s="108" t="s">
        <v>382</v>
      </c>
    </row>
    <row r="3" ht="14.25" customHeight="1">
      <c r="A3" s="109">
        <v>0.0</v>
      </c>
      <c r="B3" s="39" t="s">
        <v>385</v>
      </c>
      <c r="C3" s="110" t="s">
        <v>386</v>
      </c>
      <c r="E3" s="111" t="s">
        <v>387</v>
      </c>
      <c r="F3" s="97"/>
    </row>
    <row r="4" ht="14.25" customHeight="1">
      <c r="A4" s="109">
        <v>0.0</v>
      </c>
      <c r="B4" s="39" t="s">
        <v>389</v>
      </c>
      <c r="C4" s="110" t="s">
        <v>391</v>
      </c>
      <c r="E4" s="112" t="s">
        <v>378</v>
      </c>
      <c r="F4" s="113">
        <v>15.0</v>
      </c>
    </row>
    <row r="5" ht="14.25" customHeight="1">
      <c r="A5" s="109">
        <v>0.0</v>
      </c>
      <c r="B5" s="39" t="s">
        <v>394</v>
      </c>
      <c r="C5" s="110" t="s">
        <v>395</v>
      </c>
      <c r="E5" s="112" t="s">
        <v>386</v>
      </c>
      <c r="F5" s="113">
        <v>15.0</v>
      </c>
    </row>
    <row r="6" ht="14.25" customHeight="1">
      <c r="A6" s="109">
        <v>0.0</v>
      </c>
      <c r="B6" s="39" t="s">
        <v>397</v>
      </c>
      <c r="C6" s="110" t="s">
        <v>398</v>
      </c>
      <c r="E6" s="112" t="s">
        <v>391</v>
      </c>
      <c r="F6" s="113">
        <v>90.0</v>
      </c>
    </row>
    <row r="7" ht="14.25" customHeight="1">
      <c r="A7" s="109">
        <v>0.0</v>
      </c>
      <c r="B7" s="39" t="s">
        <v>400</v>
      </c>
      <c r="C7" s="110" t="s">
        <v>401</v>
      </c>
      <c r="E7" s="112" t="s">
        <v>395</v>
      </c>
      <c r="F7" s="113">
        <v>60.0</v>
      </c>
    </row>
    <row r="8" ht="14.25" customHeight="1">
      <c r="A8" s="109">
        <v>0.0</v>
      </c>
      <c r="B8" s="39" t="s">
        <v>404</v>
      </c>
      <c r="C8" s="110" t="s">
        <v>405</v>
      </c>
      <c r="E8" s="112" t="s">
        <v>398</v>
      </c>
      <c r="F8" s="113">
        <v>120.0</v>
      </c>
    </row>
    <row r="9" ht="14.25" customHeight="1">
      <c r="A9" s="109">
        <v>0.0</v>
      </c>
      <c r="B9" s="39" t="s">
        <v>407</v>
      </c>
      <c r="C9" s="110" t="s">
        <v>408</v>
      </c>
      <c r="E9" s="112" t="s">
        <v>401</v>
      </c>
      <c r="F9" s="113">
        <v>120.0</v>
      </c>
    </row>
    <row r="10" ht="14.25" customHeight="1">
      <c r="A10" s="118">
        <v>0.0</v>
      </c>
      <c r="B10" s="119" t="s">
        <v>413</v>
      </c>
      <c r="C10" s="121" t="s">
        <v>415</v>
      </c>
      <c r="E10" s="112" t="s">
        <v>405</v>
      </c>
      <c r="F10" s="123">
        <v>120.0</v>
      </c>
    </row>
    <row r="11" ht="14.25" customHeight="1">
      <c r="A11" s="99">
        <v>1.0</v>
      </c>
      <c r="B11" s="124" t="s">
        <v>424</v>
      </c>
      <c r="C11" s="103" t="s">
        <v>427</v>
      </c>
      <c r="E11" s="112" t="s">
        <v>408</v>
      </c>
      <c r="F11" s="123">
        <v>180.0</v>
      </c>
    </row>
    <row r="12" ht="14.25" customHeight="1">
      <c r="A12" s="109">
        <v>1.0</v>
      </c>
      <c r="B12" s="39" t="s">
        <v>432</v>
      </c>
      <c r="C12" s="110" t="s">
        <v>433</v>
      </c>
      <c r="E12" s="127" t="s">
        <v>415</v>
      </c>
      <c r="F12" s="123">
        <v>720.0</v>
      </c>
    </row>
    <row r="13" ht="14.25" customHeight="1">
      <c r="A13" s="109">
        <v>1.0</v>
      </c>
      <c r="B13" s="39" t="s">
        <v>434</v>
      </c>
      <c r="C13" s="110" t="s">
        <v>435</v>
      </c>
      <c r="E13" s="111" t="s">
        <v>436</v>
      </c>
      <c r="F13" s="97"/>
    </row>
    <row r="14" ht="14.25" customHeight="1">
      <c r="A14" s="109">
        <v>1.0</v>
      </c>
      <c r="B14" s="39" t="s">
        <v>438</v>
      </c>
      <c r="C14" s="110" t="s">
        <v>440</v>
      </c>
      <c r="E14" s="112" t="s">
        <v>427</v>
      </c>
      <c r="F14" s="113">
        <v>60.0</v>
      </c>
    </row>
    <row r="15" ht="14.25" customHeight="1">
      <c r="A15" s="109">
        <v>1.0</v>
      </c>
      <c r="B15" s="39" t="s">
        <v>442</v>
      </c>
      <c r="C15" s="110" t="s">
        <v>444</v>
      </c>
      <c r="E15" s="112" t="s">
        <v>433</v>
      </c>
      <c r="F15" s="113">
        <v>60.0</v>
      </c>
    </row>
    <row r="16" ht="14.25" customHeight="1">
      <c r="A16" s="109">
        <v>1.0</v>
      </c>
      <c r="B16" s="39" t="s">
        <v>447</v>
      </c>
      <c r="C16" s="110" t="s">
        <v>449</v>
      </c>
      <c r="E16" s="112" t="s">
        <v>435</v>
      </c>
      <c r="F16" s="113">
        <v>240.0</v>
      </c>
    </row>
    <row r="17" ht="14.25" customHeight="1">
      <c r="A17" s="109">
        <v>1.0</v>
      </c>
      <c r="B17" s="39" t="s">
        <v>452</v>
      </c>
      <c r="C17" s="110" t="s">
        <v>453</v>
      </c>
      <c r="E17" s="112" t="s">
        <v>440</v>
      </c>
      <c r="F17" s="113">
        <v>60.0</v>
      </c>
    </row>
    <row r="18" ht="14.25" customHeight="1">
      <c r="A18" s="118">
        <v>1.0</v>
      </c>
      <c r="B18" s="119" t="s">
        <v>455</v>
      </c>
      <c r="C18" s="121" t="s">
        <v>415</v>
      </c>
      <c r="E18" s="112" t="s">
        <v>444</v>
      </c>
      <c r="F18" s="123">
        <v>240.0</v>
      </c>
    </row>
    <row r="19" ht="14.25" customHeight="1">
      <c r="A19" s="99">
        <v>2.0</v>
      </c>
      <c r="B19" s="101" t="s">
        <v>456</v>
      </c>
      <c r="C19" s="103" t="s">
        <v>457</v>
      </c>
      <c r="E19" s="112" t="s">
        <v>449</v>
      </c>
      <c r="F19" s="113">
        <v>90.0</v>
      </c>
    </row>
    <row r="20" ht="14.25" customHeight="1">
      <c r="A20" s="109">
        <v>2.0</v>
      </c>
      <c r="B20" s="39" t="s">
        <v>459</v>
      </c>
      <c r="C20" s="110" t="s">
        <v>460</v>
      </c>
      <c r="E20" s="112" t="s">
        <v>453</v>
      </c>
      <c r="F20" s="113">
        <v>210.0</v>
      </c>
    </row>
    <row r="21" ht="14.25" customHeight="1">
      <c r="A21" s="109">
        <v>2.0</v>
      </c>
      <c r="B21" s="39" t="s">
        <v>465</v>
      </c>
      <c r="C21" s="110" t="s">
        <v>466</v>
      </c>
      <c r="E21" s="112" t="s">
        <v>457</v>
      </c>
      <c r="F21" s="113">
        <v>60.0</v>
      </c>
    </row>
    <row r="22" ht="14.25" customHeight="1">
      <c r="A22" s="109">
        <v>2.0</v>
      </c>
      <c r="B22" s="39" t="s">
        <v>467</v>
      </c>
      <c r="C22" s="110" t="s">
        <v>468</v>
      </c>
      <c r="E22" s="112" t="s">
        <v>460</v>
      </c>
      <c r="F22" s="113">
        <v>300.0</v>
      </c>
    </row>
    <row r="23" ht="14.25" customHeight="1">
      <c r="A23" s="109">
        <v>2.0</v>
      </c>
      <c r="B23" s="39" t="s">
        <v>471</v>
      </c>
      <c r="C23" s="110" t="s">
        <v>449</v>
      </c>
      <c r="E23" s="112" t="s">
        <v>466</v>
      </c>
      <c r="F23" s="113">
        <v>60.0</v>
      </c>
    </row>
    <row r="24" ht="14.25" customHeight="1">
      <c r="A24" s="109">
        <v>2.0</v>
      </c>
      <c r="B24" s="39" t="s">
        <v>474</v>
      </c>
      <c r="C24" s="110" t="s">
        <v>476</v>
      </c>
      <c r="E24" s="112" t="s">
        <v>468</v>
      </c>
      <c r="F24" s="113">
        <v>240.0</v>
      </c>
    </row>
    <row r="25" ht="14.25" customHeight="1">
      <c r="A25" s="118">
        <v>2.0</v>
      </c>
      <c r="B25" s="119" t="s">
        <v>478</v>
      </c>
      <c r="C25" s="144" t="s">
        <v>415</v>
      </c>
      <c r="E25" s="112" t="s">
        <v>449</v>
      </c>
      <c r="F25" s="123">
        <v>90.0</v>
      </c>
    </row>
    <row r="26" ht="14.25" customHeight="1">
      <c r="A26" s="145" t="s">
        <v>481</v>
      </c>
      <c r="C26" s="146"/>
      <c r="E26" s="112" t="s">
        <v>476</v>
      </c>
      <c r="F26" s="123">
        <v>270.0</v>
      </c>
    </row>
    <row r="27" ht="14.25" customHeight="1">
      <c r="A27" s="147">
        <v>46106.0</v>
      </c>
      <c r="B27" s="101" t="s">
        <v>484</v>
      </c>
      <c r="C27" s="149" t="s">
        <v>277</v>
      </c>
      <c r="E27" s="111" t="s">
        <v>486</v>
      </c>
      <c r="F27" s="97"/>
    </row>
    <row r="28" ht="14.25" customHeight="1">
      <c r="A28" s="150">
        <v>46106.0</v>
      </c>
      <c r="B28" s="39" t="s">
        <v>484</v>
      </c>
      <c r="C28" s="151" t="s">
        <v>491</v>
      </c>
      <c r="E28" s="113" t="s">
        <v>277</v>
      </c>
      <c r="F28" s="113">
        <v>60.0</v>
      </c>
    </row>
    <row r="29" ht="14.25" customHeight="1">
      <c r="A29" s="150">
        <v>46106.0</v>
      </c>
      <c r="B29" s="39" t="s">
        <v>484</v>
      </c>
      <c r="C29" s="151" t="s">
        <v>492</v>
      </c>
      <c r="E29" s="113" t="s">
        <v>491</v>
      </c>
      <c r="F29" s="113">
        <v>240.0</v>
      </c>
    </row>
    <row r="30" ht="14.25" customHeight="1">
      <c r="A30" s="150">
        <v>46106.0</v>
      </c>
      <c r="B30" s="39" t="s">
        <v>484</v>
      </c>
      <c r="C30" s="151" t="s">
        <v>493</v>
      </c>
      <c r="E30" s="113" t="s">
        <v>492</v>
      </c>
      <c r="F30" s="113">
        <v>300.0</v>
      </c>
    </row>
    <row r="31" ht="14.25" customHeight="1">
      <c r="A31" s="150">
        <v>46106.0</v>
      </c>
      <c r="B31" s="39" t="s">
        <v>484</v>
      </c>
      <c r="C31" s="151" t="s">
        <v>496</v>
      </c>
      <c r="E31" s="113" t="s">
        <v>493</v>
      </c>
      <c r="F31" s="113">
        <v>90.0</v>
      </c>
    </row>
    <row r="32" ht="14.25" customHeight="1">
      <c r="A32" s="156">
        <v>46106.0</v>
      </c>
      <c r="B32" s="119" t="s">
        <v>484</v>
      </c>
      <c r="C32" s="144" t="s">
        <v>415</v>
      </c>
      <c r="E32" s="113" t="s">
        <v>496</v>
      </c>
      <c r="F32" s="113">
        <v>270.0</v>
      </c>
    </row>
    <row r="33" ht="14.25" customHeight="1">
      <c r="A33" s="157" t="s">
        <v>502</v>
      </c>
      <c r="E33" s="113" t="s">
        <v>503</v>
      </c>
      <c r="F33" s="113">
        <v>120.0</v>
      </c>
    </row>
    <row r="34" ht="14.25" customHeight="1">
      <c r="A34" s="99">
        <v>26.0</v>
      </c>
      <c r="B34" s="101" t="s">
        <v>506</v>
      </c>
      <c r="C34" s="149" t="s">
        <v>507</v>
      </c>
      <c r="E34" s="113" t="s">
        <v>507</v>
      </c>
      <c r="F34" s="113">
        <v>120.0</v>
      </c>
    </row>
    <row r="35" ht="14.25" customHeight="1">
      <c r="A35" s="109">
        <v>26.0</v>
      </c>
      <c r="B35" s="39" t="s">
        <v>513</v>
      </c>
      <c r="C35" s="151" t="s">
        <v>503</v>
      </c>
      <c r="E35" s="113" t="s">
        <v>415</v>
      </c>
      <c r="F35" s="113">
        <v>240.0</v>
      </c>
    </row>
    <row r="36" ht="14.25" customHeight="1">
      <c r="A36" s="109">
        <v>26.0</v>
      </c>
      <c r="B36" s="39" t="s">
        <v>515</v>
      </c>
      <c r="C36" s="151" t="s">
        <v>415</v>
      </c>
      <c r="E36" s="111" t="s">
        <v>502</v>
      </c>
      <c r="F36" s="97"/>
    </row>
    <row r="37" ht="14.25" customHeight="1">
      <c r="A37" s="99">
        <v>27.0</v>
      </c>
      <c r="B37" s="101" t="s">
        <v>517</v>
      </c>
      <c r="C37" s="149" t="s">
        <v>507</v>
      </c>
      <c r="E37" s="113" t="s">
        <v>507</v>
      </c>
      <c r="F37" s="123">
        <v>360.0</v>
      </c>
    </row>
    <row r="38" ht="14.25" customHeight="1">
      <c r="A38" s="109">
        <v>27.0</v>
      </c>
      <c r="B38" s="39" t="s">
        <v>521</v>
      </c>
      <c r="C38" s="151" t="s">
        <v>503</v>
      </c>
      <c r="E38" s="113" t="s">
        <v>503</v>
      </c>
      <c r="F38" s="123">
        <v>360.0</v>
      </c>
    </row>
    <row r="39" ht="14.25" customHeight="1">
      <c r="A39" s="109">
        <v>27.0</v>
      </c>
      <c r="B39" s="39" t="s">
        <v>524</v>
      </c>
      <c r="C39" s="151" t="s">
        <v>415</v>
      </c>
      <c r="E39" s="113" t="s">
        <v>526</v>
      </c>
      <c r="F39" s="123">
        <v>360.0</v>
      </c>
    </row>
    <row r="40" ht="14.25" customHeight="1">
      <c r="A40" s="99">
        <v>28.0</v>
      </c>
      <c r="B40" s="101" t="s">
        <v>530</v>
      </c>
      <c r="C40" s="149" t="s">
        <v>526</v>
      </c>
      <c r="E40" s="113" t="s">
        <v>532</v>
      </c>
      <c r="F40" s="123">
        <v>360.0</v>
      </c>
    </row>
    <row r="41" ht="14.25" customHeight="1">
      <c r="A41" s="109">
        <v>28.0</v>
      </c>
      <c r="B41" s="39" t="s">
        <v>533</v>
      </c>
      <c r="C41" s="151" t="s">
        <v>532</v>
      </c>
      <c r="E41" s="159" t="s">
        <v>535</v>
      </c>
      <c r="F41" s="160"/>
    </row>
    <row r="42" ht="14.25" customHeight="1">
      <c r="A42" s="109">
        <v>28.0</v>
      </c>
      <c r="B42" s="39" t="s">
        <v>540</v>
      </c>
      <c r="C42" s="151" t="s">
        <v>415</v>
      </c>
      <c r="E42" s="113" t="s">
        <v>542</v>
      </c>
      <c r="F42" s="113">
        <v>360.0</v>
      </c>
    </row>
    <row r="43" ht="14.25" customHeight="1">
      <c r="A43" s="99">
        <v>29.0</v>
      </c>
      <c r="B43" s="101" t="s">
        <v>544</v>
      </c>
      <c r="C43" s="149" t="s">
        <v>542</v>
      </c>
      <c r="E43" s="113" t="s">
        <v>547</v>
      </c>
      <c r="F43" s="113">
        <v>360.0</v>
      </c>
    </row>
    <row r="44" ht="14.25" customHeight="1">
      <c r="A44" s="109">
        <v>29.0</v>
      </c>
      <c r="B44" s="39" t="s">
        <v>549</v>
      </c>
      <c r="C44" s="151" t="s">
        <v>547</v>
      </c>
      <c r="E44" s="113" t="s">
        <v>552</v>
      </c>
      <c r="F44" s="113">
        <v>90.0</v>
      </c>
    </row>
    <row r="45" ht="14.25" customHeight="1">
      <c r="A45" s="118">
        <v>29.0</v>
      </c>
      <c r="B45" s="119" t="s">
        <v>555</v>
      </c>
      <c r="C45" s="151" t="s">
        <v>415</v>
      </c>
      <c r="E45" s="123" t="s">
        <v>557</v>
      </c>
      <c r="F45" s="113">
        <v>30.0</v>
      </c>
    </row>
    <row r="46" ht="14.25" customHeight="1">
      <c r="A46" s="161" t="s">
        <v>559</v>
      </c>
      <c r="C46" s="162"/>
      <c r="E46" s="113" t="s">
        <v>562</v>
      </c>
      <c r="F46" s="113">
        <v>30.0</v>
      </c>
    </row>
    <row r="47" ht="14.25" customHeight="1">
      <c r="A47" s="99">
        <v>30.0</v>
      </c>
      <c r="B47" s="101" t="s">
        <v>563</v>
      </c>
      <c r="C47" s="151" t="s">
        <v>552</v>
      </c>
      <c r="E47" s="113" t="s">
        <v>566</v>
      </c>
      <c r="F47" s="123">
        <v>30.0</v>
      </c>
    </row>
    <row r="48" ht="14.25" customHeight="1">
      <c r="A48" s="109">
        <v>30.0</v>
      </c>
      <c r="B48" s="165" t="s">
        <v>569</v>
      </c>
      <c r="C48" s="167" t="s">
        <v>557</v>
      </c>
      <c r="E48" s="113" t="s">
        <v>572</v>
      </c>
      <c r="F48" s="123">
        <v>60.0</v>
      </c>
    </row>
    <row r="49" ht="14.25" customHeight="1">
      <c r="A49" s="109">
        <v>30.0</v>
      </c>
      <c r="B49" s="39" t="s">
        <v>575</v>
      </c>
      <c r="C49" s="151" t="s">
        <v>562</v>
      </c>
      <c r="F49" s="169"/>
    </row>
    <row r="50" ht="14.25" customHeight="1">
      <c r="A50" s="109">
        <v>30.0</v>
      </c>
      <c r="B50" s="39" t="s">
        <v>580</v>
      </c>
      <c r="C50" s="151" t="s">
        <v>566</v>
      </c>
      <c r="F50" s="169"/>
    </row>
    <row r="51" ht="14.25" customHeight="1">
      <c r="A51" s="118">
        <v>30.0</v>
      </c>
      <c r="B51" s="119" t="s">
        <v>581</v>
      </c>
      <c r="C51" s="144" t="s">
        <v>572</v>
      </c>
      <c r="F51" s="169"/>
    </row>
    <row r="52" ht="14.25" customHeight="1">
      <c r="A52" s="173"/>
      <c r="B52" s="173"/>
      <c r="C52" s="146"/>
      <c r="F52" s="169"/>
    </row>
    <row r="53" ht="14.25" customHeight="1">
      <c r="A53" s="173"/>
      <c r="B53" s="173"/>
      <c r="C53" s="146"/>
      <c r="F53" s="169"/>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2.25"/>
    <col customWidth="1" min="3" max="3" width="4.25"/>
    <col customWidth="1" min="4" max="4" width="9.25"/>
    <col customWidth="1" min="5" max="5" width="32.38"/>
    <col customWidth="1" min="6" max="6" width="13.63"/>
    <col customWidth="1" min="7" max="7" width="20.88"/>
    <col customWidth="1" min="8" max="8" width="13.75"/>
    <col customWidth="1" min="9" max="9" width="10.63"/>
    <col customWidth="1" min="10" max="10" width="8.63"/>
  </cols>
  <sheetData>
    <row r="1">
      <c r="A1" s="120" t="s">
        <v>414</v>
      </c>
      <c r="B1" s="122" t="s">
        <v>419</v>
      </c>
      <c r="C1" s="122" t="s">
        <v>423</v>
      </c>
      <c r="D1" s="122" t="s">
        <v>425</v>
      </c>
      <c r="E1" s="125" t="s">
        <v>428</v>
      </c>
      <c r="F1" s="126"/>
      <c r="G1" s="128" t="s">
        <v>414</v>
      </c>
      <c r="H1" s="122" t="s">
        <v>437</v>
      </c>
      <c r="I1" s="125" t="s">
        <v>443</v>
      </c>
      <c r="J1" s="132"/>
    </row>
    <row r="2">
      <c r="A2" s="133" t="s">
        <v>451</v>
      </c>
      <c r="B2" s="136" t="s">
        <v>454</v>
      </c>
      <c r="C2" s="136">
        <v>2.0</v>
      </c>
      <c r="D2" s="141">
        <v>5.24</v>
      </c>
      <c r="E2" s="141" t="s">
        <v>464</v>
      </c>
      <c r="F2" s="142"/>
      <c r="G2" s="143" t="s">
        <v>451</v>
      </c>
      <c r="H2" s="136">
        <f>SUM(D2:D10)</f>
        <v>25.75</v>
      </c>
      <c r="I2" s="153">
        <f t="shared" ref="I2:I10" si="1">(H2/$D$27)*100</f>
        <v>21.85908319</v>
      </c>
      <c r="J2" s="154"/>
    </row>
    <row r="3">
      <c r="A3" s="133" t="s">
        <v>451</v>
      </c>
      <c r="B3" s="141" t="s">
        <v>494</v>
      </c>
      <c r="C3" s="141">
        <v>4.0</v>
      </c>
      <c r="D3" s="141">
        <v>10.36</v>
      </c>
      <c r="E3" s="141" t="s">
        <v>497</v>
      </c>
      <c r="F3" s="142"/>
      <c r="G3" s="143" t="s">
        <v>500</v>
      </c>
      <c r="H3" s="136">
        <f>SUM(D11:D14)</f>
        <v>18.86</v>
      </c>
      <c r="I3" s="153">
        <f t="shared" si="1"/>
        <v>16.01018676</v>
      </c>
      <c r="J3" s="154"/>
    </row>
    <row r="4">
      <c r="A4" s="133" t="s">
        <v>451</v>
      </c>
      <c r="B4" s="141" t="s">
        <v>510</v>
      </c>
      <c r="C4" s="141">
        <v>1.0</v>
      </c>
      <c r="D4" s="141">
        <v>1.88</v>
      </c>
      <c r="E4" s="158" t="s">
        <v>514</v>
      </c>
      <c r="F4" s="142"/>
      <c r="G4" s="143" t="s">
        <v>516</v>
      </c>
      <c r="H4" s="136">
        <f>SUM(D15:D18)</f>
        <v>54.74</v>
      </c>
      <c r="I4" s="153">
        <f t="shared" si="1"/>
        <v>46.46859083</v>
      </c>
      <c r="J4" s="154"/>
    </row>
    <row r="5">
      <c r="A5" s="133" t="s">
        <v>451</v>
      </c>
      <c r="B5" s="141" t="s">
        <v>522</v>
      </c>
      <c r="C5" s="141">
        <v>1.0</v>
      </c>
      <c r="D5" s="141">
        <v>1.42</v>
      </c>
      <c r="E5" s="141" t="s">
        <v>525</v>
      </c>
      <c r="F5" s="142"/>
      <c r="G5" s="143" t="s">
        <v>528</v>
      </c>
      <c r="H5" s="136">
        <f>SUM(D19:D21)</f>
        <v>5.71</v>
      </c>
      <c r="I5" s="153">
        <f t="shared" si="1"/>
        <v>4.847198642</v>
      </c>
      <c r="J5" s="154"/>
    </row>
    <row r="6">
      <c r="A6" s="133" t="s">
        <v>451</v>
      </c>
      <c r="B6" s="141" t="s">
        <v>537</v>
      </c>
      <c r="C6" s="141">
        <v>1.0</v>
      </c>
      <c r="D6" s="141">
        <v>0.73</v>
      </c>
      <c r="E6" s="141" t="s">
        <v>541</v>
      </c>
      <c r="F6" s="142"/>
      <c r="G6" s="143" t="s">
        <v>543</v>
      </c>
      <c r="H6" s="136">
        <f>SUM(D22:D23)</f>
        <v>4.06</v>
      </c>
      <c r="I6" s="153">
        <f t="shared" si="1"/>
        <v>3.446519525</v>
      </c>
      <c r="J6" s="154"/>
    </row>
    <row r="7">
      <c r="A7" s="133" t="s">
        <v>451</v>
      </c>
      <c r="B7" s="141" t="s">
        <v>553</v>
      </c>
      <c r="C7" s="141">
        <v>1.0</v>
      </c>
      <c r="D7" s="141">
        <v>2.14</v>
      </c>
      <c r="E7" s="141" t="s">
        <v>556</v>
      </c>
      <c r="F7" s="142"/>
      <c r="G7" s="143" t="s">
        <v>36</v>
      </c>
      <c r="H7" s="136">
        <f>D24</f>
        <v>5.5</v>
      </c>
      <c r="I7" s="153">
        <f t="shared" si="1"/>
        <v>4.66893039</v>
      </c>
      <c r="J7" s="154"/>
    </row>
    <row r="8">
      <c r="A8" s="133" t="s">
        <v>451</v>
      </c>
      <c r="B8" s="141" t="s">
        <v>564</v>
      </c>
      <c r="C8" s="141">
        <v>2.0</v>
      </c>
      <c r="D8" s="141">
        <v>2.08</v>
      </c>
      <c r="E8" s="141" t="s">
        <v>567</v>
      </c>
      <c r="F8" s="142"/>
      <c r="G8" s="143" t="s">
        <v>570</v>
      </c>
      <c r="H8" s="136">
        <f>D26</f>
        <v>3.18</v>
      </c>
      <c r="I8" s="153">
        <f t="shared" si="1"/>
        <v>2.699490662</v>
      </c>
      <c r="J8" s="154"/>
    </row>
    <row r="9">
      <c r="A9" s="133" t="s">
        <v>451</v>
      </c>
      <c r="B9" s="141" t="s">
        <v>576</v>
      </c>
      <c r="C9" s="141">
        <v>1.0</v>
      </c>
      <c r="D9" s="141">
        <v>1.56</v>
      </c>
      <c r="E9" s="141" t="s">
        <v>577</v>
      </c>
      <c r="F9" s="142"/>
      <c r="G9" s="143" t="s">
        <v>578</v>
      </c>
      <c r="H9" s="136">
        <f>D25</f>
        <v>0</v>
      </c>
      <c r="I9" s="153">
        <f t="shared" si="1"/>
        <v>0</v>
      </c>
      <c r="J9" s="154"/>
    </row>
    <row r="10">
      <c r="A10" s="133" t="s">
        <v>451</v>
      </c>
      <c r="B10" s="141" t="s">
        <v>582</v>
      </c>
      <c r="C10" s="141">
        <v>2.0</v>
      </c>
      <c r="D10" s="141">
        <v>0.34</v>
      </c>
      <c r="E10" s="141" t="s">
        <v>583</v>
      </c>
      <c r="F10" s="142"/>
      <c r="G10" s="176" t="s">
        <v>585</v>
      </c>
      <c r="H10" s="179">
        <f>SUM(H2:H9)</f>
        <v>117.8</v>
      </c>
      <c r="I10" s="180">
        <f t="shared" si="1"/>
        <v>100</v>
      </c>
      <c r="J10" s="154"/>
    </row>
    <row r="11">
      <c r="A11" s="133" t="s">
        <v>500</v>
      </c>
      <c r="B11" s="141" t="s">
        <v>592</v>
      </c>
      <c r="C11" s="141">
        <v>1.0</v>
      </c>
      <c r="D11" s="141">
        <v>1.44</v>
      </c>
      <c r="E11" s="141" t="s">
        <v>594</v>
      </c>
      <c r="F11" s="142"/>
      <c r="G11" s="182"/>
      <c r="H11" s="181"/>
      <c r="I11" s="184"/>
      <c r="J11" s="154"/>
    </row>
    <row r="12">
      <c r="A12" s="133" t="s">
        <v>500</v>
      </c>
      <c r="B12" s="141" t="s">
        <v>597</v>
      </c>
      <c r="C12" s="141">
        <v>2.0</v>
      </c>
      <c r="D12" s="141">
        <v>1.52</v>
      </c>
      <c r="E12" s="141" t="s">
        <v>599</v>
      </c>
      <c r="F12" s="142"/>
      <c r="G12" s="185" t="s">
        <v>601</v>
      </c>
      <c r="H12" s="186">
        <f>H10+H13</f>
        <v>147.25</v>
      </c>
      <c r="I12" s="187"/>
      <c r="J12" s="154"/>
    </row>
    <row r="13">
      <c r="A13" s="133" t="s">
        <v>500</v>
      </c>
      <c r="B13" s="141" t="s">
        <v>604</v>
      </c>
      <c r="C13" s="141">
        <v>1.0</v>
      </c>
      <c r="D13" s="141">
        <v>6.32</v>
      </c>
      <c r="E13" s="141" t="s">
        <v>608</v>
      </c>
      <c r="F13" s="142"/>
      <c r="G13" s="190" t="s">
        <v>611</v>
      </c>
      <c r="H13" s="192">
        <f>H10*0.25</f>
        <v>29.45</v>
      </c>
      <c r="I13" s="193"/>
      <c r="J13" s="154"/>
    </row>
    <row r="14">
      <c r="A14" s="133" t="s">
        <v>500</v>
      </c>
      <c r="B14" s="141" t="s">
        <v>630</v>
      </c>
      <c r="C14" s="141">
        <v>2.0</v>
      </c>
      <c r="D14" s="141">
        <v>9.58</v>
      </c>
      <c r="E14" s="141" t="s">
        <v>631</v>
      </c>
      <c r="F14" s="142"/>
      <c r="G14" s="196"/>
      <c r="H14" s="197"/>
      <c r="I14" s="198"/>
      <c r="J14" s="154"/>
    </row>
    <row r="15">
      <c r="A15" s="133" t="s">
        <v>516</v>
      </c>
      <c r="B15" s="141" t="s">
        <v>634</v>
      </c>
      <c r="C15" s="141">
        <v>1.0</v>
      </c>
      <c r="D15" s="141">
        <v>19.2</v>
      </c>
      <c r="E15" s="141" t="s">
        <v>638</v>
      </c>
      <c r="F15" s="142"/>
      <c r="G15" s="199"/>
      <c r="H15" s="200"/>
      <c r="I15" s="200"/>
      <c r="J15" s="154"/>
    </row>
    <row r="16">
      <c r="A16" s="133" t="s">
        <v>516</v>
      </c>
      <c r="B16" s="141" t="s">
        <v>639</v>
      </c>
      <c r="C16" s="141">
        <v>1.0</v>
      </c>
      <c r="D16" s="141">
        <v>4.68</v>
      </c>
      <c r="E16" s="158" t="s">
        <v>641</v>
      </c>
      <c r="F16" s="142"/>
      <c r="G16" s="142"/>
      <c r="H16" s="142"/>
      <c r="I16" s="142"/>
      <c r="J16" s="154"/>
    </row>
    <row r="17">
      <c r="A17" s="133" t="s">
        <v>516</v>
      </c>
      <c r="B17" s="141" t="s">
        <v>645</v>
      </c>
      <c r="C17" s="141">
        <v>1.0</v>
      </c>
      <c r="D17" s="141">
        <v>28.0</v>
      </c>
      <c r="E17" s="158" t="s">
        <v>647</v>
      </c>
      <c r="F17" s="142"/>
      <c r="G17" s="142"/>
      <c r="H17" s="142"/>
      <c r="I17" s="142"/>
      <c r="J17" s="154"/>
    </row>
    <row r="18">
      <c r="A18" s="133" t="s">
        <v>516</v>
      </c>
      <c r="B18" s="141" t="s">
        <v>648</v>
      </c>
      <c r="C18" s="141">
        <v>1.0</v>
      </c>
      <c r="D18" s="141">
        <v>2.86</v>
      </c>
      <c r="E18" s="158" t="s">
        <v>650</v>
      </c>
      <c r="F18" s="142"/>
      <c r="G18" s="142"/>
      <c r="H18" s="142"/>
      <c r="I18" s="142"/>
      <c r="J18" s="154"/>
    </row>
    <row r="19">
      <c r="A19" s="133" t="s">
        <v>528</v>
      </c>
      <c r="B19" s="202" t="s">
        <v>651</v>
      </c>
      <c r="C19" s="141">
        <v>2.0</v>
      </c>
      <c r="D19" s="141">
        <v>1.83</v>
      </c>
      <c r="E19" s="141" t="s">
        <v>656</v>
      </c>
      <c r="F19" s="142"/>
      <c r="G19" s="142"/>
      <c r="H19" s="142"/>
      <c r="I19" s="142"/>
      <c r="J19" s="154"/>
    </row>
    <row r="20">
      <c r="A20" s="133" t="s">
        <v>528</v>
      </c>
      <c r="B20" s="141" t="s">
        <v>659</v>
      </c>
      <c r="C20" s="141">
        <v>1.0</v>
      </c>
      <c r="D20" s="141">
        <v>3.02</v>
      </c>
      <c r="E20" s="141" t="s">
        <v>662</v>
      </c>
      <c r="F20" s="203"/>
      <c r="G20" s="203"/>
      <c r="H20" s="203"/>
      <c r="I20" s="203"/>
    </row>
    <row r="21">
      <c r="A21" s="133" t="s">
        <v>528</v>
      </c>
      <c r="B21" s="141" t="s">
        <v>666</v>
      </c>
      <c r="C21" s="141">
        <v>1.0</v>
      </c>
      <c r="D21" s="141">
        <v>0.86</v>
      </c>
      <c r="E21" s="141" t="s">
        <v>668</v>
      </c>
      <c r="F21" s="203"/>
      <c r="G21" s="203"/>
      <c r="H21" s="203"/>
      <c r="I21" s="203"/>
    </row>
    <row r="22" ht="15.75" customHeight="1">
      <c r="A22" s="133" t="s">
        <v>672</v>
      </c>
      <c r="B22" s="141" t="s">
        <v>673</v>
      </c>
      <c r="C22" s="141">
        <v>1.0</v>
      </c>
      <c r="D22" s="141">
        <v>2.54</v>
      </c>
      <c r="E22" s="141" t="s">
        <v>675</v>
      </c>
      <c r="F22" s="203"/>
      <c r="G22" s="203"/>
      <c r="H22" s="203"/>
      <c r="I22" s="203"/>
    </row>
    <row r="23" ht="15.75" customHeight="1">
      <c r="A23" s="133" t="s">
        <v>672</v>
      </c>
      <c r="B23" s="141" t="s">
        <v>678</v>
      </c>
      <c r="C23" s="141">
        <v>1.0</v>
      </c>
      <c r="D23" s="141">
        <v>1.52</v>
      </c>
      <c r="E23" s="202" t="s">
        <v>682</v>
      </c>
      <c r="F23" s="203"/>
      <c r="G23" s="203"/>
      <c r="H23" s="203"/>
      <c r="I23" s="203"/>
    </row>
    <row r="24" ht="15.75" customHeight="1">
      <c r="A24" s="133" t="s">
        <v>36</v>
      </c>
      <c r="B24" s="141" t="s">
        <v>684</v>
      </c>
      <c r="C24" s="141">
        <v>1.0</v>
      </c>
      <c r="D24" s="141">
        <v>5.5</v>
      </c>
      <c r="E24" s="141" t="s">
        <v>686</v>
      </c>
      <c r="F24" s="203"/>
      <c r="G24" s="203"/>
      <c r="H24" s="203"/>
      <c r="I24" s="203"/>
    </row>
    <row r="25" ht="15.75" customHeight="1">
      <c r="A25" s="133" t="s">
        <v>578</v>
      </c>
      <c r="B25" s="141" t="s">
        <v>690</v>
      </c>
      <c r="C25" s="207">
        <v>0.0</v>
      </c>
      <c r="D25" s="141">
        <v>0.0</v>
      </c>
      <c r="E25" s="202" t="s">
        <v>691</v>
      </c>
      <c r="F25" s="203"/>
      <c r="G25" s="203"/>
      <c r="H25" s="203"/>
      <c r="I25" s="203"/>
    </row>
    <row r="26" ht="15.75" customHeight="1">
      <c r="A26" s="143" t="s">
        <v>570</v>
      </c>
      <c r="B26" s="141" t="s">
        <v>695</v>
      </c>
      <c r="C26" s="207">
        <v>1.0</v>
      </c>
      <c r="D26" s="141">
        <v>3.18</v>
      </c>
      <c r="E26" s="141" t="s">
        <v>700</v>
      </c>
      <c r="F26" s="203"/>
      <c r="G26" s="203"/>
      <c r="H26" s="203"/>
      <c r="I26" s="203"/>
    </row>
    <row r="27" ht="30.0" customHeight="1">
      <c r="A27" s="210"/>
      <c r="B27" s="211"/>
      <c r="C27" s="212"/>
      <c r="D27" s="214">
        <f>SUM(D2:D26)</f>
        <v>117.8</v>
      </c>
      <c r="E27" s="215"/>
      <c r="F27" s="203"/>
      <c r="G27" s="203"/>
      <c r="H27" s="203"/>
      <c r="I27" s="203"/>
    </row>
    <row r="28" ht="15.75" customHeight="1">
      <c r="A28" s="154"/>
      <c r="B28" s="154"/>
      <c r="C28" s="154"/>
      <c r="D28" s="154"/>
      <c r="E28" s="154"/>
      <c r="F28" s="217"/>
      <c r="G28" s="217"/>
      <c r="H28" s="217"/>
      <c r="I28" s="217"/>
    </row>
  </sheetData>
  <mergeCells count="4">
    <mergeCell ref="H12:I12"/>
    <mergeCell ref="H13:I13"/>
    <mergeCell ref="A27:C27"/>
    <mergeCell ref="D27:E27"/>
  </mergeCells>
  <printOptions/>
  <pageMargins bottom="0.75" footer="0.0" header="0.0" left="0.7" right="0.7" top="0.75"/>
  <pageSetup paperSize="8"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13"/>
    <col customWidth="1" min="3" max="3" width="43.5"/>
    <col customWidth="1" min="4" max="4" width="31.25"/>
    <col customWidth="1" min="5" max="5" width="13.5"/>
    <col customWidth="1" min="6" max="6" width="35.38"/>
    <col customWidth="1" min="7" max="7" width="24.38"/>
    <col customWidth="1" min="8" max="8" width="44.5"/>
    <col customWidth="1" min="9" max="9" width="12.88"/>
    <col customWidth="1" min="10" max="10" width="9.75"/>
  </cols>
  <sheetData>
    <row r="1">
      <c r="A1" s="181"/>
      <c r="B1" s="183" t="s">
        <v>595</v>
      </c>
      <c r="J1" s="181"/>
    </row>
    <row r="2">
      <c r="A2" s="181"/>
      <c r="J2" s="181"/>
    </row>
    <row r="3">
      <c r="A3" s="181"/>
      <c r="J3" s="181"/>
    </row>
    <row r="4">
      <c r="A4" s="181"/>
      <c r="J4" s="181"/>
    </row>
    <row r="5">
      <c r="A5" s="181"/>
      <c r="J5" s="181"/>
    </row>
    <row r="6">
      <c r="A6" s="181"/>
      <c r="J6" s="181"/>
    </row>
    <row r="7">
      <c r="A7" s="181"/>
      <c r="J7" s="181"/>
    </row>
    <row r="8">
      <c r="A8" s="181"/>
      <c r="J8" s="181"/>
    </row>
    <row r="9">
      <c r="A9" s="181"/>
      <c r="B9" s="181"/>
      <c r="C9" s="181"/>
      <c r="D9" s="181"/>
      <c r="E9" s="181"/>
      <c r="F9" s="181"/>
      <c r="G9" s="181"/>
      <c r="H9" s="181"/>
      <c r="I9" s="181"/>
      <c r="J9" s="181"/>
    </row>
    <row r="10">
      <c r="A10" s="181"/>
      <c r="B10" s="181"/>
      <c r="C10" s="181"/>
      <c r="D10" s="181"/>
      <c r="E10" s="181"/>
      <c r="F10" s="181"/>
      <c r="G10" s="181"/>
      <c r="H10" s="181"/>
      <c r="I10" s="181"/>
      <c r="J10" s="181"/>
    </row>
    <row r="11">
      <c r="A11" s="181"/>
      <c r="B11" s="188" t="s">
        <v>606</v>
      </c>
      <c r="C11" s="189" t="s">
        <v>610</v>
      </c>
      <c r="D11" s="189" t="s">
        <v>613</v>
      </c>
      <c r="E11" s="189" t="s">
        <v>614</v>
      </c>
      <c r="F11" s="189" t="s">
        <v>615</v>
      </c>
      <c r="G11" s="191" t="s">
        <v>616</v>
      </c>
      <c r="H11" s="189" t="s">
        <v>621</v>
      </c>
      <c r="I11" s="188" t="s">
        <v>622</v>
      </c>
      <c r="J11" s="188" t="s">
        <v>623</v>
      </c>
    </row>
    <row r="12">
      <c r="A12" s="181"/>
      <c r="B12" s="189" t="s">
        <v>626</v>
      </c>
      <c r="C12" s="194"/>
      <c r="D12" s="195">
        <v>0.75</v>
      </c>
      <c r="E12" s="195">
        <v>0.75</v>
      </c>
      <c r="F12" s="195">
        <v>0.5</v>
      </c>
      <c r="G12" s="195">
        <v>0.5</v>
      </c>
      <c r="H12" s="195">
        <v>2.5</v>
      </c>
      <c r="I12" s="195">
        <v>0.25</v>
      </c>
      <c r="J12" s="201">
        <f t="shared" ref="J12:J17" si="1">I12/$I$18</f>
        <v>0.0744047619</v>
      </c>
    </row>
    <row r="13">
      <c r="A13" s="181"/>
      <c r="B13" s="189" t="s">
        <v>613</v>
      </c>
      <c r="C13" s="195">
        <v>0.25</v>
      </c>
      <c r="D13" s="194"/>
      <c r="E13" s="195">
        <v>0.5</v>
      </c>
      <c r="F13" s="195">
        <v>0.5</v>
      </c>
      <c r="G13" s="195">
        <v>0.5</v>
      </c>
      <c r="H13" s="195">
        <v>1.75</v>
      </c>
      <c r="I13" s="195">
        <v>0.18</v>
      </c>
      <c r="J13" s="201">
        <f t="shared" si="1"/>
        <v>0.05357142857</v>
      </c>
    </row>
    <row r="14">
      <c r="A14" s="181"/>
      <c r="B14" s="189" t="s">
        <v>655</v>
      </c>
      <c r="C14" s="195">
        <v>0.25</v>
      </c>
      <c r="D14" s="195">
        <v>0.5</v>
      </c>
      <c r="E14" s="194"/>
      <c r="F14" s="195">
        <v>0.5</v>
      </c>
      <c r="G14" s="195">
        <v>0.5</v>
      </c>
      <c r="H14" s="195">
        <v>1.75</v>
      </c>
      <c r="I14" s="195">
        <v>0.18</v>
      </c>
      <c r="J14" s="201">
        <f t="shared" si="1"/>
        <v>0.05357142857</v>
      </c>
    </row>
    <row r="15">
      <c r="A15" s="181"/>
      <c r="B15" s="189" t="s">
        <v>661</v>
      </c>
      <c r="C15" s="195">
        <v>0.5</v>
      </c>
      <c r="D15" s="195">
        <v>0.5</v>
      </c>
      <c r="E15" s="195">
        <v>0.5</v>
      </c>
      <c r="F15" s="194"/>
      <c r="G15" s="195">
        <v>0.5</v>
      </c>
      <c r="H15" s="195">
        <v>2.5</v>
      </c>
      <c r="I15" s="195">
        <v>0.25</v>
      </c>
      <c r="J15" s="201">
        <f t="shared" si="1"/>
        <v>0.0744047619</v>
      </c>
    </row>
    <row r="16">
      <c r="A16" s="181"/>
      <c r="B16" s="189" t="s">
        <v>674</v>
      </c>
      <c r="C16" s="195">
        <v>0.5</v>
      </c>
      <c r="D16" s="195">
        <v>0.5</v>
      </c>
      <c r="E16" s="195">
        <v>0.5</v>
      </c>
      <c r="F16" s="195">
        <v>0.5</v>
      </c>
      <c r="G16" s="204"/>
      <c r="H16" s="205">
        <v>0.5</v>
      </c>
      <c r="I16" s="195">
        <v>2.5</v>
      </c>
      <c r="J16" s="201">
        <f t="shared" si="1"/>
        <v>0.744047619</v>
      </c>
    </row>
    <row r="17">
      <c r="A17" s="181"/>
      <c r="B17" s="189" t="s">
        <v>621</v>
      </c>
      <c r="C17" s="195">
        <v>0.5</v>
      </c>
      <c r="D17" s="195">
        <v>0.5</v>
      </c>
      <c r="E17" s="195">
        <v>0.5</v>
      </c>
      <c r="F17" s="195">
        <v>0.5</v>
      </c>
      <c r="G17" s="202">
        <v>0.5</v>
      </c>
      <c r="H17" s="194"/>
      <c r="I17" s="195">
        <v>2.5</v>
      </c>
      <c r="J17" s="201">
        <f t="shared" si="1"/>
        <v>0.744047619</v>
      </c>
    </row>
    <row r="18">
      <c r="A18" s="181"/>
      <c r="B18" s="208"/>
      <c r="C18" s="208"/>
      <c r="D18" s="208"/>
      <c r="E18" s="208"/>
      <c r="F18" s="208"/>
      <c r="G18" s="208"/>
      <c r="H18" s="209" t="s">
        <v>697</v>
      </c>
      <c r="I18" s="213">
        <f>SUM(I12:I16)</f>
        <v>3.36</v>
      </c>
      <c r="J18" s="208"/>
    </row>
    <row r="19">
      <c r="A19" s="181"/>
      <c r="B19" s="181"/>
      <c r="C19" s="181"/>
      <c r="D19" s="181"/>
      <c r="E19" s="181"/>
      <c r="F19" s="181"/>
      <c r="G19" s="181"/>
      <c r="H19" s="181"/>
      <c r="I19" s="181"/>
      <c r="J19" s="181"/>
    </row>
    <row r="20">
      <c r="A20" s="181"/>
      <c r="B20" s="181"/>
      <c r="C20" s="181"/>
      <c r="D20" s="181"/>
      <c r="E20" s="181"/>
      <c r="F20" s="181"/>
      <c r="G20" s="181"/>
      <c r="H20" s="181"/>
      <c r="I20" s="181"/>
      <c r="J20" s="181"/>
    </row>
    <row r="21">
      <c r="A21" s="181"/>
      <c r="B21" s="216"/>
      <c r="C21" s="218" t="s">
        <v>710</v>
      </c>
      <c r="D21" s="219" t="s">
        <v>655</v>
      </c>
      <c r="E21" s="220" t="s">
        <v>615</v>
      </c>
      <c r="F21" s="221" t="s">
        <v>613</v>
      </c>
      <c r="G21" s="222" t="s">
        <v>616</v>
      </c>
      <c r="H21" s="223" t="s">
        <v>621</v>
      </c>
      <c r="I21" s="181"/>
      <c r="J21" s="181"/>
    </row>
    <row r="22">
      <c r="A22" s="181"/>
      <c r="B22" s="224">
        <v>1.0</v>
      </c>
      <c r="C22" s="225" t="s">
        <v>719</v>
      </c>
      <c r="D22" s="226" t="s">
        <v>721</v>
      </c>
      <c r="E22" s="227" t="s">
        <v>725</v>
      </c>
      <c r="F22" s="227" t="s">
        <v>726</v>
      </c>
      <c r="G22" s="195" t="s">
        <v>727</v>
      </c>
      <c r="H22" s="202" t="s">
        <v>728</v>
      </c>
      <c r="I22" s="181"/>
      <c r="J22" s="181"/>
    </row>
    <row r="23">
      <c r="A23" s="181"/>
      <c r="B23" s="224">
        <v>2.0</v>
      </c>
      <c r="C23" s="225" t="s">
        <v>730</v>
      </c>
      <c r="D23" s="226" t="s">
        <v>732</v>
      </c>
      <c r="E23" s="227" t="s">
        <v>734</v>
      </c>
      <c r="F23" s="227" t="s">
        <v>736</v>
      </c>
      <c r="G23" s="195" t="s">
        <v>740</v>
      </c>
      <c r="H23" s="202" t="s">
        <v>742</v>
      </c>
      <c r="I23" s="181"/>
      <c r="J23" s="181"/>
    </row>
    <row r="24">
      <c r="A24" s="181"/>
      <c r="B24" s="224">
        <v>3.0</v>
      </c>
      <c r="C24" s="225" t="s">
        <v>746</v>
      </c>
      <c r="D24" s="226" t="s">
        <v>747</v>
      </c>
      <c r="E24" s="227" t="s">
        <v>749</v>
      </c>
      <c r="F24" s="227" t="s">
        <v>750</v>
      </c>
      <c r="G24" s="195" t="s">
        <v>753</v>
      </c>
      <c r="H24" s="202" t="s">
        <v>755</v>
      </c>
      <c r="I24" s="181"/>
      <c r="J24" s="181"/>
    </row>
    <row r="25">
      <c r="A25" s="181"/>
      <c r="B25" s="224">
        <v>4.0</v>
      </c>
      <c r="C25" s="226" t="s">
        <v>758</v>
      </c>
      <c r="D25" s="226" t="s">
        <v>760</v>
      </c>
      <c r="E25" s="227" t="s">
        <v>762</v>
      </c>
      <c r="F25" s="227" t="s">
        <v>764</v>
      </c>
      <c r="G25" s="195" t="s">
        <v>765</v>
      </c>
      <c r="H25" s="202" t="s">
        <v>766</v>
      </c>
      <c r="I25" s="181"/>
      <c r="J25" s="181"/>
    </row>
    <row r="26">
      <c r="A26" s="181"/>
      <c r="B26" s="224">
        <v>5.0</v>
      </c>
      <c r="C26" s="225" t="s">
        <v>768</v>
      </c>
      <c r="D26" s="226" t="s">
        <v>769</v>
      </c>
      <c r="E26" s="227" t="s">
        <v>771</v>
      </c>
      <c r="F26" s="227" t="s">
        <v>772</v>
      </c>
      <c r="G26" s="195" t="s">
        <v>774</v>
      </c>
      <c r="H26" s="202" t="s">
        <v>776</v>
      </c>
      <c r="I26" s="181"/>
      <c r="J26" s="181"/>
    </row>
    <row r="27">
      <c r="A27" s="181"/>
      <c r="B27" s="181"/>
      <c r="C27" s="181"/>
      <c r="D27" s="181"/>
      <c r="E27" s="181"/>
      <c r="F27" s="181"/>
      <c r="G27" s="181"/>
      <c r="H27" s="181"/>
      <c r="I27" s="181"/>
      <c r="J27" s="181"/>
    </row>
    <row r="28">
      <c r="A28" s="181"/>
      <c r="B28" s="181"/>
      <c r="C28" s="181"/>
      <c r="D28" s="181"/>
      <c r="E28" s="181"/>
      <c r="F28" s="181"/>
      <c r="G28" s="181"/>
      <c r="H28" s="181"/>
      <c r="I28" s="181"/>
      <c r="J28" s="181"/>
    </row>
    <row r="29">
      <c r="A29" s="181"/>
      <c r="B29" s="238" t="s">
        <v>777</v>
      </c>
      <c r="C29" s="242"/>
      <c r="D29" s="244" t="s">
        <v>778</v>
      </c>
      <c r="E29" s="245"/>
      <c r="F29" s="245"/>
      <c r="G29" s="245"/>
      <c r="H29" s="245"/>
      <c r="I29" s="97"/>
      <c r="J29" s="181"/>
    </row>
    <row r="30">
      <c r="A30" s="181"/>
      <c r="B30" s="247"/>
      <c r="C30" s="248"/>
      <c r="D30" s="249" t="s">
        <v>779</v>
      </c>
      <c r="E30" s="97"/>
      <c r="F30" s="251" t="s">
        <v>780</v>
      </c>
      <c r="G30" s="97"/>
      <c r="H30" s="251" t="s">
        <v>781</v>
      </c>
      <c r="I30" s="97"/>
      <c r="J30" s="181"/>
    </row>
    <row r="31">
      <c r="A31" s="181"/>
      <c r="B31" s="252" t="s">
        <v>606</v>
      </c>
      <c r="C31" s="252" t="s">
        <v>622</v>
      </c>
      <c r="D31" s="252" t="s">
        <v>782</v>
      </c>
      <c r="E31" s="252" t="s">
        <v>783</v>
      </c>
      <c r="F31" s="252" t="s">
        <v>782</v>
      </c>
      <c r="G31" s="252" t="s">
        <v>783</v>
      </c>
      <c r="H31" s="252" t="s">
        <v>782</v>
      </c>
      <c r="I31" s="252" t="s">
        <v>783</v>
      </c>
      <c r="J31" s="181"/>
    </row>
    <row r="32">
      <c r="A32" s="181"/>
      <c r="B32" s="254" t="s">
        <v>784</v>
      </c>
      <c r="C32" s="255">
        <v>0.25</v>
      </c>
      <c r="D32" s="226">
        <v>5.0</v>
      </c>
      <c r="E32" s="255">
        <f t="shared" ref="E32:E37" si="2">C32*D32</f>
        <v>1.25</v>
      </c>
      <c r="F32" s="226">
        <v>5.0</v>
      </c>
      <c r="G32" s="255">
        <f t="shared" ref="G32:G37" si="3">C32*F32</f>
        <v>1.25</v>
      </c>
      <c r="H32" s="226">
        <v>4.0</v>
      </c>
      <c r="I32" s="257">
        <f t="shared" ref="I32:I37" si="4">C32*H32</f>
        <v>1</v>
      </c>
      <c r="J32" s="181"/>
    </row>
    <row r="33">
      <c r="A33" s="181"/>
      <c r="B33" s="254" t="s">
        <v>785</v>
      </c>
      <c r="C33" s="255">
        <v>0.2</v>
      </c>
      <c r="D33" s="226">
        <v>4.0</v>
      </c>
      <c r="E33" s="255">
        <f t="shared" si="2"/>
        <v>0.8</v>
      </c>
      <c r="F33" s="226">
        <v>3.0</v>
      </c>
      <c r="G33" s="255">
        <f t="shared" si="3"/>
        <v>0.6</v>
      </c>
      <c r="H33" s="226">
        <v>3.0</v>
      </c>
      <c r="I33" s="257">
        <f t="shared" si="4"/>
        <v>0.6</v>
      </c>
      <c r="J33" s="181"/>
    </row>
    <row r="34">
      <c r="A34" s="181"/>
      <c r="B34" s="254" t="s">
        <v>789</v>
      </c>
      <c r="C34" s="255">
        <v>0.25</v>
      </c>
      <c r="D34" s="226">
        <v>5.0</v>
      </c>
      <c r="E34" s="255">
        <f t="shared" si="2"/>
        <v>1.25</v>
      </c>
      <c r="F34" s="226">
        <v>5.0</v>
      </c>
      <c r="G34" s="255">
        <f t="shared" si="3"/>
        <v>1.25</v>
      </c>
      <c r="H34" s="226">
        <v>4.0</v>
      </c>
      <c r="I34" s="257">
        <f t="shared" si="4"/>
        <v>1</v>
      </c>
      <c r="J34" s="181"/>
    </row>
    <row r="35">
      <c r="A35" s="181"/>
      <c r="B35" s="254" t="s">
        <v>793</v>
      </c>
      <c r="C35" s="255">
        <v>0.18</v>
      </c>
      <c r="D35" s="226">
        <v>3.0</v>
      </c>
      <c r="E35" s="255">
        <f t="shared" si="2"/>
        <v>0.54</v>
      </c>
      <c r="F35" s="226">
        <v>2.0</v>
      </c>
      <c r="G35" s="255">
        <f t="shared" si="3"/>
        <v>0.36</v>
      </c>
      <c r="H35" s="226">
        <v>4.0</v>
      </c>
      <c r="I35" s="257">
        <f t="shared" si="4"/>
        <v>0.72</v>
      </c>
      <c r="J35" s="181"/>
    </row>
    <row r="36">
      <c r="A36" s="181"/>
      <c r="B36" s="272" t="str">
        <f>B16</f>
        <v>Manufacturing &amp; TRL</v>
      </c>
      <c r="C36" s="255">
        <v>0.25</v>
      </c>
      <c r="D36" s="226">
        <v>5.0</v>
      </c>
      <c r="E36" s="255">
        <f t="shared" si="2"/>
        <v>1.25</v>
      </c>
      <c r="F36" s="226">
        <v>3.0</v>
      </c>
      <c r="G36" s="255">
        <f t="shared" si="3"/>
        <v>0.75</v>
      </c>
      <c r="H36" s="226">
        <v>2.0</v>
      </c>
      <c r="I36" s="257">
        <f t="shared" si="4"/>
        <v>0.5</v>
      </c>
      <c r="J36" s="181"/>
    </row>
    <row r="37">
      <c r="A37" s="181"/>
      <c r="B37" s="254" t="s">
        <v>796</v>
      </c>
      <c r="C37" s="255">
        <v>0.05</v>
      </c>
      <c r="D37" s="226">
        <v>4.0</v>
      </c>
      <c r="E37" s="255">
        <f t="shared" si="2"/>
        <v>0.2</v>
      </c>
      <c r="F37" s="226">
        <v>5.0</v>
      </c>
      <c r="G37" s="255">
        <f t="shared" si="3"/>
        <v>0.25</v>
      </c>
      <c r="H37" s="226">
        <v>3.0</v>
      </c>
      <c r="I37" s="257">
        <f t="shared" si="4"/>
        <v>0.15</v>
      </c>
      <c r="J37" s="181"/>
    </row>
    <row r="38">
      <c r="A38" s="181"/>
      <c r="B38" s="285" t="s">
        <v>798</v>
      </c>
      <c r="C38" s="97"/>
      <c r="D38" s="290">
        <f>SUM(E32:E37)</f>
        <v>5.29</v>
      </c>
      <c r="E38" s="97"/>
      <c r="F38" s="290">
        <f>SUM(G32:G37)</f>
        <v>4.46</v>
      </c>
      <c r="G38" s="97"/>
      <c r="H38" s="290">
        <f>SUM(I32:I37)</f>
        <v>3.97</v>
      </c>
      <c r="I38" s="97"/>
      <c r="J38" s="181"/>
    </row>
    <row r="39">
      <c r="A39" s="181"/>
      <c r="B39" s="181"/>
      <c r="C39" s="181"/>
      <c r="D39" s="181"/>
      <c r="E39" s="181"/>
      <c r="F39" s="181"/>
      <c r="G39" s="181"/>
      <c r="H39" s="181"/>
      <c r="I39" s="181"/>
      <c r="J39" s="181"/>
    </row>
  </sheetData>
  <mergeCells count="10">
    <mergeCell ref="D38:E38"/>
    <mergeCell ref="F38:G38"/>
    <mergeCell ref="B1:I8"/>
    <mergeCell ref="B29:C30"/>
    <mergeCell ref="D29:I29"/>
    <mergeCell ref="D30:E30"/>
    <mergeCell ref="F30:G30"/>
    <mergeCell ref="H30:I30"/>
    <mergeCell ref="B38:C38"/>
    <mergeCell ref="H38:I38"/>
  </mergeCells>
  <printOptions/>
  <pageMargins bottom="0.75" footer="0.0" header="0.0" left="0.25" right="0.25" top="0.75"/>
  <pageSetup orientation="landscape" paperHeight="11in" paperWidth="26i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0"/>
    <col customWidth="1" min="3" max="3" width="7.5"/>
    <col customWidth="1" min="4" max="4" width="44.63"/>
    <col customWidth="1" min="5" max="5" width="15.75"/>
    <col customWidth="1" min="6" max="6" width="36.38"/>
    <col customWidth="1" min="7" max="7" width="13.63"/>
    <col customWidth="1" min="8" max="8" width="22.63"/>
    <col customWidth="1" min="9" max="9" width="13.63"/>
    <col customWidth="1" min="10" max="10" width="8.63"/>
    <col customWidth="1" min="11" max="11" width="7.25"/>
  </cols>
  <sheetData>
    <row r="1" ht="12.75" customHeight="1">
      <c r="B1" s="67" t="s">
        <v>595</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228" t="s">
        <v>606</v>
      </c>
      <c r="C11" s="229" t="s">
        <v>738</v>
      </c>
      <c r="D11" s="230" t="s">
        <v>745</v>
      </c>
      <c r="E11" s="229" t="s">
        <v>748</v>
      </c>
      <c r="F11" s="230" t="s">
        <v>752</v>
      </c>
      <c r="G11" s="231" t="s">
        <v>756</v>
      </c>
      <c r="H11" s="232" t="s">
        <v>622</v>
      </c>
      <c r="I11" s="233" t="s">
        <v>623</v>
      </c>
      <c r="J11" s="234"/>
    </row>
    <row r="12" ht="12.75" customHeight="1">
      <c r="B12" s="229" t="str">
        <f>C11</f>
        <v>Mass</v>
      </c>
      <c r="C12" s="236"/>
      <c r="D12" s="239">
        <v>0.25</v>
      </c>
      <c r="E12" s="241">
        <v>0.5</v>
      </c>
      <c r="F12" s="241">
        <v>0.25</v>
      </c>
      <c r="G12" s="243">
        <v>0.25</v>
      </c>
      <c r="H12" s="246">
        <f>SUM(D12:G12)</f>
        <v>1.25</v>
      </c>
      <c r="I12" s="250">
        <f t="shared" ref="I12:I16" si="1">H12/$H$17</f>
        <v>0.125</v>
      </c>
      <c r="J12" s="234"/>
    </row>
    <row r="13" ht="12.75" customHeight="1">
      <c r="B13" s="230" t="s">
        <v>745</v>
      </c>
      <c r="C13" s="239">
        <v>0.75</v>
      </c>
      <c r="D13" s="236"/>
      <c r="E13" s="241">
        <v>0.75</v>
      </c>
      <c r="F13" s="241">
        <v>0.5</v>
      </c>
      <c r="G13" s="243">
        <v>0.75</v>
      </c>
      <c r="H13" s="246">
        <f>C13+SUM(E13:G13)</f>
        <v>2.75</v>
      </c>
      <c r="I13" s="253">
        <f t="shared" si="1"/>
        <v>0.275</v>
      </c>
    </row>
    <row r="14" ht="12.75" customHeight="1">
      <c r="B14" s="229" t="s">
        <v>748</v>
      </c>
      <c r="C14" s="241">
        <v>0.5</v>
      </c>
      <c r="D14" s="241">
        <v>0.25</v>
      </c>
      <c r="E14" s="236"/>
      <c r="F14" s="241">
        <v>0.25</v>
      </c>
      <c r="G14" s="243">
        <v>0.25</v>
      </c>
      <c r="H14" s="246">
        <f>SUM(C14:D14)+SUM(F14:G14)</f>
        <v>1.25</v>
      </c>
      <c r="I14" s="253">
        <f t="shared" si="1"/>
        <v>0.125</v>
      </c>
    </row>
    <row r="15" ht="24.75" customHeight="1">
      <c r="B15" s="230" t="s">
        <v>752</v>
      </c>
      <c r="C15" s="241">
        <v>0.75</v>
      </c>
      <c r="D15" s="241">
        <v>0.5</v>
      </c>
      <c r="E15" s="241">
        <v>0.75</v>
      </c>
      <c r="F15" s="236"/>
      <c r="G15" s="256">
        <v>0.5</v>
      </c>
      <c r="H15" s="246">
        <f>SUM(C15:E15)+G15</f>
        <v>2.5</v>
      </c>
      <c r="I15" s="250">
        <f t="shared" si="1"/>
        <v>0.25</v>
      </c>
      <c r="J15" s="234"/>
    </row>
    <row r="16" ht="21.75" customHeight="1">
      <c r="B16" s="229" t="str">
        <f>G11</f>
        <v>Availability/TRL</v>
      </c>
      <c r="C16" s="241">
        <v>0.75</v>
      </c>
      <c r="D16" s="241">
        <v>0.25</v>
      </c>
      <c r="E16" s="241">
        <v>0.75</v>
      </c>
      <c r="F16" s="239">
        <v>0.5</v>
      </c>
      <c r="G16" s="259"/>
      <c r="H16" s="261">
        <f>SUM(C16:F16)</f>
        <v>2.25</v>
      </c>
      <c r="I16" s="263">
        <f t="shared" si="1"/>
        <v>0.225</v>
      </c>
      <c r="J16" s="234"/>
    </row>
    <row r="17" ht="12.75" customHeight="1">
      <c r="C17" s="265" t="s">
        <v>1</v>
      </c>
      <c r="G17" s="267" t="s">
        <v>697</v>
      </c>
      <c r="H17" s="268">
        <f>SUM(H12:H16)</f>
        <v>10</v>
      </c>
      <c r="I17" s="269"/>
    </row>
    <row r="18" ht="12.75" customHeight="1">
      <c r="G18" s="270"/>
      <c r="H18" s="270"/>
    </row>
    <row r="19" ht="12.75" customHeight="1"/>
    <row r="20" ht="12.75" customHeight="1">
      <c r="B20" s="271"/>
      <c r="C20" s="274" t="str">
        <f t="shared" ref="C20:G20" si="2">C11</f>
        <v>Mass</v>
      </c>
      <c r="D20" s="275" t="str">
        <f t="shared" si="2"/>
        <v>Continuous Power</v>
      </c>
      <c r="E20" s="276" t="str">
        <f t="shared" si="2"/>
        <v>Complexity/ Operations</v>
      </c>
      <c r="F20" s="278" t="str">
        <f t="shared" si="2"/>
        <v>Radiation &amp; Cryo Robustness</v>
      </c>
      <c r="G20" s="280" t="str">
        <f t="shared" si="2"/>
        <v>Availability/TRL</v>
      </c>
    </row>
    <row r="21" ht="12.75" customHeight="1">
      <c r="B21" s="281">
        <v>1.0</v>
      </c>
      <c r="C21" s="282" t="s">
        <v>797</v>
      </c>
      <c r="D21" s="287" t="s">
        <v>799</v>
      </c>
      <c r="E21" s="288" t="s">
        <v>803</v>
      </c>
      <c r="F21" s="289" t="s">
        <v>804</v>
      </c>
      <c r="G21" s="291" t="s">
        <v>805</v>
      </c>
      <c r="I21" s="53"/>
    </row>
    <row r="22" ht="12.75" customHeight="1">
      <c r="B22" s="281">
        <v>2.0</v>
      </c>
      <c r="C22" s="282" t="s">
        <v>806</v>
      </c>
      <c r="D22" s="287" t="s">
        <v>807</v>
      </c>
      <c r="E22" s="289" t="s">
        <v>808</v>
      </c>
      <c r="F22" s="289" t="s">
        <v>810</v>
      </c>
      <c r="G22" s="291" t="s">
        <v>812</v>
      </c>
      <c r="I22" s="53"/>
    </row>
    <row r="23" ht="12.75" customHeight="1">
      <c r="B23" s="281">
        <v>3.0</v>
      </c>
      <c r="C23" s="282" t="s">
        <v>813</v>
      </c>
      <c r="D23" s="287" t="s">
        <v>814</v>
      </c>
      <c r="E23" s="288" t="s">
        <v>815</v>
      </c>
      <c r="F23" s="289" t="s">
        <v>817</v>
      </c>
      <c r="G23" s="291" t="s">
        <v>819</v>
      </c>
      <c r="I23" s="53"/>
    </row>
    <row r="24" ht="12.75" customHeight="1">
      <c r="B24" s="281">
        <v>4.0</v>
      </c>
      <c r="C24" s="287" t="s">
        <v>821</v>
      </c>
      <c r="D24" s="287" t="s">
        <v>822</v>
      </c>
      <c r="E24" s="288" t="s">
        <v>823</v>
      </c>
      <c r="F24" s="289" t="s">
        <v>824</v>
      </c>
      <c r="G24" s="291" t="s">
        <v>825</v>
      </c>
      <c r="I24" s="53"/>
    </row>
    <row r="25" ht="12.75" customHeight="1">
      <c r="B25" s="297">
        <v>5.0</v>
      </c>
      <c r="C25" s="282" t="s">
        <v>827</v>
      </c>
      <c r="D25" s="287" t="s">
        <v>829</v>
      </c>
      <c r="E25" s="288" t="s">
        <v>831</v>
      </c>
      <c r="F25" s="289" t="s">
        <v>832</v>
      </c>
      <c r="G25" s="291" t="s">
        <v>833</v>
      </c>
      <c r="I25" s="53"/>
    </row>
    <row r="26" ht="12.75" customHeight="1">
      <c r="B26" s="270"/>
    </row>
    <row r="27" ht="12.75" customHeight="1"/>
    <row r="28" ht="12.75" customHeight="1">
      <c r="A28" s="298"/>
      <c r="B28" s="299" t="s">
        <v>777</v>
      </c>
      <c r="C28" s="300"/>
      <c r="D28" s="303" t="s">
        <v>834</v>
      </c>
      <c r="E28" s="305"/>
      <c r="F28" s="305"/>
      <c r="G28" s="305"/>
      <c r="H28" s="305"/>
      <c r="I28" s="306"/>
    </row>
    <row r="29" ht="45.0" customHeight="1">
      <c r="A29" s="298"/>
      <c r="B29" s="309"/>
      <c r="D29" s="310" t="s">
        <v>840</v>
      </c>
      <c r="F29" s="311" t="s">
        <v>842</v>
      </c>
      <c r="G29" s="97"/>
      <c r="H29" s="313" t="s">
        <v>844</v>
      </c>
      <c r="I29" s="314"/>
      <c r="J29" s="316"/>
    </row>
    <row r="30" ht="12.75" customHeight="1">
      <c r="A30" s="298"/>
      <c r="B30" s="318" t="s">
        <v>606</v>
      </c>
      <c r="C30" s="320" t="s">
        <v>622</v>
      </c>
      <c r="D30" s="321" t="s">
        <v>782</v>
      </c>
      <c r="E30" s="323" t="s">
        <v>783</v>
      </c>
      <c r="F30" s="324" t="s">
        <v>782</v>
      </c>
      <c r="G30" s="325" t="s">
        <v>783</v>
      </c>
      <c r="H30" s="326" t="s">
        <v>782</v>
      </c>
      <c r="I30" s="327" t="s">
        <v>783</v>
      </c>
      <c r="J30" s="316"/>
    </row>
    <row r="31" ht="12.75" customHeight="1">
      <c r="A31" s="298"/>
      <c r="B31" s="329" t="str">
        <f t="shared" ref="B31:B35" si="3">B12</f>
        <v>Mass</v>
      </c>
      <c r="C31" s="331">
        <f t="shared" ref="C31:C35" si="4">I12</f>
        <v>0.125</v>
      </c>
      <c r="D31" s="287">
        <v>2.0</v>
      </c>
      <c r="E31" s="334">
        <f t="shared" ref="E31:E35" si="5">C31*D31</f>
        <v>0.25</v>
      </c>
      <c r="F31" s="287">
        <v>3.0</v>
      </c>
      <c r="G31" s="334">
        <f t="shared" ref="G31:G35" si="6">C31*F31</f>
        <v>0.375</v>
      </c>
      <c r="H31" s="287">
        <v>1.0</v>
      </c>
      <c r="I31" s="334">
        <f t="shared" ref="I31:I35" si="7">C31*H31</f>
        <v>0.125</v>
      </c>
    </row>
    <row r="32" ht="12.75" customHeight="1">
      <c r="A32" s="298"/>
      <c r="B32" s="329" t="str">
        <f t="shared" si="3"/>
        <v>Continuous Power</v>
      </c>
      <c r="C32" s="331">
        <f t="shared" si="4"/>
        <v>0.275</v>
      </c>
      <c r="D32" s="287">
        <v>1.0</v>
      </c>
      <c r="E32" s="334">
        <f t="shared" si="5"/>
        <v>0.275</v>
      </c>
      <c r="F32" s="287">
        <v>5.0</v>
      </c>
      <c r="G32" s="334">
        <f t="shared" si="6"/>
        <v>1.375</v>
      </c>
      <c r="H32" s="287">
        <v>2.0</v>
      </c>
      <c r="I32" s="334">
        <f t="shared" si="7"/>
        <v>0.55</v>
      </c>
    </row>
    <row r="33" ht="12.75" customHeight="1">
      <c r="A33" s="298"/>
      <c r="B33" s="329" t="str">
        <f t="shared" si="3"/>
        <v>Complexity/ Operations</v>
      </c>
      <c r="C33" s="341">
        <f t="shared" si="4"/>
        <v>0.125</v>
      </c>
      <c r="D33" s="287">
        <v>2.0</v>
      </c>
      <c r="E33" s="334">
        <f t="shared" si="5"/>
        <v>0.25</v>
      </c>
      <c r="F33" s="342">
        <v>5.0</v>
      </c>
      <c r="G33" s="334">
        <f t="shared" si="6"/>
        <v>0.625</v>
      </c>
      <c r="H33" s="342">
        <v>2.0</v>
      </c>
      <c r="I33" s="334">
        <f t="shared" si="7"/>
        <v>0.25</v>
      </c>
    </row>
    <row r="34" ht="25.5" customHeight="1">
      <c r="A34" s="298"/>
      <c r="B34" s="329" t="str">
        <f t="shared" si="3"/>
        <v>Radiation &amp; Cryo Robustness</v>
      </c>
      <c r="C34" s="341">
        <f t="shared" si="4"/>
        <v>0.25</v>
      </c>
      <c r="D34" s="287">
        <v>2.0</v>
      </c>
      <c r="E34" s="334">
        <f t="shared" si="5"/>
        <v>0.5</v>
      </c>
      <c r="F34" s="342">
        <v>5.0</v>
      </c>
      <c r="G34" s="334">
        <f t="shared" si="6"/>
        <v>1.25</v>
      </c>
      <c r="H34" s="287">
        <v>3.0</v>
      </c>
      <c r="I34" s="334">
        <f t="shared" si="7"/>
        <v>0.75</v>
      </c>
    </row>
    <row r="35" ht="12.75" customHeight="1">
      <c r="A35" s="298"/>
      <c r="B35" s="345" t="str">
        <f t="shared" si="3"/>
        <v>Availability/TRL</v>
      </c>
      <c r="C35" s="346">
        <f t="shared" si="4"/>
        <v>0.225</v>
      </c>
      <c r="D35" s="287">
        <v>3.0</v>
      </c>
      <c r="E35" s="334">
        <f t="shared" si="5"/>
        <v>0.675</v>
      </c>
      <c r="F35" s="342">
        <v>5.0</v>
      </c>
      <c r="G35" s="334">
        <f t="shared" si="6"/>
        <v>1.125</v>
      </c>
      <c r="H35" s="342">
        <v>3.0</v>
      </c>
      <c r="I35" s="334">
        <f t="shared" si="7"/>
        <v>0.675</v>
      </c>
    </row>
    <row r="36" ht="12.75" customHeight="1">
      <c r="A36" s="298"/>
      <c r="B36" s="347" t="s">
        <v>798</v>
      </c>
      <c r="C36" s="314"/>
      <c r="D36" s="349">
        <f>SUM(E31:E35)</f>
        <v>1.95</v>
      </c>
      <c r="E36" s="97"/>
      <c r="F36" s="349">
        <f>SUM(G31:G35)</f>
        <v>4.75</v>
      </c>
      <c r="G36" s="97"/>
      <c r="H36" s="349">
        <f>SUM(I31:I35)</f>
        <v>2.35</v>
      </c>
      <c r="I36" s="97"/>
    </row>
    <row r="37" ht="12.75" customHeight="1">
      <c r="D37" s="178"/>
      <c r="E37" s="178"/>
      <c r="F37" s="178"/>
      <c r="G37" s="178"/>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7" right="0.7" top="0.75"/>
  <pageSetup paperSize="8"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25"/>
    <col customWidth="1" min="2" max="2" width="18.13"/>
    <col customWidth="1" min="3" max="3" width="28.25"/>
    <col customWidth="1" min="4" max="4" width="9.5"/>
    <col customWidth="1" min="5" max="5" width="11.75"/>
    <col customWidth="1" min="6" max="6" width="10.0"/>
    <col customWidth="1" min="7" max="7" width="13.75"/>
    <col customWidth="1" min="8" max="8" width="7.38"/>
  </cols>
  <sheetData>
    <row r="1">
      <c r="A1" s="258" t="s">
        <v>414</v>
      </c>
      <c r="B1" s="258" t="s">
        <v>419</v>
      </c>
      <c r="C1" s="258" t="s">
        <v>786</v>
      </c>
      <c r="D1" s="58" t="s">
        <v>787</v>
      </c>
      <c r="E1" s="260" t="s">
        <v>788</v>
      </c>
      <c r="F1" s="58" t="s">
        <v>790</v>
      </c>
      <c r="G1" s="58" t="s">
        <v>791</v>
      </c>
      <c r="H1" s="262" t="s">
        <v>792</v>
      </c>
    </row>
    <row r="2" ht="15.75" customHeight="1">
      <c r="A2" s="264" t="s">
        <v>36</v>
      </c>
      <c r="B2" s="266" t="s">
        <v>794</v>
      </c>
      <c r="C2" s="266" t="s">
        <v>795</v>
      </c>
      <c r="D2" s="273">
        <f t="shared" ref="D2:D13" si="1">G2/$G$13</f>
        <v>0.1121355594</v>
      </c>
      <c r="E2" s="277">
        <f>SUM(D2)</f>
        <v>0.1121355594</v>
      </c>
      <c r="F2" s="279">
        <v>45.0</v>
      </c>
      <c r="G2" s="283">
        <f t="shared" ref="G2:G12" si="2">F2*H2</f>
        <v>225</v>
      </c>
      <c r="H2" s="284">
        <v>5.0</v>
      </c>
    </row>
    <row r="3" ht="15.75" customHeight="1">
      <c r="A3" s="286" t="s">
        <v>800</v>
      </c>
      <c r="B3" s="266" t="s">
        <v>801</v>
      </c>
      <c r="C3" s="266" t="s">
        <v>802</v>
      </c>
      <c r="D3" s="273">
        <f t="shared" si="1"/>
        <v>0</v>
      </c>
      <c r="E3" s="292">
        <f>SUM(D3:D4)</f>
        <v>0.1435335161</v>
      </c>
      <c r="F3" s="279">
        <v>0.0</v>
      </c>
      <c r="G3" s="283">
        <f t="shared" si="2"/>
        <v>0</v>
      </c>
      <c r="H3" s="284">
        <v>24.0</v>
      </c>
    </row>
    <row r="4" ht="15.75" customHeight="1">
      <c r="A4" s="293"/>
      <c r="B4" s="266" t="s">
        <v>809</v>
      </c>
      <c r="C4" s="294" t="s">
        <v>811</v>
      </c>
      <c r="D4" s="273">
        <f t="shared" si="1"/>
        <v>0.1435335161</v>
      </c>
      <c r="E4" s="292"/>
      <c r="F4" s="279">
        <v>12.0</v>
      </c>
      <c r="G4" s="283">
        <f t="shared" si="2"/>
        <v>288</v>
      </c>
      <c r="H4" s="284">
        <v>24.0</v>
      </c>
    </row>
    <row r="5" ht="15.75" customHeight="1">
      <c r="A5" s="295" t="s">
        <v>816</v>
      </c>
      <c r="B5" s="266" t="s">
        <v>818</v>
      </c>
      <c r="C5" s="294" t="s">
        <v>820</v>
      </c>
      <c r="D5" s="273">
        <f t="shared" si="1"/>
        <v>0.1674557688</v>
      </c>
      <c r="E5" s="296">
        <f>SUM(D5)</f>
        <v>0.1674557688</v>
      </c>
      <c r="F5" s="279">
        <v>84.0</v>
      </c>
      <c r="G5" s="283">
        <f t="shared" si="2"/>
        <v>336</v>
      </c>
      <c r="H5" s="284">
        <v>4.0</v>
      </c>
    </row>
    <row r="6" ht="15.75" customHeight="1">
      <c r="A6" s="264" t="s">
        <v>826</v>
      </c>
      <c r="B6" s="266" t="s">
        <v>828</v>
      </c>
      <c r="C6" s="294" t="s">
        <v>830</v>
      </c>
      <c r="D6" s="273">
        <f t="shared" si="1"/>
        <v>0.2153002741</v>
      </c>
      <c r="E6" s="277">
        <f>SUM(D6:D8)</f>
        <v>0.2731123847</v>
      </c>
      <c r="F6" s="279">
        <v>18.0</v>
      </c>
      <c r="G6" s="283">
        <f t="shared" si="2"/>
        <v>432</v>
      </c>
      <c r="H6" s="284">
        <v>24.0</v>
      </c>
    </row>
    <row r="7" ht="15.75" customHeight="1">
      <c r="A7" s="301"/>
      <c r="B7" s="266" t="s">
        <v>835</v>
      </c>
      <c r="C7" s="294" t="s">
        <v>836</v>
      </c>
      <c r="D7" s="273">
        <f t="shared" si="1"/>
        <v>0.04784450536</v>
      </c>
      <c r="E7" s="296"/>
      <c r="F7" s="279">
        <v>6.0</v>
      </c>
      <c r="G7" s="283">
        <f t="shared" si="2"/>
        <v>96</v>
      </c>
      <c r="H7" s="284">
        <v>16.0</v>
      </c>
    </row>
    <row r="8" ht="15.75" customHeight="1">
      <c r="A8" s="308"/>
      <c r="B8" s="266" t="s">
        <v>839</v>
      </c>
      <c r="C8" s="294" t="s">
        <v>841</v>
      </c>
      <c r="D8" s="273">
        <f t="shared" si="1"/>
        <v>0.009967605283</v>
      </c>
      <c r="E8" s="277"/>
      <c r="F8" s="279">
        <v>4.0</v>
      </c>
      <c r="G8" s="283">
        <f t="shared" si="2"/>
        <v>20</v>
      </c>
      <c r="H8" s="284">
        <v>5.0</v>
      </c>
    </row>
    <row r="9" ht="15.75" customHeight="1">
      <c r="A9" s="295" t="s">
        <v>500</v>
      </c>
      <c r="B9" s="266" t="s">
        <v>845</v>
      </c>
      <c r="C9" s="294" t="s">
        <v>846</v>
      </c>
      <c r="D9" s="273">
        <f t="shared" si="1"/>
        <v>0.1594816845</v>
      </c>
      <c r="E9" s="296">
        <f>SUM(D9:D10)</f>
        <v>0.1654622477</v>
      </c>
      <c r="F9" s="279">
        <v>40.0</v>
      </c>
      <c r="G9" s="283">
        <f t="shared" si="2"/>
        <v>320</v>
      </c>
      <c r="H9" s="284">
        <v>8.0</v>
      </c>
    </row>
    <row r="10" ht="15.75" customHeight="1">
      <c r="A10" s="308"/>
      <c r="B10" s="266" t="s">
        <v>848</v>
      </c>
      <c r="C10" s="294" t="s">
        <v>850</v>
      </c>
      <c r="D10" s="273">
        <f t="shared" si="1"/>
        <v>0.00598056317</v>
      </c>
      <c r="E10" s="277"/>
      <c r="F10" s="279">
        <v>0.5</v>
      </c>
      <c r="G10" s="283">
        <f t="shared" si="2"/>
        <v>12</v>
      </c>
      <c r="H10" s="284">
        <v>24.0</v>
      </c>
    </row>
    <row r="11" ht="15.75" customHeight="1">
      <c r="A11" s="286" t="s">
        <v>528</v>
      </c>
      <c r="B11" s="266" t="s">
        <v>855</v>
      </c>
      <c r="C11" s="294" t="s">
        <v>856</v>
      </c>
      <c r="D11" s="273">
        <f t="shared" si="1"/>
        <v>0.1046598555</v>
      </c>
      <c r="E11" s="292">
        <f>SUM(D11:D12)</f>
        <v>0.1383005233</v>
      </c>
      <c r="F11" s="265">
        <v>35.0</v>
      </c>
      <c r="G11" s="283">
        <f t="shared" si="2"/>
        <v>210</v>
      </c>
      <c r="H11" s="284">
        <v>6.0</v>
      </c>
    </row>
    <row r="12" ht="16.5" customHeight="1">
      <c r="A12" s="301"/>
      <c r="B12" s="266" t="s">
        <v>860</v>
      </c>
      <c r="C12" s="294" t="s">
        <v>861</v>
      </c>
      <c r="D12" s="273">
        <f t="shared" si="1"/>
        <v>0.03364066783</v>
      </c>
      <c r="E12" s="296"/>
      <c r="F12" s="279">
        <v>45.0</v>
      </c>
      <c r="G12" s="283">
        <f t="shared" si="2"/>
        <v>67.5</v>
      </c>
      <c r="H12" s="284">
        <v>1.5</v>
      </c>
    </row>
    <row r="13" ht="15.75" customHeight="1">
      <c r="D13" s="336">
        <f t="shared" si="1"/>
        <v>1</v>
      </c>
      <c r="G13" s="283">
        <f>SUM(G2:G12)</f>
        <v>2006.5</v>
      </c>
      <c r="H13" s="338"/>
    </row>
    <row r="14" ht="15.75" customHeight="1">
      <c r="A14" s="56" t="s">
        <v>380</v>
      </c>
      <c r="B14" s="56" t="s">
        <v>866</v>
      </c>
      <c r="H14" s="338"/>
    </row>
    <row r="15" ht="15.75" customHeight="1">
      <c r="A15" s="279" t="s">
        <v>277</v>
      </c>
      <c r="B15" s="279">
        <v>1.0</v>
      </c>
      <c r="H15" s="338"/>
    </row>
    <row r="16" ht="15.75" customHeight="1">
      <c r="A16" s="279" t="s">
        <v>847</v>
      </c>
      <c r="B16" s="279">
        <v>4.0</v>
      </c>
      <c r="H16" s="338"/>
    </row>
    <row r="17" ht="15.75" customHeight="1">
      <c r="A17" s="279" t="s">
        <v>851</v>
      </c>
      <c r="B17" s="279">
        <v>5.0</v>
      </c>
      <c r="H17" s="338"/>
    </row>
    <row r="18" ht="15.75" customHeight="1">
      <c r="A18" s="279" t="s">
        <v>853</v>
      </c>
      <c r="B18" s="279">
        <v>1.5</v>
      </c>
      <c r="H18" s="338"/>
    </row>
    <row r="19" ht="15.75" customHeight="1">
      <c r="A19" s="279" t="s">
        <v>852</v>
      </c>
      <c r="B19" s="279">
        <v>4.5</v>
      </c>
      <c r="H19" s="338"/>
    </row>
    <row r="20" ht="15.75" customHeight="1">
      <c r="A20" s="279" t="s">
        <v>849</v>
      </c>
      <c r="B20" s="265">
        <v>8.0</v>
      </c>
      <c r="H20" s="338"/>
    </row>
    <row r="21" ht="15.75" customHeight="1">
      <c r="A21" s="279" t="s">
        <v>457</v>
      </c>
      <c r="B21" s="265">
        <v>0.0</v>
      </c>
      <c r="H21" s="338"/>
    </row>
    <row r="22" ht="15.75" customHeight="1">
      <c r="H22" s="338"/>
    </row>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9.88"/>
    <col customWidth="1" min="3" max="3" width="18.13"/>
    <col customWidth="1" min="4" max="4" width="21.25"/>
    <col customWidth="1" min="5" max="5" width="21.88"/>
    <col customWidth="1" min="6" max="6" width="9.25"/>
    <col customWidth="1" min="7" max="7" width="8.38"/>
    <col customWidth="1" min="8" max="8" width="8.75"/>
    <col customWidth="1" min="9" max="9" width="10.0"/>
    <col customWidth="1" min="10" max="10" width="8.13"/>
    <col customWidth="1" min="11" max="11" width="9.88"/>
    <col customWidth="1" min="12" max="13" width="10.0"/>
    <col customWidth="1" min="14" max="14" width="17.75"/>
    <col customWidth="1" min="15" max="15" width="15.5"/>
    <col customWidth="1" min="16" max="16" width="18.88"/>
    <col customWidth="1" min="17" max="17" width="19.75"/>
    <col customWidth="1" min="18" max="19" width="14.38"/>
  </cols>
  <sheetData>
    <row r="1" ht="15.75" customHeight="1"/>
    <row r="2" ht="15.75" customHeight="1">
      <c r="A2" s="302"/>
      <c r="B2" s="304" t="s">
        <v>837</v>
      </c>
      <c r="E2" s="307" t="s">
        <v>838</v>
      </c>
      <c r="F2" s="245"/>
      <c r="G2" s="245"/>
      <c r="H2" s="245"/>
      <c r="I2" s="245"/>
      <c r="J2" s="245"/>
      <c r="K2" s="245"/>
      <c r="L2" s="245"/>
      <c r="M2" s="97"/>
      <c r="O2" s="312" t="s">
        <v>843</v>
      </c>
      <c r="P2" s="242"/>
      <c r="Q2" s="302"/>
    </row>
    <row r="3">
      <c r="A3" s="315"/>
      <c r="B3" s="317" t="s">
        <v>414</v>
      </c>
      <c r="C3" s="319" t="s">
        <v>419</v>
      </c>
      <c r="D3" s="319" t="s">
        <v>786</v>
      </c>
      <c r="E3" s="322" t="s">
        <v>847</v>
      </c>
      <c r="F3" s="322" t="s">
        <v>849</v>
      </c>
      <c r="G3" s="322" t="s">
        <v>457</v>
      </c>
      <c r="H3" s="322" t="s">
        <v>851</v>
      </c>
      <c r="I3" s="322" t="s">
        <v>852</v>
      </c>
      <c r="J3" s="322" t="s">
        <v>277</v>
      </c>
      <c r="K3" s="322" t="s">
        <v>853</v>
      </c>
      <c r="L3" s="322" t="s">
        <v>854</v>
      </c>
      <c r="M3" s="322" t="s">
        <v>857</v>
      </c>
      <c r="N3" s="58"/>
      <c r="O3" s="328" t="s">
        <v>858</v>
      </c>
      <c r="P3" s="330" t="s">
        <v>859</v>
      </c>
      <c r="Q3" s="315"/>
      <c r="R3" s="58"/>
      <c r="S3" s="58"/>
    </row>
    <row r="4" ht="15.75" customHeight="1">
      <c r="A4" s="56"/>
      <c r="B4" s="332" t="s">
        <v>36</v>
      </c>
      <c r="C4" s="266" t="s">
        <v>794</v>
      </c>
      <c r="D4" s="266" t="s">
        <v>862</v>
      </c>
      <c r="E4" s="333" t="s">
        <v>863</v>
      </c>
      <c r="F4" s="333" t="s">
        <v>863</v>
      </c>
      <c r="G4" s="335" t="s">
        <v>864</v>
      </c>
      <c r="H4" s="335" t="s">
        <v>864</v>
      </c>
      <c r="I4" s="335" t="s">
        <v>863</v>
      </c>
      <c r="J4" s="333" t="s">
        <v>863</v>
      </c>
      <c r="K4" s="333" t="s">
        <v>863</v>
      </c>
      <c r="L4" s="333" t="s">
        <v>863</v>
      </c>
      <c r="M4" s="333" t="s">
        <v>863</v>
      </c>
      <c r="O4" s="337" t="s">
        <v>865</v>
      </c>
      <c r="P4" s="339">
        <v>0.0</v>
      </c>
    </row>
    <row r="5" ht="15.75" customHeight="1">
      <c r="A5" s="56"/>
      <c r="B5" s="340" t="s">
        <v>800</v>
      </c>
      <c r="C5" s="266" t="s">
        <v>801</v>
      </c>
      <c r="D5" s="266" t="s">
        <v>867</v>
      </c>
      <c r="E5" s="333" t="s">
        <v>863</v>
      </c>
      <c r="F5" s="333" t="s">
        <v>863</v>
      </c>
      <c r="G5" s="333" t="s">
        <v>863</v>
      </c>
      <c r="H5" s="335" t="s">
        <v>863</v>
      </c>
      <c r="I5" s="335" t="s">
        <v>863</v>
      </c>
      <c r="J5" s="333" t="s">
        <v>863</v>
      </c>
      <c r="K5" s="333" t="s">
        <v>863</v>
      </c>
      <c r="L5" s="333" t="s">
        <v>863</v>
      </c>
      <c r="M5" s="333" t="s">
        <v>863</v>
      </c>
      <c r="O5" s="56"/>
      <c r="P5" s="336"/>
    </row>
    <row r="6" ht="15.75" customHeight="1">
      <c r="A6" s="56"/>
      <c r="B6" s="343"/>
      <c r="C6" s="266" t="s">
        <v>809</v>
      </c>
      <c r="D6" s="294" t="s">
        <v>868</v>
      </c>
      <c r="E6" s="333" t="s">
        <v>864</v>
      </c>
      <c r="F6" s="333" t="s">
        <v>864</v>
      </c>
      <c r="G6" s="333" t="s">
        <v>864</v>
      </c>
      <c r="H6" s="335" t="s">
        <v>864</v>
      </c>
      <c r="I6" s="333" t="s">
        <v>864</v>
      </c>
      <c r="J6" s="333" t="s">
        <v>864</v>
      </c>
      <c r="K6" s="333" t="s">
        <v>864</v>
      </c>
      <c r="L6" s="333" t="s">
        <v>864</v>
      </c>
      <c r="M6" s="333" t="s">
        <v>864</v>
      </c>
      <c r="O6" s="56"/>
      <c r="P6" s="336"/>
    </row>
    <row r="7" ht="15.75" customHeight="1">
      <c r="A7" s="56"/>
      <c r="B7" s="344" t="s">
        <v>816</v>
      </c>
      <c r="C7" s="266" t="s">
        <v>818</v>
      </c>
      <c r="D7" s="294" t="s">
        <v>869</v>
      </c>
      <c r="E7" s="333" t="s">
        <v>864</v>
      </c>
      <c r="F7" s="333" t="s">
        <v>863</v>
      </c>
      <c r="G7" s="335" t="s">
        <v>863</v>
      </c>
      <c r="H7" s="335" t="s">
        <v>863</v>
      </c>
      <c r="I7" s="333" t="s">
        <v>863</v>
      </c>
      <c r="J7" s="333" t="s">
        <v>863</v>
      </c>
      <c r="K7" s="333" t="s">
        <v>863</v>
      </c>
      <c r="L7" s="333" t="s">
        <v>863</v>
      </c>
      <c r="M7" s="333" t="s">
        <v>863</v>
      </c>
      <c r="O7" s="56"/>
      <c r="P7" s="336"/>
    </row>
    <row r="8" ht="15.75" customHeight="1">
      <c r="A8" s="79"/>
      <c r="B8" s="332" t="s">
        <v>826</v>
      </c>
      <c r="C8" s="266" t="s">
        <v>828</v>
      </c>
      <c r="D8" s="294" t="s">
        <v>870</v>
      </c>
      <c r="E8" s="333" t="s">
        <v>864</v>
      </c>
      <c r="F8" s="333" t="s">
        <v>864</v>
      </c>
      <c r="G8" s="333" t="s">
        <v>864</v>
      </c>
      <c r="H8" s="333" t="s">
        <v>864</v>
      </c>
      <c r="I8" s="333" t="s">
        <v>864</v>
      </c>
      <c r="J8" s="333" t="s">
        <v>864</v>
      </c>
      <c r="K8" s="333" t="s">
        <v>864</v>
      </c>
      <c r="L8" s="333" t="s">
        <v>864</v>
      </c>
      <c r="M8" s="333" t="s">
        <v>863</v>
      </c>
    </row>
    <row r="9" ht="15.75" customHeight="1">
      <c r="A9" s="79"/>
      <c r="B9" s="348"/>
      <c r="C9" s="266" t="s">
        <v>835</v>
      </c>
      <c r="D9" s="294" t="s">
        <v>871</v>
      </c>
      <c r="E9" s="335" t="s">
        <v>864</v>
      </c>
      <c r="F9" s="335" t="s">
        <v>863</v>
      </c>
      <c r="G9" s="335" t="s">
        <v>864</v>
      </c>
      <c r="H9" s="335" t="s">
        <v>864</v>
      </c>
      <c r="I9" s="335" t="s">
        <v>864</v>
      </c>
      <c r="J9" s="335" t="s">
        <v>864</v>
      </c>
      <c r="K9" s="335" t="s">
        <v>864</v>
      </c>
      <c r="L9" s="333" t="s">
        <v>863</v>
      </c>
      <c r="M9" s="335" t="s">
        <v>863</v>
      </c>
    </row>
    <row r="10" ht="15.75" customHeight="1">
      <c r="A10" s="79"/>
      <c r="B10" s="308"/>
      <c r="C10" s="266" t="s">
        <v>839</v>
      </c>
      <c r="D10" s="294" t="s">
        <v>872</v>
      </c>
      <c r="E10" s="335" t="s">
        <v>864</v>
      </c>
      <c r="F10" s="333" t="s">
        <v>863</v>
      </c>
      <c r="G10" s="333" t="s">
        <v>863</v>
      </c>
      <c r="H10" s="333" t="s">
        <v>863</v>
      </c>
      <c r="I10" s="333" t="s">
        <v>863</v>
      </c>
      <c r="J10" s="333" t="s">
        <v>864</v>
      </c>
      <c r="K10" s="333" t="s">
        <v>863</v>
      </c>
      <c r="L10" s="333" t="s">
        <v>863</v>
      </c>
      <c r="M10" s="333" t="s">
        <v>863</v>
      </c>
    </row>
    <row r="11" ht="15.75" customHeight="1">
      <c r="A11" s="79"/>
      <c r="B11" s="295" t="s">
        <v>500</v>
      </c>
      <c r="C11" s="266" t="s">
        <v>845</v>
      </c>
      <c r="D11" s="294" t="s">
        <v>873</v>
      </c>
      <c r="E11" s="333" t="s">
        <v>863</v>
      </c>
      <c r="F11" s="333" t="s">
        <v>864</v>
      </c>
      <c r="G11" s="333" t="s">
        <v>864</v>
      </c>
      <c r="H11" s="333" t="s">
        <v>863</v>
      </c>
      <c r="I11" s="333" t="s">
        <v>863</v>
      </c>
      <c r="J11" s="335" t="s">
        <v>863</v>
      </c>
      <c r="K11" s="333" t="s">
        <v>863</v>
      </c>
      <c r="L11" s="333" t="s">
        <v>864</v>
      </c>
      <c r="M11" s="333" t="s">
        <v>863</v>
      </c>
    </row>
    <row r="12" ht="15.75" customHeight="1">
      <c r="A12" s="79"/>
      <c r="B12" s="351"/>
      <c r="C12" s="266" t="s">
        <v>848</v>
      </c>
      <c r="D12" s="294" t="s">
        <v>850</v>
      </c>
      <c r="E12" s="335" t="s">
        <v>864</v>
      </c>
      <c r="F12" s="352" t="s">
        <v>864</v>
      </c>
      <c r="G12" s="352" t="s">
        <v>864</v>
      </c>
      <c r="H12" s="352" t="s">
        <v>864</v>
      </c>
      <c r="I12" s="352" t="s">
        <v>864</v>
      </c>
      <c r="J12" s="352" t="s">
        <v>864</v>
      </c>
      <c r="K12" s="352" t="s">
        <v>864</v>
      </c>
      <c r="L12" s="333" t="s">
        <v>864</v>
      </c>
      <c r="M12" s="333" t="s">
        <v>863</v>
      </c>
    </row>
    <row r="13" ht="15.75" customHeight="1">
      <c r="A13" s="79"/>
      <c r="B13" s="340" t="s">
        <v>528</v>
      </c>
      <c r="C13" s="266" t="s">
        <v>855</v>
      </c>
      <c r="D13" s="294" t="s">
        <v>874</v>
      </c>
      <c r="E13" s="335" t="s">
        <v>863</v>
      </c>
      <c r="F13" s="353" t="s">
        <v>863</v>
      </c>
      <c r="G13" s="354" t="s">
        <v>863</v>
      </c>
      <c r="H13" s="354" t="s">
        <v>863</v>
      </c>
      <c r="I13" s="353" t="s">
        <v>864</v>
      </c>
      <c r="J13" s="354" t="s">
        <v>863</v>
      </c>
      <c r="K13" s="353" t="s">
        <v>864</v>
      </c>
      <c r="L13" s="333" t="s">
        <v>863</v>
      </c>
      <c r="M13" s="333" t="s">
        <v>864</v>
      </c>
    </row>
    <row r="14" ht="15.75" customHeight="1">
      <c r="A14" s="79"/>
      <c r="B14" s="348"/>
      <c r="C14" s="266" t="s">
        <v>860</v>
      </c>
      <c r="D14" s="294" t="s">
        <v>861</v>
      </c>
      <c r="E14" s="335" t="s">
        <v>863</v>
      </c>
      <c r="F14" s="354" t="s">
        <v>863</v>
      </c>
      <c r="G14" s="353" t="s">
        <v>863</v>
      </c>
      <c r="H14" s="353" t="s">
        <v>863</v>
      </c>
      <c r="I14" s="353" t="s">
        <v>863</v>
      </c>
      <c r="J14" s="353" t="s">
        <v>863</v>
      </c>
      <c r="K14" s="353" t="s">
        <v>864</v>
      </c>
      <c r="L14" s="333" t="s">
        <v>863</v>
      </c>
      <c r="M14" s="333" t="s">
        <v>863</v>
      </c>
      <c r="O14" s="355" t="s">
        <v>800</v>
      </c>
      <c r="P14" s="356" t="s">
        <v>875</v>
      </c>
      <c r="R14" s="7" t="s">
        <v>876</v>
      </c>
    </row>
    <row r="15" ht="15.75" customHeight="1">
      <c r="A15" s="79"/>
      <c r="B15" s="357"/>
      <c r="C15" s="357"/>
      <c r="D15" s="358"/>
      <c r="E15" s="357"/>
      <c r="F15" s="357"/>
      <c r="G15" s="357"/>
      <c r="H15" s="357"/>
      <c r="I15" s="357"/>
      <c r="J15" s="357"/>
      <c r="K15" s="357"/>
      <c r="L15" s="357"/>
      <c r="M15" s="357"/>
      <c r="O15" s="355" t="s">
        <v>800</v>
      </c>
      <c r="P15" s="356" t="s">
        <v>877</v>
      </c>
      <c r="R15" s="7" t="s">
        <v>878</v>
      </c>
    </row>
    <row r="16" ht="15.75" customHeight="1">
      <c r="A16" s="79"/>
      <c r="B16" s="357"/>
      <c r="C16" s="357"/>
      <c r="D16" s="357"/>
      <c r="E16" s="357"/>
      <c r="F16" s="357"/>
      <c r="G16" s="357"/>
      <c r="H16" s="357"/>
      <c r="I16" s="357"/>
      <c r="J16" s="357"/>
      <c r="K16" s="357"/>
      <c r="L16" s="357"/>
      <c r="M16" s="357"/>
      <c r="O16" s="355" t="s">
        <v>879</v>
      </c>
      <c r="P16" s="356" t="s">
        <v>880</v>
      </c>
      <c r="R16" s="7" t="s">
        <v>881</v>
      </c>
    </row>
    <row r="17" ht="15.75" customHeight="1">
      <c r="A17" s="79"/>
      <c r="B17" s="357"/>
      <c r="C17" s="357"/>
      <c r="D17" s="357"/>
      <c r="E17" s="357"/>
      <c r="F17" s="357"/>
      <c r="G17" s="357"/>
      <c r="H17" s="357"/>
      <c r="I17" s="357"/>
      <c r="J17" s="357"/>
      <c r="K17" s="357"/>
      <c r="L17" s="357"/>
      <c r="M17" s="357"/>
      <c r="O17" s="355" t="s">
        <v>879</v>
      </c>
      <c r="P17" s="356" t="s">
        <v>882</v>
      </c>
      <c r="R17" s="7" t="s">
        <v>883</v>
      </c>
    </row>
    <row r="18" ht="15.75" customHeight="1">
      <c r="A18" s="79"/>
      <c r="B18" s="357"/>
      <c r="C18" s="357"/>
      <c r="D18" s="357"/>
      <c r="E18" s="357"/>
      <c r="F18" s="357"/>
      <c r="G18" s="357"/>
      <c r="H18" s="357"/>
      <c r="I18" s="357"/>
      <c r="J18" s="357"/>
      <c r="K18" s="357"/>
      <c r="L18" s="357"/>
      <c r="M18" s="357"/>
      <c r="O18" s="355" t="s">
        <v>879</v>
      </c>
      <c r="P18" s="356" t="s">
        <v>884</v>
      </c>
      <c r="R18" s="7" t="s">
        <v>885</v>
      </c>
    </row>
    <row r="19" ht="15.75" customHeight="1">
      <c r="A19" s="359"/>
      <c r="B19" s="357"/>
      <c r="C19" s="357"/>
      <c r="D19" s="357"/>
      <c r="E19" s="357"/>
      <c r="F19" s="357"/>
      <c r="G19" s="357"/>
      <c r="H19" s="357"/>
      <c r="I19" s="357"/>
      <c r="J19" s="357"/>
      <c r="K19" s="357"/>
      <c r="L19" s="357"/>
      <c r="M19" s="357"/>
      <c r="O19" s="355" t="s">
        <v>826</v>
      </c>
      <c r="P19" s="356" t="s">
        <v>886</v>
      </c>
      <c r="R19" s="7" t="s">
        <v>887</v>
      </c>
    </row>
    <row r="20" ht="15.75" customHeight="1">
      <c r="A20" s="56"/>
      <c r="B20" s="56"/>
      <c r="O20" s="355" t="s">
        <v>826</v>
      </c>
      <c r="P20" s="356" t="s">
        <v>888</v>
      </c>
      <c r="R20" s="7" t="s">
        <v>889</v>
      </c>
    </row>
    <row r="21" ht="15.75" customHeight="1">
      <c r="O21" s="355" t="s">
        <v>826</v>
      </c>
      <c r="P21" s="356" t="s">
        <v>890</v>
      </c>
      <c r="R21" s="7" t="s">
        <v>891</v>
      </c>
    </row>
    <row r="22" ht="15.75" customHeight="1">
      <c r="B22" s="359"/>
      <c r="O22" s="355" t="s">
        <v>826</v>
      </c>
      <c r="P22" s="356" t="s">
        <v>892</v>
      </c>
    </row>
    <row r="23" ht="15.75" customHeight="1">
      <c r="A23" s="360"/>
      <c r="B23" s="58"/>
      <c r="O23" s="355" t="s">
        <v>36</v>
      </c>
      <c r="P23" s="356" t="s">
        <v>894</v>
      </c>
    </row>
    <row r="24" ht="15.75" customHeight="1">
      <c r="B24" s="56"/>
    </row>
  </sheetData>
  <mergeCells count="6">
    <mergeCell ref="B2:D2"/>
    <mergeCell ref="E2:M2"/>
    <mergeCell ref="O2:P2"/>
    <mergeCell ref="B22:E22"/>
    <mergeCell ref="B23:E23"/>
    <mergeCell ref="B24:E24"/>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53.5"/>
    <col customWidth="1" min="3" max="3" width="18.13"/>
    <col customWidth="1" min="4" max="4" width="21.25"/>
    <col customWidth="1" min="5" max="5" width="21.88"/>
    <col customWidth="1" min="6" max="6" width="7.63"/>
    <col customWidth="1" min="7" max="7" width="10.63"/>
    <col customWidth="1" min="8" max="8" width="6.75"/>
    <col customWidth="1" min="9" max="9" width="7.5"/>
    <col customWidth="1" min="10" max="10" width="9.63"/>
    <col customWidth="1" min="11" max="11" width="8.0"/>
    <col customWidth="1" min="12" max="13" width="10.0"/>
    <col customWidth="1" min="14" max="14" width="17.75"/>
    <col customWidth="1" min="15" max="15" width="15.5"/>
    <col customWidth="1" min="16" max="16" width="5.75"/>
    <col customWidth="1" min="17" max="17" width="19.75"/>
  </cols>
  <sheetData>
    <row r="1" ht="15.75" customHeight="1"/>
    <row r="2" ht="15.75" customHeight="1">
      <c r="A2" s="302"/>
      <c r="B2" s="304" t="s">
        <v>837</v>
      </c>
      <c r="E2" s="307" t="s">
        <v>838</v>
      </c>
      <c r="F2" s="245"/>
      <c r="G2" s="245"/>
      <c r="H2" s="245"/>
      <c r="I2" s="245"/>
      <c r="J2" s="245"/>
      <c r="K2" s="245"/>
      <c r="L2" s="245"/>
      <c r="M2" s="97"/>
      <c r="O2" s="312" t="s">
        <v>843</v>
      </c>
      <c r="P2" s="242"/>
      <c r="Q2" s="302"/>
    </row>
    <row r="3">
      <c r="A3" s="315"/>
      <c r="B3" s="317" t="s">
        <v>414</v>
      </c>
      <c r="C3" s="317" t="s">
        <v>419</v>
      </c>
      <c r="D3" s="319" t="s">
        <v>786</v>
      </c>
      <c r="E3" s="322" t="s">
        <v>847</v>
      </c>
      <c r="F3" s="322" t="s">
        <v>849</v>
      </c>
      <c r="G3" s="322" t="s">
        <v>457</v>
      </c>
      <c r="H3" s="322" t="s">
        <v>851</v>
      </c>
      <c r="I3" s="322" t="s">
        <v>852</v>
      </c>
      <c r="J3" s="322" t="s">
        <v>277</v>
      </c>
      <c r="K3" s="322" t="s">
        <v>853</v>
      </c>
      <c r="L3" s="322" t="s">
        <v>854</v>
      </c>
      <c r="M3" s="322" t="s">
        <v>857</v>
      </c>
      <c r="N3" s="58"/>
      <c r="O3" s="328" t="s">
        <v>858</v>
      </c>
      <c r="P3" s="330" t="s">
        <v>859</v>
      </c>
      <c r="Q3" s="315"/>
    </row>
    <row r="4" ht="15.75" customHeight="1">
      <c r="A4" s="56"/>
      <c r="B4" s="332" t="s">
        <v>36</v>
      </c>
      <c r="C4" s="266" t="s">
        <v>794</v>
      </c>
      <c r="D4" s="266" t="s">
        <v>862</v>
      </c>
      <c r="E4" s="350">
        <v>0.0</v>
      </c>
      <c r="F4" s="350">
        <v>0.0</v>
      </c>
      <c r="G4" s="350">
        <v>45.0</v>
      </c>
      <c r="H4" s="350">
        <v>45.0</v>
      </c>
      <c r="I4" s="350">
        <v>0.0</v>
      </c>
      <c r="J4" s="350">
        <v>0.0</v>
      </c>
      <c r="K4" s="350">
        <v>0.0</v>
      </c>
      <c r="L4" s="350">
        <v>0.0</v>
      </c>
      <c r="M4" s="350">
        <v>0.0</v>
      </c>
      <c r="O4" s="337" t="s">
        <v>865</v>
      </c>
      <c r="P4" s="339">
        <v>0.0</v>
      </c>
    </row>
    <row r="5" ht="15.75" customHeight="1">
      <c r="A5" s="79"/>
      <c r="B5" s="340" t="s">
        <v>800</v>
      </c>
      <c r="C5" s="266" t="s">
        <v>801</v>
      </c>
      <c r="D5" s="266" t="s">
        <v>867</v>
      </c>
      <c r="E5" s="350">
        <v>0.0</v>
      </c>
      <c r="F5" s="350">
        <v>0.0</v>
      </c>
      <c r="G5" s="350">
        <v>0.0</v>
      </c>
      <c r="H5" s="350">
        <v>0.0</v>
      </c>
      <c r="I5" s="350">
        <v>0.0</v>
      </c>
      <c r="J5" s="350">
        <v>0.0</v>
      </c>
      <c r="K5" s="350">
        <v>0.0</v>
      </c>
      <c r="L5" s="350">
        <v>0.0</v>
      </c>
      <c r="M5" s="350">
        <v>0.0</v>
      </c>
    </row>
    <row r="6" ht="15.75" customHeight="1">
      <c r="A6" s="79"/>
      <c r="B6" s="343"/>
      <c r="C6" s="266" t="s">
        <v>809</v>
      </c>
      <c r="D6" s="294" t="s">
        <v>868</v>
      </c>
      <c r="E6" s="350">
        <v>12.0</v>
      </c>
      <c r="F6" s="350">
        <v>12.0</v>
      </c>
      <c r="G6" s="350">
        <v>12.0</v>
      </c>
      <c r="H6" s="350">
        <v>12.0</v>
      </c>
      <c r="I6" s="350">
        <v>12.0</v>
      </c>
      <c r="J6" s="350">
        <v>12.0</v>
      </c>
      <c r="K6" s="350">
        <v>12.0</v>
      </c>
      <c r="L6" s="350">
        <v>12.0</v>
      </c>
      <c r="M6" s="350">
        <v>12.0</v>
      </c>
    </row>
    <row r="7" ht="15.75" customHeight="1">
      <c r="A7" s="79"/>
      <c r="B7" s="344" t="s">
        <v>816</v>
      </c>
      <c r="C7" s="266" t="s">
        <v>818</v>
      </c>
      <c r="D7" s="294" t="s">
        <v>869</v>
      </c>
      <c r="E7" s="350">
        <v>84.0</v>
      </c>
      <c r="F7" s="350">
        <v>0.0</v>
      </c>
      <c r="G7" s="350">
        <v>0.0</v>
      </c>
      <c r="H7" s="350">
        <v>0.0</v>
      </c>
      <c r="I7" s="350">
        <v>0.0</v>
      </c>
      <c r="J7" s="350">
        <v>0.0</v>
      </c>
      <c r="K7" s="350">
        <v>0.0</v>
      </c>
      <c r="L7" s="350">
        <v>0.0</v>
      </c>
      <c r="M7" s="350">
        <v>0.0</v>
      </c>
    </row>
    <row r="8" ht="15.75" customHeight="1">
      <c r="A8" s="79"/>
      <c r="B8" s="332" t="s">
        <v>826</v>
      </c>
      <c r="C8" s="266" t="s">
        <v>828</v>
      </c>
      <c r="D8" s="294" t="s">
        <v>870</v>
      </c>
      <c r="E8" s="350">
        <v>18.0</v>
      </c>
      <c r="F8" s="350">
        <v>18.0</v>
      </c>
      <c r="G8" s="350">
        <v>18.0</v>
      </c>
      <c r="H8" s="350">
        <v>18.0</v>
      </c>
      <c r="I8" s="350">
        <v>18.0</v>
      </c>
      <c r="J8" s="350">
        <v>18.0</v>
      </c>
      <c r="K8" s="350">
        <v>18.0</v>
      </c>
      <c r="L8" s="350">
        <v>18.0</v>
      </c>
      <c r="M8" s="350">
        <v>0.0</v>
      </c>
    </row>
    <row r="9" ht="15.75" customHeight="1">
      <c r="A9" s="79"/>
      <c r="B9" s="348"/>
      <c r="C9" s="266" t="s">
        <v>835</v>
      </c>
      <c r="D9" s="294" t="s">
        <v>871</v>
      </c>
      <c r="E9" s="350">
        <v>6.0</v>
      </c>
      <c r="F9" s="350">
        <v>0.0</v>
      </c>
      <c r="G9" s="350">
        <v>6.0</v>
      </c>
      <c r="H9" s="350">
        <v>6.0</v>
      </c>
      <c r="I9" s="350">
        <v>6.0</v>
      </c>
      <c r="J9" s="350">
        <v>6.0</v>
      </c>
      <c r="K9" s="350">
        <v>6.0</v>
      </c>
      <c r="L9" s="350">
        <v>0.0</v>
      </c>
      <c r="M9" s="350">
        <v>0.0</v>
      </c>
    </row>
    <row r="10" ht="15.75" customHeight="1">
      <c r="A10" s="79"/>
      <c r="B10" s="308"/>
      <c r="C10" s="266" t="s">
        <v>839</v>
      </c>
      <c r="D10" s="294" t="s">
        <v>872</v>
      </c>
      <c r="E10" s="350">
        <v>4.0</v>
      </c>
      <c r="F10" s="350">
        <v>0.0</v>
      </c>
      <c r="G10" s="350">
        <v>0.0</v>
      </c>
      <c r="H10" s="350">
        <v>0.0</v>
      </c>
      <c r="I10" s="350">
        <v>0.0</v>
      </c>
      <c r="J10" s="350">
        <v>4.0</v>
      </c>
      <c r="K10" s="350">
        <v>0.0</v>
      </c>
      <c r="L10" s="350">
        <v>0.0</v>
      </c>
      <c r="M10" s="350">
        <v>0.0</v>
      </c>
    </row>
    <row r="11" ht="15.75" customHeight="1">
      <c r="A11" s="79"/>
      <c r="B11" s="295" t="s">
        <v>500</v>
      </c>
      <c r="C11" s="266" t="s">
        <v>845</v>
      </c>
      <c r="D11" s="294" t="s">
        <v>873</v>
      </c>
      <c r="E11" s="350">
        <v>0.0</v>
      </c>
      <c r="F11" s="350">
        <v>40.0</v>
      </c>
      <c r="G11" s="350">
        <v>40.0</v>
      </c>
      <c r="H11" s="350">
        <v>0.0</v>
      </c>
      <c r="I11" s="350">
        <v>0.0</v>
      </c>
      <c r="J11" s="350">
        <v>0.0</v>
      </c>
      <c r="K11" s="350">
        <v>0.0</v>
      </c>
      <c r="L11" s="350">
        <v>40.0</v>
      </c>
      <c r="M11" s="350">
        <v>0.0</v>
      </c>
    </row>
    <row r="12" ht="15.75" customHeight="1">
      <c r="A12" s="79"/>
      <c r="B12" s="351"/>
      <c r="C12" s="266" t="s">
        <v>848</v>
      </c>
      <c r="D12" s="294" t="s">
        <v>850</v>
      </c>
      <c r="E12" s="350">
        <v>0.5</v>
      </c>
      <c r="F12" s="350">
        <v>0.5</v>
      </c>
      <c r="G12" s="350">
        <v>0.5</v>
      </c>
      <c r="H12" s="350">
        <v>0.5</v>
      </c>
      <c r="I12" s="350">
        <v>0.5</v>
      </c>
      <c r="J12" s="350">
        <v>0.5</v>
      </c>
      <c r="K12" s="350">
        <v>0.5</v>
      </c>
      <c r="L12" s="350">
        <v>0.5</v>
      </c>
      <c r="M12" s="350">
        <v>0.0</v>
      </c>
    </row>
    <row r="13" ht="15.75" customHeight="1">
      <c r="A13" s="79"/>
      <c r="B13" s="340" t="s">
        <v>528</v>
      </c>
      <c r="C13" s="266" t="s">
        <v>855</v>
      </c>
      <c r="D13" s="294" t="s">
        <v>874</v>
      </c>
      <c r="E13" s="350">
        <v>0.0</v>
      </c>
      <c r="F13" s="350">
        <v>0.0</v>
      </c>
      <c r="G13" s="350">
        <v>0.0</v>
      </c>
      <c r="H13" s="350">
        <v>0.0</v>
      </c>
      <c r="I13" s="350">
        <v>35.0</v>
      </c>
      <c r="J13" s="350">
        <v>0.0</v>
      </c>
      <c r="K13" s="350">
        <v>35.0</v>
      </c>
      <c r="L13" s="350">
        <v>0.0</v>
      </c>
      <c r="M13" s="350">
        <v>35.0</v>
      </c>
    </row>
    <row r="14" ht="15.75" customHeight="1">
      <c r="A14" s="79"/>
      <c r="B14" s="348"/>
      <c r="C14" s="266" t="s">
        <v>860</v>
      </c>
      <c r="D14" s="294" t="s">
        <v>861</v>
      </c>
      <c r="E14" s="350">
        <v>0.0</v>
      </c>
      <c r="F14" s="350">
        <v>0.0</v>
      </c>
      <c r="G14" s="350">
        <v>0.0</v>
      </c>
      <c r="H14" s="350">
        <v>0.0</v>
      </c>
      <c r="I14" s="350">
        <v>0.0</v>
      </c>
      <c r="J14" s="350">
        <v>0.0</v>
      </c>
      <c r="K14" s="350">
        <v>45.0</v>
      </c>
      <c r="L14" s="350">
        <v>0.0</v>
      </c>
      <c r="M14" s="350">
        <v>0.0</v>
      </c>
    </row>
    <row r="15" ht="15.75" customHeight="1">
      <c r="A15" s="359"/>
      <c r="B15" s="361" t="s">
        <v>893</v>
      </c>
      <c r="C15" s="245"/>
      <c r="D15" s="97"/>
      <c r="E15" s="362">
        <f t="shared" ref="E15:M15" si="1">SUM(E4:E14)</f>
        <v>124.5</v>
      </c>
      <c r="F15" s="362">
        <f t="shared" si="1"/>
        <v>70.5</v>
      </c>
      <c r="G15" s="362">
        <f t="shared" si="1"/>
        <v>121.5</v>
      </c>
      <c r="H15" s="362">
        <f t="shared" si="1"/>
        <v>81.5</v>
      </c>
      <c r="I15" s="362">
        <f t="shared" si="1"/>
        <v>71.5</v>
      </c>
      <c r="J15" s="362">
        <f t="shared" si="1"/>
        <v>40.5</v>
      </c>
      <c r="K15" s="362">
        <f t="shared" si="1"/>
        <v>116.5</v>
      </c>
      <c r="L15" s="362">
        <f t="shared" si="1"/>
        <v>70.5</v>
      </c>
      <c r="M15" s="362">
        <f t="shared" si="1"/>
        <v>47</v>
      </c>
    </row>
    <row r="16" ht="15.75" customHeight="1">
      <c r="A16" s="56"/>
      <c r="B16" s="56"/>
    </row>
    <row r="17" ht="15.75" customHeight="1"/>
    <row r="18" ht="15.75" customHeight="1">
      <c r="B18" s="361" t="s">
        <v>77</v>
      </c>
      <c r="C18" s="245"/>
      <c r="D18" s="245"/>
      <c r="E18" s="97"/>
    </row>
    <row r="19" ht="15.75" customHeight="1">
      <c r="A19" s="360"/>
      <c r="B19" s="55" t="s">
        <v>895</v>
      </c>
      <c r="E19" s="363"/>
    </row>
    <row r="20" ht="15.75" customHeight="1">
      <c r="B20" s="364" t="s">
        <v>896</v>
      </c>
      <c r="C20" s="365"/>
      <c r="D20" s="365"/>
      <c r="E20" s="248"/>
    </row>
    <row r="21" ht="15.75" customHeight="1">
      <c r="B21" s="56"/>
    </row>
  </sheetData>
  <mergeCells count="7">
    <mergeCell ref="B2:D2"/>
    <mergeCell ref="E2:M2"/>
    <mergeCell ref="O2:P2"/>
    <mergeCell ref="B15:D15"/>
    <mergeCell ref="B18:E18"/>
    <mergeCell ref="B19:E19"/>
    <mergeCell ref="B20:E20"/>
  </mergeCells>
  <conditionalFormatting sqref="E4:M14">
    <cfRule type="containsBlanks" dxfId="3" priority="1">
      <formula>LEN(TRIM(E4))=0</formula>
    </cfRule>
  </conditionalFormatting>
  <conditionalFormatting sqref="E4:M14">
    <cfRule type="cellIs" dxfId="4" priority="2" operator="equal">
      <formula>0</formula>
    </cfRule>
  </conditionalFormatting>
  <conditionalFormatting sqref="E4:M14">
    <cfRule type="cellIs" dxfId="5" priority="3" operator="notEqual">
      <formula>0</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8.38"/>
    <col customWidth="1" min="3" max="3" width="14.38"/>
    <col customWidth="1" min="4" max="4" width="24.88"/>
    <col customWidth="1" min="5" max="5" width="18.13"/>
    <col customWidth="1" min="6" max="10" width="14.38"/>
    <col customWidth="1" min="11" max="11" width="20.38"/>
    <col customWidth="1" min="12" max="13" width="14.38"/>
  </cols>
  <sheetData>
    <row r="1" ht="15.75" customHeight="1">
      <c r="A1" s="302" t="s">
        <v>914</v>
      </c>
      <c r="D1" s="363"/>
      <c r="E1" s="302" t="s">
        <v>915</v>
      </c>
    </row>
    <row r="2">
      <c r="A2" s="375" t="s">
        <v>900</v>
      </c>
      <c r="B2" s="376" t="s">
        <v>909</v>
      </c>
      <c r="C2" s="375" t="s">
        <v>916</v>
      </c>
      <c r="D2" s="378" t="s">
        <v>917</v>
      </c>
      <c r="E2" s="322" t="s">
        <v>847</v>
      </c>
      <c r="F2" s="322" t="s">
        <v>849</v>
      </c>
      <c r="G2" s="322" t="s">
        <v>457</v>
      </c>
      <c r="H2" s="322" t="s">
        <v>851</v>
      </c>
      <c r="I2" s="322" t="s">
        <v>852</v>
      </c>
      <c r="J2" s="322" t="s">
        <v>277</v>
      </c>
      <c r="K2" s="322" t="s">
        <v>853</v>
      </c>
      <c r="L2" s="319"/>
      <c r="M2" s="319"/>
    </row>
    <row r="3" ht="15.75" customHeight="1">
      <c r="A3" s="381">
        <v>0.0</v>
      </c>
      <c r="B3" s="380" t="s">
        <v>277</v>
      </c>
      <c r="C3" s="56">
        <f>'3a. Typical Mode Sequence (Powe'!C3</f>
        <v>40.5</v>
      </c>
      <c r="D3" s="379">
        <v>110.0</v>
      </c>
      <c r="E3" s="304">
        <f t="shared" ref="E3:K3" si="1">IF($B3=E$2,$C3,0)</f>
        <v>0</v>
      </c>
      <c r="F3" s="304">
        <f t="shared" si="1"/>
        <v>0</v>
      </c>
      <c r="G3" s="304">
        <f t="shared" si="1"/>
        <v>0</v>
      </c>
      <c r="H3" s="304">
        <f t="shared" si="1"/>
        <v>0</v>
      </c>
      <c r="I3" s="304">
        <f t="shared" si="1"/>
        <v>0</v>
      </c>
      <c r="J3" s="304">
        <f t="shared" si="1"/>
        <v>40.5</v>
      </c>
      <c r="K3" s="304">
        <f t="shared" si="1"/>
        <v>0</v>
      </c>
    </row>
    <row r="4" ht="15.75" customHeight="1">
      <c r="A4" s="381">
        <v>6.0</v>
      </c>
      <c r="B4" s="380" t="s">
        <v>277</v>
      </c>
      <c r="C4" s="56">
        <f>'3a. Typical Mode Sequence (Powe'!C4</f>
        <v>40.5</v>
      </c>
      <c r="D4" s="379">
        <v>110.0</v>
      </c>
      <c r="E4" s="304">
        <f t="shared" ref="E4:K4" si="2">IF($B4=E$2,$C4,0)</f>
        <v>0</v>
      </c>
      <c r="F4" s="304">
        <f t="shared" si="2"/>
        <v>0</v>
      </c>
      <c r="G4" s="304">
        <f t="shared" si="2"/>
        <v>0</v>
      </c>
      <c r="H4" s="304">
        <f t="shared" si="2"/>
        <v>0</v>
      </c>
      <c r="I4" s="304">
        <f t="shared" si="2"/>
        <v>0</v>
      </c>
      <c r="J4" s="304">
        <f t="shared" si="2"/>
        <v>40.5</v>
      </c>
      <c r="K4" s="304">
        <f t="shared" si="2"/>
        <v>0</v>
      </c>
      <c r="M4" s="360" t="s">
        <v>77</v>
      </c>
    </row>
    <row r="5" ht="15.75" customHeight="1">
      <c r="A5" s="381">
        <v>12.0</v>
      </c>
      <c r="B5" s="380" t="s">
        <v>277</v>
      </c>
      <c r="C5" s="56">
        <f>'3a. Typical Mode Sequence (Powe'!C5</f>
        <v>40.5</v>
      </c>
      <c r="D5" s="379">
        <v>110.0</v>
      </c>
      <c r="E5" s="304">
        <f t="shared" ref="E5:K5" si="3">IF($B5=E$2,$C5,0)</f>
        <v>0</v>
      </c>
      <c r="F5" s="304">
        <f t="shared" si="3"/>
        <v>0</v>
      </c>
      <c r="G5" s="304">
        <f t="shared" si="3"/>
        <v>0</v>
      </c>
      <c r="H5" s="304">
        <f t="shared" si="3"/>
        <v>0</v>
      </c>
      <c r="I5" s="304">
        <f t="shared" si="3"/>
        <v>0</v>
      </c>
      <c r="J5" s="304">
        <f t="shared" si="3"/>
        <v>40.5</v>
      </c>
      <c r="K5" s="304">
        <f t="shared" si="3"/>
        <v>0</v>
      </c>
      <c r="M5" s="56" t="s">
        <v>923</v>
      </c>
    </row>
    <row r="6" ht="15.75" customHeight="1">
      <c r="A6" s="381">
        <v>18.0</v>
      </c>
      <c r="B6" s="380" t="s">
        <v>277</v>
      </c>
      <c r="C6" s="56">
        <f>'3a. Typical Mode Sequence (Powe'!C6</f>
        <v>40.5</v>
      </c>
      <c r="D6" s="379">
        <v>110.0</v>
      </c>
      <c r="E6" s="304">
        <f t="shared" ref="E6:K6" si="4">IF($B6=E$2,$C6,0)</f>
        <v>0</v>
      </c>
      <c r="F6" s="304">
        <f t="shared" si="4"/>
        <v>0</v>
      </c>
      <c r="G6" s="304">
        <f t="shared" si="4"/>
        <v>0</v>
      </c>
      <c r="H6" s="304">
        <f t="shared" si="4"/>
        <v>0</v>
      </c>
      <c r="I6" s="304">
        <f t="shared" si="4"/>
        <v>0</v>
      </c>
      <c r="J6" s="304">
        <f t="shared" si="4"/>
        <v>40.5</v>
      </c>
      <c r="K6" s="304">
        <f t="shared" si="4"/>
        <v>0</v>
      </c>
    </row>
    <row r="7" ht="15.75" customHeight="1">
      <c r="A7" s="381">
        <v>24.0</v>
      </c>
      <c r="B7" s="380" t="s">
        <v>277</v>
      </c>
      <c r="C7" s="56">
        <f>'3a. Typical Mode Sequence (Powe'!C7</f>
        <v>40.5</v>
      </c>
      <c r="D7" s="379">
        <v>110.0</v>
      </c>
      <c r="E7" s="304">
        <f t="shared" ref="E7:K7" si="5">IF($B7=E$2,$C7,0)</f>
        <v>0</v>
      </c>
      <c r="F7" s="304">
        <f t="shared" si="5"/>
        <v>0</v>
      </c>
      <c r="G7" s="304">
        <f t="shared" si="5"/>
        <v>0</v>
      </c>
      <c r="H7" s="304">
        <f t="shared" si="5"/>
        <v>0</v>
      </c>
      <c r="I7" s="304">
        <f t="shared" si="5"/>
        <v>0</v>
      </c>
      <c r="J7" s="304">
        <f t="shared" si="5"/>
        <v>40.5</v>
      </c>
      <c r="K7" s="304">
        <f t="shared" si="5"/>
        <v>0</v>
      </c>
    </row>
    <row r="8" ht="15.75" customHeight="1">
      <c r="A8" s="381">
        <v>30.0</v>
      </c>
      <c r="B8" s="380" t="s">
        <v>277</v>
      </c>
      <c r="C8" s="56">
        <f>'3a. Typical Mode Sequence (Powe'!C8</f>
        <v>40.5</v>
      </c>
      <c r="D8" s="379">
        <v>110.0</v>
      </c>
      <c r="E8" s="304">
        <f t="shared" ref="E8:K8" si="6">IF($B8=E$2,$C8,0)</f>
        <v>0</v>
      </c>
      <c r="F8" s="304">
        <f t="shared" si="6"/>
        <v>0</v>
      </c>
      <c r="G8" s="304">
        <f t="shared" si="6"/>
        <v>0</v>
      </c>
      <c r="H8" s="304">
        <f t="shared" si="6"/>
        <v>0</v>
      </c>
      <c r="I8" s="304">
        <f t="shared" si="6"/>
        <v>0</v>
      </c>
      <c r="J8" s="304">
        <f t="shared" si="6"/>
        <v>40.5</v>
      </c>
      <c r="K8" s="304">
        <f t="shared" si="6"/>
        <v>0</v>
      </c>
    </row>
    <row r="9" ht="15.75" customHeight="1">
      <c r="A9" s="381">
        <v>36.0</v>
      </c>
      <c r="B9" s="380" t="s">
        <v>277</v>
      </c>
      <c r="C9" s="56">
        <f>'3a. Typical Mode Sequence (Powe'!C9</f>
        <v>40.5</v>
      </c>
      <c r="D9" s="379">
        <v>110.0</v>
      </c>
      <c r="E9" s="304">
        <f t="shared" ref="E9:K9" si="7">IF($B9=E$2,$C9,0)</f>
        <v>0</v>
      </c>
      <c r="F9" s="304">
        <f t="shared" si="7"/>
        <v>0</v>
      </c>
      <c r="G9" s="304">
        <f t="shared" si="7"/>
        <v>0</v>
      </c>
      <c r="H9" s="304">
        <f t="shared" si="7"/>
        <v>0</v>
      </c>
      <c r="I9" s="304">
        <f t="shared" si="7"/>
        <v>0</v>
      </c>
      <c r="J9" s="304">
        <f t="shared" si="7"/>
        <v>40.5</v>
      </c>
      <c r="K9" s="304">
        <f t="shared" si="7"/>
        <v>0</v>
      </c>
    </row>
    <row r="10" ht="15.75" customHeight="1">
      <c r="A10" s="381">
        <v>42.0</v>
      </c>
      <c r="B10" s="380" t="s">
        <v>277</v>
      </c>
      <c r="C10" s="56">
        <f>'3a. Typical Mode Sequence (Powe'!C10</f>
        <v>40.5</v>
      </c>
      <c r="D10" s="379">
        <v>110.0</v>
      </c>
      <c r="E10" s="304">
        <f t="shared" ref="E10:K10" si="8">IF($B10=E$2,$C10,0)</f>
        <v>0</v>
      </c>
      <c r="F10" s="304">
        <f t="shared" si="8"/>
        <v>0</v>
      </c>
      <c r="G10" s="304">
        <f t="shared" si="8"/>
        <v>0</v>
      </c>
      <c r="H10" s="304">
        <f t="shared" si="8"/>
        <v>0</v>
      </c>
      <c r="I10" s="304">
        <f t="shared" si="8"/>
        <v>0</v>
      </c>
      <c r="J10" s="304">
        <f t="shared" si="8"/>
        <v>40.5</v>
      </c>
      <c r="K10" s="304">
        <f t="shared" si="8"/>
        <v>0</v>
      </c>
    </row>
    <row r="11" ht="15.75" customHeight="1">
      <c r="A11" s="381">
        <v>48.0</v>
      </c>
      <c r="B11" s="380" t="s">
        <v>277</v>
      </c>
      <c r="C11" s="56">
        <f>'3a. Typical Mode Sequence (Powe'!C11</f>
        <v>40.5</v>
      </c>
      <c r="D11" s="379">
        <v>110.0</v>
      </c>
      <c r="E11" s="304">
        <f t="shared" ref="E11:K11" si="9">IF($B11=E$2,$C11,0)</f>
        <v>0</v>
      </c>
      <c r="F11" s="304">
        <f t="shared" si="9"/>
        <v>0</v>
      </c>
      <c r="G11" s="304">
        <f t="shared" si="9"/>
        <v>0</v>
      </c>
      <c r="H11" s="304">
        <f t="shared" si="9"/>
        <v>0</v>
      </c>
      <c r="I11" s="304">
        <f t="shared" si="9"/>
        <v>0</v>
      </c>
      <c r="J11" s="304">
        <f t="shared" si="9"/>
        <v>40.5</v>
      </c>
      <c r="K11" s="304">
        <f t="shared" si="9"/>
        <v>0</v>
      </c>
    </row>
    <row r="12" ht="15.75" customHeight="1">
      <c r="A12" s="381">
        <v>54.0</v>
      </c>
      <c r="B12" s="380" t="s">
        <v>277</v>
      </c>
      <c r="C12" s="56">
        <f>'3a. Typical Mode Sequence (Powe'!C12</f>
        <v>40.5</v>
      </c>
      <c r="D12" s="379">
        <v>110.0</v>
      </c>
      <c r="E12" s="304">
        <f t="shared" ref="E12:K12" si="10">IF($B12=E$2,$C12,0)</f>
        <v>0</v>
      </c>
      <c r="F12" s="304">
        <f t="shared" si="10"/>
        <v>0</v>
      </c>
      <c r="G12" s="304">
        <f t="shared" si="10"/>
        <v>0</v>
      </c>
      <c r="H12" s="304">
        <f t="shared" si="10"/>
        <v>0</v>
      </c>
      <c r="I12" s="304">
        <f t="shared" si="10"/>
        <v>0</v>
      </c>
      <c r="J12" s="304">
        <f t="shared" si="10"/>
        <v>40.5</v>
      </c>
      <c r="K12" s="304">
        <f t="shared" si="10"/>
        <v>0</v>
      </c>
    </row>
    <row r="13" ht="15.75" customHeight="1">
      <c r="A13" s="381">
        <v>60.0</v>
      </c>
      <c r="B13" s="380" t="s">
        <v>847</v>
      </c>
      <c r="C13" s="56">
        <f>'3a. Typical Mode Sequence (Powe'!C13</f>
        <v>124.5</v>
      </c>
      <c r="D13" s="379">
        <v>110.0</v>
      </c>
      <c r="E13" s="304">
        <f t="shared" ref="E13:K13" si="11">IF($B13=E$2,$C13,0)</f>
        <v>124.5</v>
      </c>
      <c r="F13" s="304">
        <f t="shared" si="11"/>
        <v>0</v>
      </c>
      <c r="G13" s="304">
        <f t="shared" si="11"/>
        <v>0</v>
      </c>
      <c r="H13" s="304">
        <f t="shared" si="11"/>
        <v>0</v>
      </c>
      <c r="I13" s="304">
        <f t="shared" si="11"/>
        <v>0</v>
      </c>
      <c r="J13" s="304">
        <f t="shared" si="11"/>
        <v>0</v>
      </c>
      <c r="K13" s="304">
        <f t="shared" si="11"/>
        <v>0</v>
      </c>
    </row>
    <row r="14" ht="15.75" customHeight="1">
      <c r="A14" s="381">
        <v>66.0</v>
      </c>
      <c r="B14" s="380" t="s">
        <v>847</v>
      </c>
      <c r="C14" s="56">
        <f>'3a. Typical Mode Sequence (Powe'!C14</f>
        <v>124.5</v>
      </c>
      <c r="D14" s="379">
        <v>110.0</v>
      </c>
      <c r="E14" s="304">
        <f t="shared" ref="E14:K14" si="12">IF($B14=E$2,$C14,0)</f>
        <v>124.5</v>
      </c>
      <c r="F14" s="304">
        <f t="shared" si="12"/>
        <v>0</v>
      </c>
      <c r="G14" s="304">
        <f t="shared" si="12"/>
        <v>0</v>
      </c>
      <c r="H14" s="304">
        <f t="shared" si="12"/>
        <v>0</v>
      </c>
      <c r="I14" s="304">
        <f t="shared" si="12"/>
        <v>0</v>
      </c>
      <c r="J14" s="304">
        <f t="shared" si="12"/>
        <v>0</v>
      </c>
      <c r="K14" s="304">
        <f t="shared" si="12"/>
        <v>0</v>
      </c>
    </row>
    <row r="15" ht="15.75" customHeight="1">
      <c r="A15" s="381">
        <v>72.0</v>
      </c>
      <c r="B15" s="380" t="s">
        <v>847</v>
      </c>
      <c r="C15" s="56">
        <f>'3a. Typical Mode Sequence (Powe'!C15</f>
        <v>124.5</v>
      </c>
      <c r="D15" s="379">
        <v>110.0</v>
      </c>
      <c r="E15" s="304">
        <f t="shared" ref="E15:K15" si="13">IF($B15=E$2,$C15,0)</f>
        <v>124.5</v>
      </c>
      <c r="F15" s="304">
        <f t="shared" si="13"/>
        <v>0</v>
      </c>
      <c r="G15" s="304">
        <f t="shared" si="13"/>
        <v>0</v>
      </c>
      <c r="H15" s="304">
        <f t="shared" si="13"/>
        <v>0</v>
      </c>
      <c r="I15" s="304">
        <f t="shared" si="13"/>
        <v>0</v>
      </c>
      <c r="J15" s="304">
        <f t="shared" si="13"/>
        <v>0</v>
      </c>
      <c r="K15" s="304">
        <f t="shared" si="13"/>
        <v>0</v>
      </c>
    </row>
    <row r="16" ht="15.75" customHeight="1">
      <c r="A16" s="381">
        <v>78.0</v>
      </c>
      <c r="B16" s="380" t="s">
        <v>847</v>
      </c>
      <c r="C16" s="56">
        <f>'3a. Typical Mode Sequence (Powe'!C16</f>
        <v>124.5</v>
      </c>
      <c r="D16" s="379">
        <v>110.0</v>
      </c>
      <c r="E16" s="304">
        <f t="shared" ref="E16:K16" si="14">IF($B16=E$2,$C16,0)</f>
        <v>124.5</v>
      </c>
      <c r="F16" s="304">
        <f t="shared" si="14"/>
        <v>0</v>
      </c>
      <c r="G16" s="304">
        <f t="shared" si="14"/>
        <v>0</v>
      </c>
      <c r="H16" s="304">
        <f t="shared" si="14"/>
        <v>0</v>
      </c>
      <c r="I16" s="304">
        <f t="shared" si="14"/>
        <v>0</v>
      </c>
      <c r="J16" s="304">
        <f t="shared" si="14"/>
        <v>0</v>
      </c>
      <c r="K16" s="304">
        <f t="shared" si="14"/>
        <v>0</v>
      </c>
    </row>
    <row r="17" ht="15.75" customHeight="1">
      <c r="A17" s="381">
        <v>84.0</v>
      </c>
      <c r="B17" s="380" t="s">
        <v>847</v>
      </c>
      <c r="C17" s="56">
        <f>'3a. Typical Mode Sequence (Powe'!C17</f>
        <v>124.5</v>
      </c>
      <c r="D17" s="379">
        <v>110.0</v>
      </c>
      <c r="E17" s="304">
        <f t="shared" ref="E17:K17" si="15">IF($B17=E$2,$C17,0)</f>
        <v>124.5</v>
      </c>
      <c r="F17" s="304">
        <f t="shared" si="15"/>
        <v>0</v>
      </c>
      <c r="G17" s="304">
        <f t="shared" si="15"/>
        <v>0</v>
      </c>
      <c r="H17" s="304">
        <f t="shared" si="15"/>
        <v>0</v>
      </c>
      <c r="I17" s="304">
        <f t="shared" si="15"/>
        <v>0</v>
      </c>
      <c r="J17" s="304">
        <f t="shared" si="15"/>
        <v>0</v>
      </c>
      <c r="K17" s="304">
        <f t="shared" si="15"/>
        <v>0</v>
      </c>
    </row>
    <row r="18" ht="15.75" customHeight="1">
      <c r="A18" s="381">
        <v>90.0</v>
      </c>
      <c r="B18" s="380" t="s">
        <v>847</v>
      </c>
      <c r="C18" s="56">
        <f>'3a. Typical Mode Sequence (Powe'!C18</f>
        <v>124.5</v>
      </c>
      <c r="D18" s="379">
        <v>110.0</v>
      </c>
      <c r="E18" s="304">
        <f t="shared" ref="E18:K18" si="16">IF($B18=E$2,$C18,0)</f>
        <v>124.5</v>
      </c>
      <c r="F18" s="304">
        <f t="shared" si="16"/>
        <v>0</v>
      </c>
      <c r="G18" s="304">
        <f t="shared" si="16"/>
        <v>0</v>
      </c>
      <c r="H18" s="304">
        <f t="shared" si="16"/>
        <v>0</v>
      </c>
      <c r="I18" s="304">
        <f t="shared" si="16"/>
        <v>0</v>
      </c>
      <c r="J18" s="304">
        <f t="shared" si="16"/>
        <v>0</v>
      </c>
      <c r="K18" s="304">
        <f t="shared" si="16"/>
        <v>0</v>
      </c>
    </row>
    <row r="19" ht="15.75" customHeight="1">
      <c r="A19" s="381">
        <v>96.0</v>
      </c>
      <c r="B19" s="380" t="s">
        <v>847</v>
      </c>
      <c r="C19" s="56">
        <f>'3a. Typical Mode Sequence (Powe'!C19</f>
        <v>124.5</v>
      </c>
      <c r="D19" s="379">
        <v>110.0</v>
      </c>
      <c r="E19" s="304">
        <f t="shared" ref="E19:K19" si="17">IF($B19=E$2,$C19,0)</f>
        <v>124.5</v>
      </c>
      <c r="F19" s="304">
        <f t="shared" si="17"/>
        <v>0</v>
      </c>
      <c r="G19" s="304">
        <f t="shared" si="17"/>
        <v>0</v>
      </c>
      <c r="H19" s="304">
        <f t="shared" si="17"/>
        <v>0</v>
      </c>
      <c r="I19" s="304">
        <f t="shared" si="17"/>
        <v>0</v>
      </c>
      <c r="J19" s="304">
        <f t="shared" si="17"/>
        <v>0</v>
      </c>
      <c r="K19" s="304">
        <f t="shared" si="17"/>
        <v>0</v>
      </c>
    </row>
    <row r="20" ht="15.75" customHeight="1">
      <c r="A20" s="381">
        <v>102.0</v>
      </c>
      <c r="B20" s="380" t="s">
        <v>847</v>
      </c>
      <c r="C20" s="56">
        <f>'3a. Typical Mode Sequence (Powe'!C20</f>
        <v>124.5</v>
      </c>
      <c r="D20" s="379">
        <v>110.0</v>
      </c>
      <c r="E20" s="304">
        <f t="shared" ref="E20:K20" si="18">IF($B20=E$2,$C20,0)</f>
        <v>124.5</v>
      </c>
      <c r="F20" s="304">
        <f t="shared" si="18"/>
        <v>0</v>
      </c>
      <c r="G20" s="304">
        <f t="shared" si="18"/>
        <v>0</v>
      </c>
      <c r="H20" s="304">
        <f t="shared" si="18"/>
        <v>0</v>
      </c>
      <c r="I20" s="304">
        <f t="shared" si="18"/>
        <v>0</v>
      </c>
      <c r="J20" s="304">
        <f t="shared" si="18"/>
        <v>0</v>
      </c>
      <c r="K20" s="304">
        <f t="shared" si="18"/>
        <v>0</v>
      </c>
    </row>
    <row r="21" ht="15.75" customHeight="1">
      <c r="A21" s="381">
        <v>108.0</v>
      </c>
      <c r="B21" s="380" t="s">
        <v>847</v>
      </c>
      <c r="C21" s="56">
        <f>'3a. Typical Mode Sequence (Powe'!C21</f>
        <v>124.5</v>
      </c>
      <c r="D21" s="379">
        <v>110.0</v>
      </c>
      <c r="E21" s="304">
        <f t="shared" ref="E21:K21" si="19">IF($B21=E$2,$C21,0)</f>
        <v>124.5</v>
      </c>
      <c r="F21" s="304">
        <f t="shared" si="19"/>
        <v>0</v>
      </c>
      <c r="G21" s="304">
        <f t="shared" si="19"/>
        <v>0</v>
      </c>
      <c r="H21" s="304">
        <f t="shared" si="19"/>
        <v>0</v>
      </c>
      <c r="I21" s="304">
        <f t="shared" si="19"/>
        <v>0</v>
      </c>
      <c r="J21" s="304">
        <f t="shared" si="19"/>
        <v>0</v>
      </c>
      <c r="K21" s="304">
        <f t="shared" si="19"/>
        <v>0</v>
      </c>
    </row>
    <row r="22" ht="15.75" customHeight="1">
      <c r="A22" s="381">
        <v>114.0</v>
      </c>
      <c r="B22" s="380" t="s">
        <v>847</v>
      </c>
      <c r="C22" s="56">
        <f>'3a. Typical Mode Sequence (Powe'!C22</f>
        <v>124.5</v>
      </c>
      <c r="D22" s="379">
        <v>110.0</v>
      </c>
      <c r="E22" s="304">
        <f t="shared" ref="E22:K22" si="20">IF($B22=E$2,$C22,0)</f>
        <v>124.5</v>
      </c>
      <c r="F22" s="304">
        <f t="shared" si="20"/>
        <v>0</v>
      </c>
      <c r="G22" s="304">
        <f t="shared" si="20"/>
        <v>0</v>
      </c>
      <c r="H22" s="304">
        <f t="shared" si="20"/>
        <v>0</v>
      </c>
      <c r="I22" s="304">
        <f t="shared" si="20"/>
        <v>0</v>
      </c>
      <c r="J22" s="304">
        <f t="shared" si="20"/>
        <v>0</v>
      </c>
      <c r="K22" s="304">
        <f t="shared" si="20"/>
        <v>0</v>
      </c>
    </row>
    <row r="23" ht="15.75" customHeight="1">
      <c r="A23" s="381">
        <v>120.0</v>
      </c>
      <c r="B23" s="380" t="s">
        <v>847</v>
      </c>
      <c r="C23" s="56">
        <f>'3a. Typical Mode Sequence (Powe'!C23</f>
        <v>124.5</v>
      </c>
      <c r="D23" s="379">
        <v>110.0</v>
      </c>
      <c r="E23" s="304">
        <f t="shared" ref="E23:K23" si="21">IF($B23=E$2,$C23,0)</f>
        <v>124.5</v>
      </c>
      <c r="F23" s="304">
        <f t="shared" si="21"/>
        <v>0</v>
      </c>
      <c r="G23" s="304">
        <f t="shared" si="21"/>
        <v>0</v>
      </c>
      <c r="H23" s="304">
        <f t="shared" si="21"/>
        <v>0</v>
      </c>
      <c r="I23" s="304">
        <f t="shared" si="21"/>
        <v>0</v>
      </c>
      <c r="J23" s="304">
        <f t="shared" si="21"/>
        <v>0</v>
      </c>
      <c r="K23" s="304">
        <f t="shared" si="21"/>
        <v>0</v>
      </c>
    </row>
    <row r="24" ht="15.75" customHeight="1">
      <c r="A24" s="381">
        <v>126.0</v>
      </c>
      <c r="B24" s="380" t="s">
        <v>847</v>
      </c>
      <c r="C24" s="56">
        <f>'3a. Typical Mode Sequence (Powe'!C24</f>
        <v>124.5</v>
      </c>
      <c r="D24" s="379">
        <v>110.0</v>
      </c>
      <c r="E24" s="304">
        <f t="shared" ref="E24:K24" si="22">IF($B24=E$2,$C24,0)</f>
        <v>124.5</v>
      </c>
      <c r="F24" s="304">
        <f t="shared" si="22"/>
        <v>0</v>
      </c>
      <c r="G24" s="304">
        <f t="shared" si="22"/>
        <v>0</v>
      </c>
      <c r="H24" s="304">
        <f t="shared" si="22"/>
        <v>0</v>
      </c>
      <c r="I24" s="304">
        <f t="shared" si="22"/>
        <v>0</v>
      </c>
      <c r="J24" s="304">
        <f t="shared" si="22"/>
        <v>0</v>
      </c>
      <c r="K24" s="304">
        <f t="shared" si="22"/>
        <v>0</v>
      </c>
    </row>
    <row r="25" ht="15.75" customHeight="1">
      <c r="A25" s="381">
        <v>132.0</v>
      </c>
      <c r="B25" s="380" t="s">
        <v>847</v>
      </c>
      <c r="C25" s="56">
        <f>'3a. Typical Mode Sequence (Powe'!C25</f>
        <v>124.5</v>
      </c>
      <c r="D25" s="379">
        <v>110.0</v>
      </c>
      <c r="E25" s="304">
        <f t="shared" ref="E25:K25" si="23">IF($B25=E$2,$C25,0)</f>
        <v>124.5</v>
      </c>
      <c r="F25" s="304">
        <f t="shared" si="23"/>
        <v>0</v>
      </c>
      <c r="G25" s="304">
        <f t="shared" si="23"/>
        <v>0</v>
      </c>
      <c r="H25" s="304">
        <f t="shared" si="23"/>
        <v>0</v>
      </c>
      <c r="I25" s="304">
        <f t="shared" si="23"/>
        <v>0</v>
      </c>
      <c r="J25" s="304">
        <f t="shared" si="23"/>
        <v>0</v>
      </c>
      <c r="K25" s="304">
        <f t="shared" si="23"/>
        <v>0</v>
      </c>
    </row>
    <row r="26" ht="15.75" customHeight="1">
      <c r="A26" s="381">
        <v>138.0</v>
      </c>
      <c r="B26" s="380" t="s">
        <v>847</v>
      </c>
      <c r="C26" s="56">
        <f>'3a. Typical Mode Sequence (Powe'!C26</f>
        <v>124.5</v>
      </c>
      <c r="D26" s="379">
        <v>110.0</v>
      </c>
      <c r="E26" s="304">
        <f t="shared" ref="E26:K26" si="24">IF($B26=E$2,$C26,0)</f>
        <v>124.5</v>
      </c>
      <c r="F26" s="304">
        <f t="shared" si="24"/>
        <v>0</v>
      </c>
      <c r="G26" s="304">
        <f t="shared" si="24"/>
        <v>0</v>
      </c>
      <c r="H26" s="304">
        <f t="shared" si="24"/>
        <v>0</v>
      </c>
      <c r="I26" s="304">
        <f t="shared" si="24"/>
        <v>0</v>
      </c>
      <c r="J26" s="304">
        <f t="shared" si="24"/>
        <v>0</v>
      </c>
      <c r="K26" s="304">
        <f t="shared" si="24"/>
        <v>0</v>
      </c>
    </row>
    <row r="27" ht="15.75" customHeight="1">
      <c r="A27" s="381">
        <v>144.0</v>
      </c>
      <c r="B27" s="380" t="s">
        <v>847</v>
      </c>
      <c r="C27" s="56">
        <f>'3a. Typical Mode Sequence (Powe'!C27</f>
        <v>124.5</v>
      </c>
      <c r="D27" s="379">
        <v>110.0</v>
      </c>
      <c r="E27" s="304">
        <f t="shared" ref="E27:K27" si="25">IF($B27=E$2,$C27,0)</f>
        <v>124.5</v>
      </c>
      <c r="F27" s="304">
        <f t="shared" si="25"/>
        <v>0</v>
      </c>
      <c r="G27" s="304">
        <f t="shared" si="25"/>
        <v>0</v>
      </c>
      <c r="H27" s="304">
        <f t="shared" si="25"/>
        <v>0</v>
      </c>
      <c r="I27" s="304">
        <f t="shared" si="25"/>
        <v>0</v>
      </c>
      <c r="J27" s="304">
        <f t="shared" si="25"/>
        <v>0</v>
      </c>
      <c r="K27" s="304">
        <f t="shared" si="25"/>
        <v>0</v>
      </c>
    </row>
    <row r="28" ht="15.75" customHeight="1">
      <c r="A28" s="381">
        <v>150.0</v>
      </c>
      <c r="B28" s="380" t="s">
        <v>847</v>
      </c>
      <c r="C28" s="56">
        <f>'3a. Typical Mode Sequence (Powe'!C28</f>
        <v>124.5</v>
      </c>
      <c r="D28" s="379">
        <v>110.0</v>
      </c>
      <c r="E28" s="304">
        <f t="shared" ref="E28:K28" si="26">IF($B28=E$2,$C28,0)</f>
        <v>124.5</v>
      </c>
      <c r="F28" s="304">
        <f t="shared" si="26"/>
        <v>0</v>
      </c>
      <c r="G28" s="304">
        <f t="shared" si="26"/>
        <v>0</v>
      </c>
      <c r="H28" s="304">
        <f t="shared" si="26"/>
        <v>0</v>
      </c>
      <c r="I28" s="304">
        <f t="shared" si="26"/>
        <v>0</v>
      </c>
      <c r="J28" s="304">
        <f t="shared" si="26"/>
        <v>0</v>
      </c>
      <c r="K28" s="304">
        <f t="shared" si="26"/>
        <v>0</v>
      </c>
    </row>
    <row r="29" ht="15.75" customHeight="1">
      <c r="A29" s="381">
        <v>156.0</v>
      </c>
      <c r="B29" s="380" t="s">
        <v>847</v>
      </c>
      <c r="C29" s="56">
        <f>'3a. Typical Mode Sequence (Powe'!C29</f>
        <v>124.5</v>
      </c>
      <c r="D29" s="379">
        <v>110.0</v>
      </c>
      <c r="E29" s="304">
        <f t="shared" ref="E29:K29" si="27">IF($B29=E$2,$C29,0)</f>
        <v>124.5</v>
      </c>
      <c r="F29" s="304">
        <f t="shared" si="27"/>
        <v>0</v>
      </c>
      <c r="G29" s="304">
        <f t="shared" si="27"/>
        <v>0</v>
      </c>
      <c r="H29" s="304">
        <f t="shared" si="27"/>
        <v>0</v>
      </c>
      <c r="I29" s="304">
        <f t="shared" si="27"/>
        <v>0</v>
      </c>
      <c r="J29" s="304">
        <f t="shared" si="27"/>
        <v>0</v>
      </c>
      <c r="K29" s="304">
        <f t="shared" si="27"/>
        <v>0</v>
      </c>
    </row>
    <row r="30" ht="15.75" customHeight="1">
      <c r="A30" s="381">
        <v>162.0</v>
      </c>
      <c r="B30" s="380" t="s">
        <v>847</v>
      </c>
      <c r="C30" s="56">
        <f>'3a. Typical Mode Sequence (Powe'!C30</f>
        <v>124.5</v>
      </c>
      <c r="D30" s="379">
        <v>110.0</v>
      </c>
      <c r="E30" s="304">
        <f t="shared" ref="E30:K30" si="28">IF($B30=E$2,$C30,0)</f>
        <v>124.5</v>
      </c>
      <c r="F30" s="304">
        <f t="shared" si="28"/>
        <v>0</v>
      </c>
      <c r="G30" s="304">
        <f t="shared" si="28"/>
        <v>0</v>
      </c>
      <c r="H30" s="304">
        <f t="shared" si="28"/>
        <v>0</v>
      </c>
      <c r="I30" s="304">
        <f t="shared" si="28"/>
        <v>0</v>
      </c>
      <c r="J30" s="304">
        <f t="shared" si="28"/>
        <v>0</v>
      </c>
      <c r="K30" s="304">
        <f t="shared" si="28"/>
        <v>0</v>
      </c>
    </row>
    <row r="31" ht="15.75" customHeight="1">
      <c r="A31" s="381">
        <v>168.0</v>
      </c>
      <c r="B31" s="380" t="s">
        <v>847</v>
      </c>
      <c r="C31" s="56">
        <f>'3a. Typical Mode Sequence (Powe'!C31</f>
        <v>124.5</v>
      </c>
      <c r="D31" s="379">
        <v>110.0</v>
      </c>
      <c r="E31" s="304">
        <f t="shared" ref="E31:K31" si="29">IF($B31=E$2,$C31,0)</f>
        <v>124.5</v>
      </c>
      <c r="F31" s="304">
        <f t="shared" si="29"/>
        <v>0</v>
      </c>
      <c r="G31" s="304">
        <f t="shared" si="29"/>
        <v>0</v>
      </c>
      <c r="H31" s="304">
        <f t="shared" si="29"/>
        <v>0</v>
      </c>
      <c r="I31" s="304">
        <f t="shared" si="29"/>
        <v>0</v>
      </c>
      <c r="J31" s="304">
        <f t="shared" si="29"/>
        <v>0</v>
      </c>
      <c r="K31" s="304">
        <f t="shared" si="29"/>
        <v>0</v>
      </c>
    </row>
    <row r="32" ht="15.75" customHeight="1">
      <c r="A32" s="381">
        <v>174.0</v>
      </c>
      <c r="B32" s="380" t="s">
        <v>847</v>
      </c>
      <c r="C32" s="56">
        <f>'3a. Typical Mode Sequence (Powe'!C32</f>
        <v>124.5</v>
      </c>
      <c r="D32" s="379">
        <v>110.0</v>
      </c>
      <c r="E32" s="304">
        <f t="shared" ref="E32:K32" si="30">IF($B32=E$2,$C32,0)</f>
        <v>124.5</v>
      </c>
      <c r="F32" s="304">
        <f t="shared" si="30"/>
        <v>0</v>
      </c>
      <c r="G32" s="304">
        <f t="shared" si="30"/>
        <v>0</v>
      </c>
      <c r="H32" s="304">
        <f t="shared" si="30"/>
        <v>0</v>
      </c>
      <c r="I32" s="304">
        <f t="shared" si="30"/>
        <v>0</v>
      </c>
      <c r="J32" s="304">
        <f t="shared" si="30"/>
        <v>0</v>
      </c>
      <c r="K32" s="304">
        <f t="shared" si="30"/>
        <v>0</v>
      </c>
    </row>
    <row r="33" ht="15.75" customHeight="1">
      <c r="A33" s="381">
        <v>180.0</v>
      </c>
      <c r="B33" s="380" t="s">
        <v>847</v>
      </c>
      <c r="C33" s="56">
        <f>'3a. Typical Mode Sequence (Powe'!C33</f>
        <v>124.5</v>
      </c>
      <c r="D33" s="379">
        <v>110.0</v>
      </c>
      <c r="E33" s="304">
        <f t="shared" ref="E33:K33" si="31">IF($B33=E$2,$C33,0)</f>
        <v>124.5</v>
      </c>
      <c r="F33" s="304">
        <f t="shared" si="31"/>
        <v>0</v>
      </c>
      <c r="G33" s="304">
        <f t="shared" si="31"/>
        <v>0</v>
      </c>
      <c r="H33" s="304">
        <f t="shared" si="31"/>
        <v>0</v>
      </c>
      <c r="I33" s="304">
        <f t="shared" si="31"/>
        <v>0</v>
      </c>
      <c r="J33" s="304">
        <f t="shared" si="31"/>
        <v>0</v>
      </c>
      <c r="K33" s="304">
        <f t="shared" si="31"/>
        <v>0</v>
      </c>
    </row>
    <row r="34" ht="15.75" customHeight="1">
      <c r="A34" s="381">
        <v>186.0</v>
      </c>
      <c r="B34" s="380" t="s">
        <v>847</v>
      </c>
      <c r="C34" s="56">
        <f>'3a. Typical Mode Sequence (Powe'!C34</f>
        <v>124.5</v>
      </c>
      <c r="D34" s="379">
        <v>110.0</v>
      </c>
      <c r="E34" s="304">
        <f t="shared" ref="E34:K34" si="32">IF($B34=E$2,$C34,0)</f>
        <v>124.5</v>
      </c>
      <c r="F34" s="304">
        <f t="shared" si="32"/>
        <v>0</v>
      </c>
      <c r="G34" s="304">
        <f t="shared" si="32"/>
        <v>0</v>
      </c>
      <c r="H34" s="304">
        <f t="shared" si="32"/>
        <v>0</v>
      </c>
      <c r="I34" s="304">
        <f t="shared" si="32"/>
        <v>0</v>
      </c>
      <c r="J34" s="304">
        <f t="shared" si="32"/>
        <v>0</v>
      </c>
      <c r="K34" s="304">
        <f t="shared" si="32"/>
        <v>0</v>
      </c>
    </row>
    <row r="35" ht="15.75" customHeight="1">
      <c r="A35" s="381">
        <v>192.0</v>
      </c>
      <c r="B35" s="380" t="s">
        <v>847</v>
      </c>
      <c r="C35" s="56">
        <f>'3a. Typical Mode Sequence (Powe'!C35</f>
        <v>124.5</v>
      </c>
      <c r="D35" s="379">
        <v>110.0</v>
      </c>
      <c r="E35" s="304">
        <f t="shared" ref="E35:K35" si="33">IF($B35=E$2,$C35,0)</f>
        <v>124.5</v>
      </c>
      <c r="F35" s="304">
        <f t="shared" si="33"/>
        <v>0</v>
      </c>
      <c r="G35" s="304">
        <f t="shared" si="33"/>
        <v>0</v>
      </c>
      <c r="H35" s="304">
        <f t="shared" si="33"/>
        <v>0</v>
      </c>
      <c r="I35" s="304">
        <f t="shared" si="33"/>
        <v>0</v>
      </c>
      <c r="J35" s="304">
        <f t="shared" si="33"/>
        <v>0</v>
      </c>
      <c r="K35" s="304">
        <f t="shared" si="33"/>
        <v>0</v>
      </c>
    </row>
    <row r="36" ht="15.75" customHeight="1">
      <c r="A36" s="381">
        <v>198.0</v>
      </c>
      <c r="B36" s="380" t="s">
        <v>847</v>
      </c>
      <c r="C36" s="56">
        <f>'3a. Typical Mode Sequence (Powe'!C36</f>
        <v>124.5</v>
      </c>
      <c r="D36" s="379">
        <v>110.0</v>
      </c>
      <c r="E36" s="304">
        <f t="shared" ref="E36:K36" si="34">IF($B36=E$2,$C36,0)</f>
        <v>124.5</v>
      </c>
      <c r="F36" s="304">
        <f t="shared" si="34"/>
        <v>0</v>
      </c>
      <c r="G36" s="304">
        <f t="shared" si="34"/>
        <v>0</v>
      </c>
      <c r="H36" s="304">
        <f t="shared" si="34"/>
        <v>0</v>
      </c>
      <c r="I36" s="304">
        <f t="shared" si="34"/>
        <v>0</v>
      </c>
      <c r="J36" s="304">
        <f t="shared" si="34"/>
        <v>0</v>
      </c>
      <c r="K36" s="304">
        <f t="shared" si="34"/>
        <v>0</v>
      </c>
    </row>
    <row r="37" ht="15.75" customHeight="1">
      <c r="A37" s="381">
        <v>204.0</v>
      </c>
      <c r="B37" s="380" t="s">
        <v>847</v>
      </c>
      <c r="C37" s="56">
        <f>'3a. Typical Mode Sequence (Powe'!C37</f>
        <v>124.5</v>
      </c>
      <c r="D37" s="379">
        <v>110.0</v>
      </c>
      <c r="E37" s="304">
        <f t="shared" ref="E37:K37" si="35">IF($B37=E$2,$C37,0)</f>
        <v>124.5</v>
      </c>
      <c r="F37" s="304">
        <f t="shared" si="35"/>
        <v>0</v>
      </c>
      <c r="G37" s="304">
        <f t="shared" si="35"/>
        <v>0</v>
      </c>
      <c r="H37" s="304">
        <f t="shared" si="35"/>
        <v>0</v>
      </c>
      <c r="I37" s="304">
        <f t="shared" si="35"/>
        <v>0</v>
      </c>
      <c r="J37" s="304">
        <f t="shared" si="35"/>
        <v>0</v>
      </c>
      <c r="K37" s="304">
        <f t="shared" si="35"/>
        <v>0</v>
      </c>
    </row>
    <row r="38" ht="15.75" customHeight="1">
      <c r="A38" s="381">
        <v>210.0</v>
      </c>
      <c r="B38" s="380" t="s">
        <v>847</v>
      </c>
      <c r="C38" s="56">
        <f>'3a. Typical Mode Sequence (Powe'!C38</f>
        <v>124.5</v>
      </c>
      <c r="D38" s="379">
        <v>110.0</v>
      </c>
      <c r="E38" s="304">
        <f t="shared" ref="E38:K38" si="36">IF($B38=E$2,$C38,0)</f>
        <v>124.5</v>
      </c>
      <c r="F38" s="304">
        <f t="shared" si="36"/>
        <v>0</v>
      </c>
      <c r="G38" s="304">
        <f t="shared" si="36"/>
        <v>0</v>
      </c>
      <c r="H38" s="304">
        <f t="shared" si="36"/>
        <v>0</v>
      </c>
      <c r="I38" s="304">
        <f t="shared" si="36"/>
        <v>0</v>
      </c>
      <c r="J38" s="304">
        <f t="shared" si="36"/>
        <v>0</v>
      </c>
      <c r="K38" s="304">
        <f t="shared" si="36"/>
        <v>0</v>
      </c>
    </row>
    <row r="39" ht="15.75" customHeight="1">
      <c r="A39" s="381">
        <v>216.0</v>
      </c>
      <c r="B39" s="380" t="s">
        <v>847</v>
      </c>
      <c r="C39" s="56">
        <f>'3a. Typical Mode Sequence (Powe'!C39</f>
        <v>124.5</v>
      </c>
      <c r="D39" s="379">
        <v>110.0</v>
      </c>
      <c r="E39" s="304">
        <f t="shared" ref="E39:K39" si="37">IF($B39=E$2,$C39,0)</f>
        <v>124.5</v>
      </c>
      <c r="F39" s="304">
        <f t="shared" si="37"/>
        <v>0</v>
      </c>
      <c r="G39" s="304">
        <f t="shared" si="37"/>
        <v>0</v>
      </c>
      <c r="H39" s="304">
        <f t="shared" si="37"/>
        <v>0</v>
      </c>
      <c r="I39" s="304">
        <f t="shared" si="37"/>
        <v>0</v>
      </c>
      <c r="J39" s="304">
        <f t="shared" si="37"/>
        <v>0</v>
      </c>
      <c r="K39" s="304">
        <f t="shared" si="37"/>
        <v>0</v>
      </c>
    </row>
    <row r="40" ht="15.75" customHeight="1">
      <c r="A40" s="381">
        <v>222.0</v>
      </c>
      <c r="B40" s="380" t="s">
        <v>847</v>
      </c>
      <c r="C40" s="56">
        <f>'3a. Typical Mode Sequence (Powe'!C40</f>
        <v>124.5</v>
      </c>
      <c r="D40" s="379">
        <v>110.0</v>
      </c>
      <c r="E40" s="304">
        <f t="shared" ref="E40:K40" si="38">IF($B40=E$2,$C40,0)</f>
        <v>124.5</v>
      </c>
      <c r="F40" s="304">
        <f t="shared" si="38"/>
        <v>0</v>
      </c>
      <c r="G40" s="304">
        <f t="shared" si="38"/>
        <v>0</v>
      </c>
      <c r="H40" s="304">
        <f t="shared" si="38"/>
        <v>0</v>
      </c>
      <c r="I40" s="304">
        <f t="shared" si="38"/>
        <v>0</v>
      </c>
      <c r="J40" s="304">
        <f t="shared" si="38"/>
        <v>0</v>
      </c>
      <c r="K40" s="304">
        <f t="shared" si="38"/>
        <v>0</v>
      </c>
    </row>
    <row r="41" ht="15.75" customHeight="1">
      <c r="A41" s="381">
        <v>228.0</v>
      </c>
      <c r="B41" s="380" t="s">
        <v>847</v>
      </c>
      <c r="C41" s="56">
        <f>'3a. Typical Mode Sequence (Powe'!C41</f>
        <v>124.5</v>
      </c>
      <c r="D41" s="379">
        <v>110.0</v>
      </c>
      <c r="E41" s="304">
        <f t="shared" ref="E41:K41" si="39">IF($B41=E$2,$C41,0)</f>
        <v>124.5</v>
      </c>
      <c r="F41" s="304">
        <f t="shared" si="39"/>
        <v>0</v>
      </c>
      <c r="G41" s="304">
        <f t="shared" si="39"/>
        <v>0</v>
      </c>
      <c r="H41" s="304">
        <f t="shared" si="39"/>
        <v>0</v>
      </c>
      <c r="I41" s="304">
        <f t="shared" si="39"/>
        <v>0</v>
      </c>
      <c r="J41" s="304">
        <f t="shared" si="39"/>
        <v>0</v>
      </c>
      <c r="K41" s="304">
        <f t="shared" si="39"/>
        <v>0</v>
      </c>
    </row>
    <row r="42" ht="15.75" customHeight="1">
      <c r="A42" s="381">
        <v>234.0</v>
      </c>
      <c r="B42" s="380" t="s">
        <v>847</v>
      </c>
      <c r="C42" s="56">
        <f>'3a. Typical Mode Sequence (Powe'!C42</f>
        <v>124.5</v>
      </c>
      <c r="D42" s="379">
        <v>110.0</v>
      </c>
      <c r="E42" s="304">
        <f t="shared" ref="E42:K42" si="40">IF($B42=E$2,$C42,0)</f>
        <v>124.5</v>
      </c>
      <c r="F42" s="304">
        <f t="shared" si="40"/>
        <v>0</v>
      </c>
      <c r="G42" s="304">
        <f t="shared" si="40"/>
        <v>0</v>
      </c>
      <c r="H42" s="304">
        <f t="shared" si="40"/>
        <v>0</v>
      </c>
      <c r="I42" s="304">
        <f t="shared" si="40"/>
        <v>0</v>
      </c>
      <c r="J42" s="304">
        <f t="shared" si="40"/>
        <v>0</v>
      </c>
      <c r="K42" s="304">
        <f t="shared" si="40"/>
        <v>0</v>
      </c>
    </row>
    <row r="43" ht="15.75" customHeight="1">
      <c r="A43" s="381">
        <v>240.0</v>
      </c>
      <c r="B43" s="380" t="s">
        <v>847</v>
      </c>
      <c r="C43" s="56">
        <f>'3a. Typical Mode Sequence (Powe'!C43</f>
        <v>124.5</v>
      </c>
      <c r="D43" s="379">
        <v>110.0</v>
      </c>
      <c r="E43" s="304">
        <f t="shared" ref="E43:K43" si="41">IF($B43=E$2,$C43,0)</f>
        <v>124.5</v>
      </c>
      <c r="F43" s="304">
        <f t="shared" si="41"/>
        <v>0</v>
      </c>
      <c r="G43" s="304">
        <f t="shared" si="41"/>
        <v>0</v>
      </c>
      <c r="H43" s="304">
        <f t="shared" si="41"/>
        <v>0</v>
      </c>
      <c r="I43" s="304">
        <f t="shared" si="41"/>
        <v>0</v>
      </c>
      <c r="J43" s="304">
        <f t="shared" si="41"/>
        <v>0</v>
      </c>
      <c r="K43" s="304">
        <f t="shared" si="41"/>
        <v>0</v>
      </c>
    </row>
    <row r="44" ht="15.75" customHeight="1">
      <c r="A44" s="381">
        <v>246.0</v>
      </c>
      <c r="B44" s="380" t="s">
        <v>847</v>
      </c>
      <c r="C44" s="56">
        <f>'3a. Typical Mode Sequence (Powe'!C44</f>
        <v>124.5</v>
      </c>
      <c r="D44" s="379">
        <v>110.0</v>
      </c>
      <c r="E44" s="304">
        <f t="shared" ref="E44:K44" si="42">IF($B44=E$2,$C44,0)</f>
        <v>124.5</v>
      </c>
      <c r="F44" s="304">
        <f t="shared" si="42"/>
        <v>0</v>
      </c>
      <c r="G44" s="304">
        <f t="shared" si="42"/>
        <v>0</v>
      </c>
      <c r="H44" s="304">
        <f t="shared" si="42"/>
        <v>0</v>
      </c>
      <c r="I44" s="304">
        <f t="shared" si="42"/>
        <v>0</v>
      </c>
      <c r="J44" s="304">
        <f t="shared" si="42"/>
        <v>0</v>
      </c>
      <c r="K44" s="304">
        <f t="shared" si="42"/>
        <v>0</v>
      </c>
    </row>
    <row r="45" ht="15.75" customHeight="1">
      <c r="A45" s="381">
        <v>252.0</v>
      </c>
      <c r="B45" s="380" t="s">
        <v>847</v>
      </c>
      <c r="C45" s="56">
        <f>'3a. Typical Mode Sequence (Powe'!C45</f>
        <v>124.5</v>
      </c>
      <c r="D45" s="379">
        <v>110.0</v>
      </c>
      <c r="E45" s="304">
        <f t="shared" ref="E45:K45" si="43">IF($B45=E$2,$C45,0)</f>
        <v>124.5</v>
      </c>
      <c r="F45" s="304">
        <f t="shared" si="43"/>
        <v>0</v>
      </c>
      <c r="G45" s="304">
        <f t="shared" si="43"/>
        <v>0</v>
      </c>
      <c r="H45" s="304">
        <f t="shared" si="43"/>
        <v>0</v>
      </c>
      <c r="I45" s="304">
        <f t="shared" si="43"/>
        <v>0</v>
      </c>
      <c r="J45" s="304">
        <f t="shared" si="43"/>
        <v>0</v>
      </c>
      <c r="K45" s="304">
        <f t="shared" si="43"/>
        <v>0</v>
      </c>
    </row>
    <row r="46" ht="15.75" customHeight="1">
      <c r="A46" s="381">
        <v>258.0</v>
      </c>
      <c r="B46" s="380" t="s">
        <v>847</v>
      </c>
      <c r="C46" s="56">
        <f>'3a. Typical Mode Sequence (Powe'!C46</f>
        <v>124.5</v>
      </c>
      <c r="D46" s="379">
        <v>110.0</v>
      </c>
      <c r="E46" s="304">
        <f t="shared" ref="E46:K46" si="44">IF($B46=E$2,$C46,0)</f>
        <v>124.5</v>
      </c>
      <c r="F46" s="304">
        <f t="shared" si="44"/>
        <v>0</v>
      </c>
      <c r="G46" s="304">
        <f t="shared" si="44"/>
        <v>0</v>
      </c>
      <c r="H46" s="304">
        <f t="shared" si="44"/>
        <v>0</v>
      </c>
      <c r="I46" s="304">
        <f t="shared" si="44"/>
        <v>0</v>
      </c>
      <c r="J46" s="304">
        <f t="shared" si="44"/>
        <v>0</v>
      </c>
      <c r="K46" s="304">
        <f t="shared" si="44"/>
        <v>0</v>
      </c>
    </row>
    <row r="47" ht="15.75" customHeight="1">
      <c r="A47" s="381">
        <v>264.0</v>
      </c>
      <c r="B47" s="380" t="s">
        <v>847</v>
      </c>
      <c r="C47" s="56">
        <f>'3a. Typical Mode Sequence (Powe'!C47</f>
        <v>124.5</v>
      </c>
      <c r="D47" s="379">
        <v>110.0</v>
      </c>
      <c r="E47" s="304">
        <f t="shared" ref="E47:K47" si="45">IF($B47=E$2,$C47,0)</f>
        <v>124.5</v>
      </c>
      <c r="F47" s="304">
        <f t="shared" si="45"/>
        <v>0</v>
      </c>
      <c r="G47" s="304">
        <f t="shared" si="45"/>
        <v>0</v>
      </c>
      <c r="H47" s="304">
        <f t="shared" si="45"/>
        <v>0</v>
      </c>
      <c r="I47" s="304">
        <f t="shared" si="45"/>
        <v>0</v>
      </c>
      <c r="J47" s="304">
        <f t="shared" si="45"/>
        <v>0</v>
      </c>
      <c r="K47" s="304">
        <f t="shared" si="45"/>
        <v>0</v>
      </c>
    </row>
    <row r="48" ht="15.75" customHeight="1">
      <c r="A48" s="381">
        <v>270.0</v>
      </c>
      <c r="B48" s="380" t="s">
        <v>847</v>
      </c>
      <c r="C48" s="56">
        <f>'3a. Typical Mode Sequence (Powe'!C48</f>
        <v>124.5</v>
      </c>
      <c r="D48" s="379">
        <v>110.0</v>
      </c>
      <c r="E48" s="304">
        <f t="shared" ref="E48:K48" si="46">IF($B48=E$2,$C48,0)</f>
        <v>124.5</v>
      </c>
      <c r="F48" s="304">
        <f t="shared" si="46"/>
        <v>0</v>
      </c>
      <c r="G48" s="304">
        <f t="shared" si="46"/>
        <v>0</v>
      </c>
      <c r="H48" s="304">
        <f t="shared" si="46"/>
        <v>0</v>
      </c>
      <c r="I48" s="304">
        <f t="shared" si="46"/>
        <v>0</v>
      </c>
      <c r="J48" s="304">
        <f t="shared" si="46"/>
        <v>0</v>
      </c>
      <c r="K48" s="304">
        <f t="shared" si="46"/>
        <v>0</v>
      </c>
    </row>
    <row r="49" ht="15.75" customHeight="1">
      <c r="A49" s="381">
        <v>276.0</v>
      </c>
      <c r="B49" s="380" t="s">
        <v>847</v>
      </c>
      <c r="C49" s="56">
        <f>'3a. Typical Mode Sequence (Powe'!C49</f>
        <v>124.5</v>
      </c>
      <c r="D49" s="379">
        <v>110.0</v>
      </c>
      <c r="E49" s="304">
        <f t="shared" ref="E49:K49" si="47">IF($B49=E$2,$C49,0)</f>
        <v>124.5</v>
      </c>
      <c r="F49" s="304">
        <f t="shared" si="47"/>
        <v>0</v>
      </c>
      <c r="G49" s="304">
        <f t="shared" si="47"/>
        <v>0</v>
      </c>
      <c r="H49" s="304">
        <f t="shared" si="47"/>
        <v>0</v>
      </c>
      <c r="I49" s="304">
        <f t="shared" si="47"/>
        <v>0</v>
      </c>
      <c r="J49" s="304">
        <f t="shared" si="47"/>
        <v>0</v>
      </c>
      <c r="K49" s="304">
        <f t="shared" si="47"/>
        <v>0</v>
      </c>
    </row>
    <row r="50" ht="15.75" customHeight="1">
      <c r="A50" s="381">
        <v>282.0</v>
      </c>
      <c r="B50" s="380" t="s">
        <v>847</v>
      </c>
      <c r="C50" s="56">
        <f>'3a. Typical Mode Sequence (Powe'!C50</f>
        <v>124.5</v>
      </c>
      <c r="D50" s="379">
        <v>110.0</v>
      </c>
      <c r="E50" s="304">
        <f t="shared" ref="E50:K50" si="48">IF($B50=E$2,$C50,0)</f>
        <v>124.5</v>
      </c>
      <c r="F50" s="304">
        <f t="shared" si="48"/>
        <v>0</v>
      </c>
      <c r="G50" s="304">
        <f t="shared" si="48"/>
        <v>0</v>
      </c>
      <c r="H50" s="304">
        <f t="shared" si="48"/>
        <v>0</v>
      </c>
      <c r="I50" s="304">
        <f t="shared" si="48"/>
        <v>0</v>
      </c>
      <c r="J50" s="304">
        <f t="shared" si="48"/>
        <v>0</v>
      </c>
      <c r="K50" s="304">
        <f t="shared" si="48"/>
        <v>0</v>
      </c>
    </row>
    <row r="51" ht="15.75" customHeight="1">
      <c r="A51" s="381">
        <v>288.0</v>
      </c>
      <c r="B51" s="380" t="s">
        <v>847</v>
      </c>
      <c r="C51" s="56">
        <f>'3a. Typical Mode Sequence (Powe'!C51</f>
        <v>124.5</v>
      </c>
      <c r="D51" s="379">
        <v>110.0</v>
      </c>
      <c r="E51" s="304">
        <f t="shared" ref="E51:K51" si="49">IF($B51=E$2,$C51,0)</f>
        <v>124.5</v>
      </c>
      <c r="F51" s="304">
        <f t="shared" si="49"/>
        <v>0</v>
      </c>
      <c r="G51" s="304">
        <f t="shared" si="49"/>
        <v>0</v>
      </c>
      <c r="H51" s="304">
        <f t="shared" si="49"/>
        <v>0</v>
      </c>
      <c r="I51" s="304">
        <f t="shared" si="49"/>
        <v>0</v>
      </c>
      <c r="J51" s="304">
        <f t="shared" si="49"/>
        <v>0</v>
      </c>
      <c r="K51" s="304">
        <f t="shared" si="49"/>
        <v>0</v>
      </c>
    </row>
    <row r="52" ht="15.75" customHeight="1">
      <c r="A52" s="381">
        <v>294.0</v>
      </c>
      <c r="B52" s="380" t="s">
        <v>847</v>
      </c>
      <c r="C52" s="56">
        <f>'3a. Typical Mode Sequence (Powe'!C52</f>
        <v>124.5</v>
      </c>
      <c r="D52" s="379">
        <v>110.0</v>
      </c>
      <c r="E52" s="304">
        <f t="shared" ref="E52:K52" si="50">IF($B52=E$2,$C52,0)</f>
        <v>124.5</v>
      </c>
      <c r="F52" s="304">
        <f t="shared" si="50"/>
        <v>0</v>
      </c>
      <c r="G52" s="304">
        <f t="shared" si="50"/>
        <v>0</v>
      </c>
      <c r="H52" s="304">
        <f t="shared" si="50"/>
        <v>0</v>
      </c>
      <c r="I52" s="304">
        <f t="shared" si="50"/>
        <v>0</v>
      </c>
      <c r="J52" s="304">
        <f t="shared" si="50"/>
        <v>0</v>
      </c>
      <c r="K52" s="304">
        <f t="shared" si="50"/>
        <v>0</v>
      </c>
    </row>
    <row r="53" ht="15.75" customHeight="1">
      <c r="A53" s="381">
        <v>300.0</v>
      </c>
      <c r="B53" s="380" t="s">
        <v>851</v>
      </c>
      <c r="C53" s="56">
        <f>'3a. Typical Mode Sequence (Powe'!C53</f>
        <v>81.5</v>
      </c>
      <c r="D53" s="379">
        <v>110.0</v>
      </c>
      <c r="E53" s="304">
        <f t="shared" ref="E53:K53" si="51">IF($B53=E$2,$C53,0)</f>
        <v>0</v>
      </c>
      <c r="F53" s="304">
        <f t="shared" si="51"/>
        <v>0</v>
      </c>
      <c r="G53" s="304">
        <f t="shared" si="51"/>
        <v>0</v>
      </c>
      <c r="H53" s="304">
        <f t="shared" si="51"/>
        <v>81.5</v>
      </c>
      <c r="I53" s="304">
        <f t="shared" si="51"/>
        <v>0</v>
      </c>
      <c r="J53" s="304">
        <f t="shared" si="51"/>
        <v>0</v>
      </c>
      <c r="K53" s="304">
        <f t="shared" si="51"/>
        <v>0</v>
      </c>
    </row>
    <row r="54" ht="15.75" customHeight="1">
      <c r="A54" s="381">
        <v>306.0</v>
      </c>
      <c r="B54" s="380" t="s">
        <v>851</v>
      </c>
      <c r="C54" s="56">
        <f>'3a. Typical Mode Sequence (Powe'!C54</f>
        <v>81.5</v>
      </c>
      <c r="D54" s="379">
        <v>110.0</v>
      </c>
      <c r="E54" s="304">
        <f t="shared" ref="E54:K54" si="52">IF($B54=E$2,$C54,0)</f>
        <v>0</v>
      </c>
      <c r="F54" s="304">
        <f t="shared" si="52"/>
        <v>0</v>
      </c>
      <c r="G54" s="304">
        <f t="shared" si="52"/>
        <v>0</v>
      </c>
      <c r="H54" s="304">
        <f t="shared" si="52"/>
        <v>81.5</v>
      </c>
      <c r="I54" s="304">
        <f t="shared" si="52"/>
        <v>0</v>
      </c>
      <c r="J54" s="304">
        <f t="shared" si="52"/>
        <v>0</v>
      </c>
      <c r="K54" s="304">
        <f t="shared" si="52"/>
        <v>0</v>
      </c>
    </row>
    <row r="55" ht="15.75" customHeight="1">
      <c r="A55" s="381">
        <v>312.0</v>
      </c>
      <c r="B55" s="380" t="s">
        <v>851</v>
      </c>
      <c r="C55" s="56">
        <f>'3a. Typical Mode Sequence (Powe'!C55</f>
        <v>81.5</v>
      </c>
      <c r="D55" s="379">
        <v>110.0</v>
      </c>
      <c r="E55" s="304">
        <f t="shared" ref="E55:K55" si="53">IF($B55=E$2,$C55,0)</f>
        <v>0</v>
      </c>
      <c r="F55" s="304">
        <f t="shared" si="53"/>
        <v>0</v>
      </c>
      <c r="G55" s="304">
        <f t="shared" si="53"/>
        <v>0</v>
      </c>
      <c r="H55" s="304">
        <f t="shared" si="53"/>
        <v>81.5</v>
      </c>
      <c r="I55" s="304">
        <f t="shared" si="53"/>
        <v>0</v>
      </c>
      <c r="J55" s="304">
        <f t="shared" si="53"/>
        <v>0</v>
      </c>
      <c r="K55" s="304">
        <f t="shared" si="53"/>
        <v>0</v>
      </c>
    </row>
    <row r="56" ht="15.75" customHeight="1">
      <c r="A56" s="381">
        <v>318.0</v>
      </c>
      <c r="B56" s="380" t="s">
        <v>851</v>
      </c>
      <c r="C56" s="56">
        <f>'3a. Typical Mode Sequence (Powe'!C56</f>
        <v>81.5</v>
      </c>
      <c r="D56" s="379">
        <v>110.0</v>
      </c>
      <c r="E56" s="304">
        <f t="shared" ref="E56:K56" si="54">IF($B56=E$2,$C56,0)</f>
        <v>0</v>
      </c>
      <c r="F56" s="304">
        <f t="shared" si="54"/>
        <v>0</v>
      </c>
      <c r="G56" s="304">
        <f t="shared" si="54"/>
        <v>0</v>
      </c>
      <c r="H56" s="304">
        <f t="shared" si="54"/>
        <v>81.5</v>
      </c>
      <c r="I56" s="304">
        <f t="shared" si="54"/>
        <v>0</v>
      </c>
      <c r="J56" s="304">
        <f t="shared" si="54"/>
        <v>0</v>
      </c>
      <c r="K56" s="304">
        <f t="shared" si="54"/>
        <v>0</v>
      </c>
    </row>
    <row r="57" ht="15.75" customHeight="1">
      <c r="A57" s="381">
        <v>324.0</v>
      </c>
      <c r="B57" s="380" t="s">
        <v>851</v>
      </c>
      <c r="C57" s="56">
        <f>'3a. Typical Mode Sequence (Powe'!C57</f>
        <v>81.5</v>
      </c>
      <c r="D57" s="379">
        <v>110.0</v>
      </c>
      <c r="E57" s="304">
        <f t="shared" ref="E57:K57" si="55">IF($B57=E$2,$C57,0)</f>
        <v>0</v>
      </c>
      <c r="F57" s="304">
        <f t="shared" si="55"/>
        <v>0</v>
      </c>
      <c r="G57" s="304">
        <f t="shared" si="55"/>
        <v>0</v>
      </c>
      <c r="H57" s="304">
        <f t="shared" si="55"/>
        <v>81.5</v>
      </c>
      <c r="I57" s="304">
        <f t="shared" si="55"/>
        <v>0</v>
      </c>
      <c r="J57" s="304">
        <f t="shared" si="55"/>
        <v>0</v>
      </c>
      <c r="K57" s="304">
        <f t="shared" si="55"/>
        <v>0</v>
      </c>
    </row>
    <row r="58" ht="15.75" customHeight="1">
      <c r="A58" s="381">
        <v>330.0</v>
      </c>
      <c r="B58" s="380" t="s">
        <v>851</v>
      </c>
      <c r="C58" s="56">
        <f>'3a. Typical Mode Sequence (Powe'!C58</f>
        <v>81.5</v>
      </c>
      <c r="D58" s="379">
        <v>110.0</v>
      </c>
      <c r="E58" s="304">
        <f t="shared" ref="E58:K58" si="56">IF($B58=E$2,$C58,0)</f>
        <v>0</v>
      </c>
      <c r="F58" s="304">
        <f t="shared" si="56"/>
        <v>0</v>
      </c>
      <c r="G58" s="304">
        <f t="shared" si="56"/>
        <v>0</v>
      </c>
      <c r="H58" s="304">
        <f t="shared" si="56"/>
        <v>81.5</v>
      </c>
      <c r="I58" s="304">
        <f t="shared" si="56"/>
        <v>0</v>
      </c>
      <c r="J58" s="304">
        <f t="shared" si="56"/>
        <v>0</v>
      </c>
      <c r="K58" s="304">
        <f t="shared" si="56"/>
        <v>0</v>
      </c>
    </row>
    <row r="59" ht="15.75" customHeight="1">
      <c r="A59" s="381">
        <v>336.0</v>
      </c>
      <c r="B59" s="380" t="s">
        <v>851</v>
      </c>
      <c r="C59" s="56">
        <f>'3a. Typical Mode Sequence (Powe'!C59</f>
        <v>81.5</v>
      </c>
      <c r="D59" s="379">
        <v>110.0</v>
      </c>
      <c r="E59" s="304">
        <f t="shared" ref="E59:K59" si="57">IF($B59=E$2,$C59,0)</f>
        <v>0</v>
      </c>
      <c r="F59" s="304">
        <f t="shared" si="57"/>
        <v>0</v>
      </c>
      <c r="G59" s="304">
        <f t="shared" si="57"/>
        <v>0</v>
      </c>
      <c r="H59" s="304">
        <f t="shared" si="57"/>
        <v>81.5</v>
      </c>
      <c r="I59" s="304">
        <f t="shared" si="57"/>
        <v>0</v>
      </c>
      <c r="J59" s="304">
        <f t="shared" si="57"/>
        <v>0</v>
      </c>
      <c r="K59" s="304">
        <f t="shared" si="57"/>
        <v>0</v>
      </c>
    </row>
    <row r="60" ht="15.75" customHeight="1">
      <c r="A60" s="381">
        <v>342.0</v>
      </c>
      <c r="B60" s="380" t="s">
        <v>851</v>
      </c>
      <c r="C60" s="56">
        <f>'3a. Typical Mode Sequence (Powe'!C60</f>
        <v>81.5</v>
      </c>
      <c r="D60" s="379">
        <v>110.0</v>
      </c>
      <c r="E60" s="304">
        <f t="shared" ref="E60:K60" si="58">IF($B60=E$2,$C60,0)</f>
        <v>0</v>
      </c>
      <c r="F60" s="304">
        <f t="shared" si="58"/>
        <v>0</v>
      </c>
      <c r="G60" s="304">
        <f t="shared" si="58"/>
        <v>0</v>
      </c>
      <c r="H60" s="304">
        <f t="shared" si="58"/>
        <v>81.5</v>
      </c>
      <c r="I60" s="304">
        <f t="shared" si="58"/>
        <v>0</v>
      </c>
      <c r="J60" s="304">
        <f t="shared" si="58"/>
        <v>0</v>
      </c>
      <c r="K60" s="304">
        <f t="shared" si="58"/>
        <v>0</v>
      </c>
    </row>
    <row r="61" ht="15.75" customHeight="1">
      <c r="A61" s="381">
        <v>348.0</v>
      </c>
      <c r="B61" s="380" t="s">
        <v>851</v>
      </c>
      <c r="C61" s="56">
        <f>'3a. Typical Mode Sequence (Powe'!C61</f>
        <v>81.5</v>
      </c>
      <c r="D61" s="379">
        <v>110.0</v>
      </c>
      <c r="E61" s="304">
        <f t="shared" ref="E61:K61" si="59">IF($B61=E$2,$C61,0)</f>
        <v>0</v>
      </c>
      <c r="F61" s="304">
        <f t="shared" si="59"/>
        <v>0</v>
      </c>
      <c r="G61" s="304">
        <f t="shared" si="59"/>
        <v>0</v>
      </c>
      <c r="H61" s="304">
        <f t="shared" si="59"/>
        <v>81.5</v>
      </c>
      <c r="I61" s="304">
        <f t="shared" si="59"/>
        <v>0</v>
      </c>
      <c r="J61" s="304">
        <f t="shared" si="59"/>
        <v>0</v>
      </c>
      <c r="K61" s="304">
        <f t="shared" si="59"/>
        <v>0</v>
      </c>
    </row>
    <row r="62" ht="15.75" customHeight="1">
      <c r="A62" s="381">
        <v>354.0</v>
      </c>
      <c r="B62" s="380" t="s">
        <v>851</v>
      </c>
      <c r="C62" s="56">
        <f>'3a. Typical Mode Sequence (Powe'!C62</f>
        <v>81.5</v>
      </c>
      <c r="D62" s="379">
        <v>110.0</v>
      </c>
      <c r="E62" s="304">
        <f t="shared" ref="E62:K62" si="60">IF($B62=E$2,$C62,0)</f>
        <v>0</v>
      </c>
      <c r="F62" s="304">
        <f t="shared" si="60"/>
        <v>0</v>
      </c>
      <c r="G62" s="304">
        <f t="shared" si="60"/>
        <v>0</v>
      </c>
      <c r="H62" s="304">
        <f t="shared" si="60"/>
        <v>81.5</v>
      </c>
      <c r="I62" s="304">
        <f t="shared" si="60"/>
        <v>0</v>
      </c>
      <c r="J62" s="304">
        <f t="shared" si="60"/>
        <v>0</v>
      </c>
      <c r="K62" s="304">
        <f t="shared" si="60"/>
        <v>0</v>
      </c>
    </row>
    <row r="63" ht="15.75" customHeight="1">
      <c r="A63" s="381">
        <v>360.0</v>
      </c>
      <c r="B63" s="380" t="s">
        <v>851</v>
      </c>
      <c r="C63" s="56">
        <f>'3a. Typical Mode Sequence (Powe'!C63</f>
        <v>81.5</v>
      </c>
      <c r="D63" s="379">
        <v>110.0</v>
      </c>
      <c r="E63" s="304">
        <f t="shared" ref="E63:K63" si="61">IF($B63=E$2,$C63,0)</f>
        <v>0</v>
      </c>
      <c r="F63" s="304">
        <f t="shared" si="61"/>
        <v>0</v>
      </c>
      <c r="G63" s="304">
        <f t="shared" si="61"/>
        <v>0</v>
      </c>
      <c r="H63" s="304">
        <f t="shared" si="61"/>
        <v>81.5</v>
      </c>
      <c r="I63" s="304">
        <f t="shared" si="61"/>
        <v>0</v>
      </c>
      <c r="J63" s="304">
        <f t="shared" si="61"/>
        <v>0</v>
      </c>
      <c r="K63" s="304">
        <f t="shared" si="61"/>
        <v>0</v>
      </c>
    </row>
    <row r="64" ht="15.75" customHeight="1">
      <c r="A64" s="381">
        <v>366.0</v>
      </c>
      <c r="B64" s="380" t="s">
        <v>851</v>
      </c>
      <c r="C64" s="56">
        <f>'3a. Typical Mode Sequence (Powe'!C64</f>
        <v>81.5</v>
      </c>
      <c r="D64" s="379">
        <v>110.0</v>
      </c>
      <c r="E64" s="304">
        <f t="shared" ref="E64:K64" si="62">IF($B64=E$2,$C64,0)</f>
        <v>0</v>
      </c>
      <c r="F64" s="304">
        <f t="shared" si="62"/>
        <v>0</v>
      </c>
      <c r="G64" s="304">
        <f t="shared" si="62"/>
        <v>0</v>
      </c>
      <c r="H64" s="304">
        <f t="shared" si="62"/>
        <v>81.5</v>
      </c>
      <c r="I64" s="304">
        <f t="shared" si="62"/>
        <v>0</v>
      </c>
      <c r="J64" s="304">
        <f t="shared" si="62"/>
        <v>0</v>
      </c>
      <c r="K64" s="304">
        <f t="shared" si="62"/>
        <v>0</v>
      </c>
    </row>
    <row r="65" ht="15.75" customHeight="1">
      <c r="A65" s="381">
        <v>372.0</v>
      </c>
      <c r="B65" s="380" t="s">
        <v>851</v>
      </c>
      <c r="C65" s="56">
        <f>'3a. Typical Mode Sequence (Powe'!C65</f>
        <v>81.5</v>
      </c>
      <c r="D65" s="379">
        <v>110.0</v>
      </c>
      <c r="E65" s="304">
        <f t="shared" ref="E65:K65" si="63">IF($B65=E$2,$C65,0)</f>
        <v>0</v>
      </c>
      <c r="F65" s="304">
        <f t="shared" si="63"/>
        <v>0</v>
      </c>
      <c r="G65" s="304">
        <f t="shared" si="63"/>
        <v>0</v>
      </c>
      <c r="H65" s="304">
        <f t="shared" si="63"/>
        <v>81.5</v>
      </c>
      <c r="I65" s="304">
        <f t="shared" si="63"/>
        <v>0</v>
      </c>
      <c r="J65" s="304">
        <f t="shared" si="63"/>
        <v>0</v>
      </c>
      <c r="K65" s="304">
        <f t="shared" si="63"/>
        <v>0</v>
      </c>
    </row>
    <row r="66" ht="15.75" customHeight="1">
      <c r="A66" s="381">
        <v>378.0</v>
      </c>
      <c r="B66" s="380" t="s">
        <v>851</v>
      </c>
      <c r="C66" s="56">
        <f>'3a. Typical Mode Sequence (Powe'!C66</f>
        <v>81.5</v>
      </c>
      <c r="D66" s="379">
        <v>110.0</v>
      </c>
      <c r="E66" s="304">
        <f t="shared" ref="E66:K66" si="64">IF($B66=E$2,$C66,0)</f>
        <v>0</v>
      </c>
      <c r="F66" s="304">
        <f t="shared" si="64"/>
        <v>0</v>
      </c>
      <c r="G66" s="304">
        <f t="shared" si="64"/>
        <v>0</v>
      </c>
      <c r="H66" s="304">
        <f t="shared" si="64"/>
        <v>81.5</v>
      </c>
      <c r="I66" s="304">
        <f t="shared" si="64"/>
        <v>0</v>
      </c>
      <c r="J66" s="304">
        <f t="shared" si="64"/>
        <v>0</v>
      </c>
      <c r="K66" s="304">
        <f t="shared" si="64"/>
        <v>0</v>
      </c>
    </row>
    <row r="67" ht="15.75" customHeight="1">
      <c r="A67" s="381">
        <v>384.0</v>
      </c>
      <c r="B67" s="380" t="s">
        <v>851</v>
      </c>
      <c r="C67" s="56">
        <f>'3a. Typical Mode Sequence (Powe'!C67</f>
        <v>81.5</v>
      </c>
      <c r="D67" s="379">
        <v>110.0</v>
      </c>
      <c r="E67" s="304">
        <f t="shared" ref="E67:K67" si="65">IF($B67=E$2,$C67,0)</f>
        <v>0</v>
      </c>
      <c r="F67" s="304">
        <f t="shared" si="65"/>
        <v>0</v>
      </c>
      <c r="G67" s="304">
        <f t="shared" si="65"/>
        <v>0</v>
      </c>
      <c r="H67" s="304">
        <f t="shared" si="65"/>
        <v>81.5</v>
      </c>
      <c r="I67" s="304">
        <f t="shared" si="65"/>
        <v>0</v>
      </c>
      <c r="J67" s="304">
        <f t="shared" si="65"/>
        <v>0</v>
      </c>
      <c r="K67" s="304">
        <f t="shared" si="65"/>
        <v>0</v>
      </c>
    </row>
    <row r="68" ht="15.75" customHeight="1">
      <c r="A68" s="381">
        <v>390.0</v>
      </c>
      <c r="B68" s="380" t="s">
        <v>851</v>
      </c>
      <c r="C68" s="56">
        <f>'3a. Typical Mode Sequence (Powe'!C68</f>
        <v>81.5</v>
      </c>
      <c r="D68" s="379">
        <v>110.0</v>
      </c>
      <c r="E68" s="304">
        <f t="shared" ref="E68:K68" si="66">IF($B68=E$2,$C68,0)</f>
        <v>0</v>
      </c>
      <c r="F68" s="304">
        <f t="shared" si="66"/>
        <v>0</v>
      </c>
      <c r="G68" s="304">
        <f t="shared" si="66"/>
        <v>0</v>
      </c>
      <c r="H68" s="304">
        <f t="shared" si="66"/>
        <v>81.5</v>
      </c>
      <c r="I68" s="304">
        <f t="shared" si="66"/>
        <v>0</v>
      </c>
      <c r="J68" s="304">
        <f t="shared" si="66"/>
        <v>0</v>
      </c>
      <c r="K68" s="304">
        <f t="shared" si="66"/>
        <v>0</v>
      </c>
    </row>
    <row r="69" ht="15.75" customHeight="1">
      <c r="A69" s="381">
        <v>396.0</v>
      </c>
      <c r="B69" s="380" t="s">
        <v>851</v>
      </c>
      <c r="C69" s="56">
        <f>'3a. Typical Mode Sequence (Powe'!C69</f>
        <v>81.5</v>
      </c>
      <c r="D69" s="379">
        <v>110.0</v>
      </c>
      <c r="E69" s="304">
        <f t="shared" ref="E69:K69" si="67">IF($B69=E$2,$C69,0)</f>
        <v>0</v>
      </c>
      <c r="F69" s="304">
        <f t="shared" si="67"/>
        <v>0</v>
      </c>
      <c r="G69" s="304">
        <f t="shared" si="67"/>
        <v>0</v>
      </c>
      <c r="H69" s="304">
        <f t="shared" si="67"/>
        <v>81.5</v>
      </c>
      <c r="I69" s="304">
        <f t="shared" si="67"/>
        <v>0</v>
      </c>
      <c r="J69" s="304">
        <f t="shared" si="67"/>
        <v>0</v>
      </c>
      <c r="K69" s="304">
        <f t="shared" si="67"/>
        <v>0</v>
      </c>
    </row>
    <row r="70" ht="15.75" customHeight="1">
      <c r="A70" s="381">
        <v>402.0</v>
      </c>
      <c r="B70" s="380" t="s">
        <v>851</v>
      </c>
      <c r="C70" s="56">
        <f>'3a. Typical Mode Sequence (Powe'!C70</f>
        <v>81.5</v>
      </c>
      <c r="D70" s="379">
        <v>110.0</v>
      </c>
      <c r="E70" s="304">
        <f t="shared" ref="E70:K70" si="68">IF($B70=E$2,$C70,0)</f>
        <v>0</v>
      </c>
      <c r="F70" s="304">
        <f t="shared" si="68"/>
        <v>0</v>
      </c>
      <c r="G70" s="304">
        <f t="shared" si="68"/>
        <v>0</v>
      </c>
      <c r="H70" s="304">
        <f t="shared" si="68"/>
        <v>81.5</v>
      </c>
      <c r="I70" s="304">
        <f t="shared" si="68"/>
        <v>0</v>
      </c>
      <c r="J70" s="304">
        <f t="shared" si="68"/>
        <v>0</v>
      </c>
      <c r="K70" s="304">
        <f t="shared" si="68"/>
        <v>0</v>
      </c>
    </row>
    <row r="71" ht="15.75" customHeight="1">
      <c r="A71" s="381">
        <v>408.0</v>
      </c>
      <c r="B71" s="380" t="s">
        <v>851</v>
      </c>
      <c r="C71" s="56">
        <f>'3a. Typical Mode Sequence (Powe'!C71</f>
        <v>81.5</v>
      </c>
      <c r="D71" s="379">
        <v>110.0</v>
      </c>
      <c r="E71" s="304">
        <f t="shared" ref="E71:K71" si="69">IF($B71=E$2,$C71,0)</f>
        <v>0</v>
      </c>
      <c r="F71" s="304">
        <f t="shared" si="69"/>
        <v>0</v>
      </c>
      <c r="G71" s="304">
        <f t="shared" si="69"/>
        <v>0</v>
      </c>
      <c r="H71" s="304">
        <f t="shared" si="69"/>
        <v>81.5</v>
      </c>
      <c r="I71" s="304">
        <f t="shared" si="69"/>
        <v>0</v>
      </c>
      <c r="J71" s="304">
        <f t="shared" si="69"/>
        <v>0</v>
      </c>
      <c r="K71" s="304">
        <f t="shared" si="69"/>
        <v>0</v>
      </c>
    </row>
    <row r="72" ht="15.75" customHeight="1">
      <c r="A72" s="381">
        <v>414.0</v>
      </c>
      <c r="B72" s="380" t="s">
        <v>851</v>
      </c>
      <c r="C72" s="56">
        <f>'3a. Typical Mode Sequence (Powe'!C72</f>
        <v>81.5</v>
      </c>
      <c r="D72" s="379">
        <v>110.0</v>
      </c>
      <c r="E72" s="304">
        <f t="shared" ref="E72:K72" si="70">IF($B72=E$2,$C72,0)</f>
        <v>0</v>
      </c>
      <c r="F72" s="304">
        <f t="shared" si="70"/>
        <v>0</v>
      </c>
      <c r="G72" s="304">
        <f t="shared" si="70"/>
        <v>0</v>
      </c>
      <c r="H72" s="304">
        <f t="shared" si="70"/>
        <v>81.5</v>
      </c>
      <c r="I72" s="304">
        <f t="shared" si="70"/>
        <v>0</v>
      </c>
      <c r="J72" s="304">
        <f t="shared" si="70"/>
        <v>0</v>
      </c>
      <c r="K72" s="304">
        <f t="shared" si="70"/>
        <v>0</v>
      </c>
    </row>
    <row r="73" ht="15.75" customHeight="1">
      <c r="A73" s="381">
        <v>420.0</v>
      </c>
      <c r="B73" s="380" t="s">
        <v>851</v>
      </c>
      <c r="C73" s="56">
        <f>'3a. Typical Mode Sequence (Powe'!C73</f>
        <v>81.5</v>
      </c>
      <c r="D73" s="379">
        <v>110.0</v>
      </c>
      <c r="E73" s="304">
        <f t="shared" ref="E73:K73" si="71">IF($B73=E$2,$C73,0)</f>
        <v>0</v>
      </c>
      <c r="F73" s="304">
        <f t="shared" si="71"/>
        <v>0</v>
      </c>
      <c r="G73" s="304">
        <f t="shared" si="71"/>
        <v>0</v>
      </c>
      <c r="H73" s="304">
        <f t="shared" si="71"/>
        <v>81.5</v>
      </c>
      <c r="I73" s="304">
        <f t="shared" si="71"/>
        <v>0</v>
      </c>
      <c r="J73" s="304">
        <f t="shared" si="71"/>
        <v>0</v>
      </c>
      <c r="K73" s="304">
        <f t="shared" si="71"/>
        <v>0</v>
      </c>
    </row>
    <row r="74" ht="15.75" customHeight="1">
      <c r="A74" s="381">
        <v>426.0</v>
      </c>
      <c r="B74" s="380" t="s">
        <v>851</v>
      </c>
      <c r="C74" s="56">
        <f>'3a. Typical Mode Sequence (Powe'!C74</f>
        <v>81.5</v>
      </c>
      <c r="D74" s="379">
        <v>110.0</v>
      </c>
      <c r="E74" s="304">
        <f t="shared" ref="E74:K74" si="72">IF($B74=E$2,$C74,0)</f>
        <v>0</v>
      </c>
      <c r="F74" s="304">
        <f t="shared" si="72"/>
        <v>0</v>
      </c>
      <c r="G74" s="304">
        <f t="shared" si="72"/>
        <v>0</v>
      </c>
      <c r="H74" s="304">
        <f t="shared" si="72"/>
        <v>81.5</v>
      </c>
      <c r="I74" s="304">
        <f t="shared" si="72"/>
        <v>0</v>
      </c>
      <c r="J74" s="304">
        <f t="shared" si="72"/>
        <v>0</v>
      </c>
      <c r="K74" s="304">
        <f t="shared" si="72"/>
        <v>0</v>
      </c>
    </row>
    <row r="75" ht="15.75" customHeight="1">
      <c r="A75" s="381">
        <v>432.0</v>
      </c>
      <c r="B75" s="380" t="s">
        <v>851</v>
      </c>
      <c r="C75" s="56">
        <f>'3a. Typical Mode Sequence (Powe'!C75</f>
        <v>81.5</v>
      </c>
      <c r="D75" s="379">
        <v>110.0</v>
      </c>
      <c r="E75" s="304">
        <f t="shared" ref="E75:K75" si="73">IF($B75=E$2,$C75,0)</f>
        <v>0</v>
      </c>
      <c r="F75" s="304">
        <f t="shared" si="73"/>
        <v>0</v>
      </c>
      <c r="G75" s="304">
        <f t="shared" si="73"/>
        <v>0</v>
      </c>
      <c r="H75" s="304">
        <f t="shared" si="73"/>
        <v>81.5</v>
      </c>
      <c r="I75" s="304">
        <f t="shared" si="73"/>
        <v>0</v>
      </c>
      <c r="J75" s="304">
        <f t="shared" si="73"/>
        <v>0</v>
      </c>
      <c r="K75" s="304">
        <f t="shared" si="73"/>
        <v>0</v>
      </c>
    </row>
    <row r="76" ht="15.75" customHeight="1">
      <c r="A76" s="381">
        <v>438.0</v>
      </c>
      <c r="B76" s="380" t="s">
        <v>851</v>
      </c>
      <c r="C76" s="56">
        <f>'3a. Typical Mode Sequence (Powe'!C76</f>
        <v>81.5</v>
      </c>
      <c r="D76" s="379">
        <v>110.0</v>
      </c>
      <c r="E76" s="304">
        <f t="shared" ref="E76:K76" si="74">IF($B76=E$2,$C76,0)</f>
        <v>0</v>
      </c>
      <c r="F76" s="304">
        <f t="shared" si="74"/>
        <v>0</v>
      </c>
      <c r="G76" s="304">
        <f t="shared" si="74"/>
        <v>0</v>
      </c>
      <c r="H76" s="304">
        <f t="shared" si="74"/>
        <v>81.5</v>
      </c>
      <c r="I76" s="304">
        <f t="shared" si="74"/>
        <v>0</v>
      </c>
      <c r="J76" s="304">
        <f t="shared" si="74"/>
        <v>0</v>
      </c>
      <c r="K76" s="304">
        <f t="shared" si="74"/>
        <v>0</v>
      </c>
    </row>
    <row r="77" ht="15.75" customHeight="1">
      <c r="A77" s="381">
        <v>444.0</v>
      </c>
      <c r="B77" s="380" t="s">
        <v>851</v>
      </c>
      <c r="C77" s="56">
        <f>'3a. Typical Mode Sequence (Powe'!C77</f>
        <v>81.5</v>
      </c>
      <c r="D77" s="379">
        <v>110.0</v>
      </c>
      <c r="E77" s="304">
        <f t="shared" ref="E77:K77" si="75">IF($B77=E$2,$C77,0)</f>
        <v>0</v>
      </c>
      <c r="F77" s="304">
        <f t="shared" si="75"/>
        <v>0</v>
      </c>
      <c r="G77" s="304">
        <f t="shared" si="75"/>
        <v>0</v>
      </c>
      <c r="H77" s="304">
        <f t="shared" si="75"/>
        <v>81.5</v>
      </c>
      <c r="I77" s="304">
        <f t="shared" si="75"/>
        <v>0</v>
      </c>
      <c r="J77" s="304">
        <f t="shared" si="75"/>
        <v>0</v>
      </c>
      <c r="K77" s="304">
        <f t="shared" si="75"/>
        <v>0</v>
      </c>
    </row>
    <row r="78" ht="15.75" customHeight="1">
      <c r="A78" s="381">
        <v>450.0</v>
      </c>
      <c r="B78" s="380" t="s">
        <v>851</v>
      </c>
      <c r="C78" s="56">
        <f>'3a. Typical Mode Sequence (Powe'!C78</f>
        <v>81.5</v>
      </c>
      <c r="D78" s="379">
        <v>110.0</v>
      </c>
      <c r="E78" s="304">
        <f t="shared" ref="E78:K78" si="76">IF($B78=E$2,$C78,0)</f>
        <v>0</v>
      </c>
      <c r="F78" s="304">
        <f t="shared" si="76"/>
        <v>0</v>
      </c>
      <c r="G78" s="304">
        <f t="shared" si="76"/>
        <v>0</v>
      </c>
      <c r="H78" s="304">
        <f t="shared" si="76"/>
        <v>81.5</v>
      </c>
      <c r="I78" s="304">
        <f t="shared" si="76"/>
        <v>0</v>
      </c>
      <c r="J78" s="304">
        <f t="shared" si="76"/>
        <v>0</v>
      </c>
      <c r="K78" s="304">
        <f t="shared" si="76"/>
        <v>0</v>
      </c>
    </row>
    <row r="79" ht="15.75" customHeight="1">
      <c r="A79" s="381">
        <v>456.0</v>
      </c>
      <c r="B79" s="380" t="s">
        <v>851</v>
      </c>
      <c r="C79" s="56">
        <f>'3a. Typical Mode Sequence (Powe'!C79</f>
        <v>81.5</v>
      </c>
      <c r="D79" s="379">
        <v>110.0</v>
      </c>
      <c r="E79" s="304">
        <f t="shared" ref="E79:K79" si="77">IF($B79=E$2,$C79,0)</f>
        <v>0</v>
      </c>
      <c r="F79" s="304">
        <f t="shared" si="77"/>
        <v>0</v>
      </c>
      <c r="G79" s="304">
        <f t="shared" si="77"/>
        <v>0</v>
      </c>
      <c r="H79" s="304">
        <f t="shared" si="77"/>
        <v>81.5</v>
      </c>
      <c r="I79" s="304">
        <f t="shared" si="77"/>
        <v>0</v>
      </c>
      <c r="J79" s="304">
        <f t="shared" si="77"/>
        <v>0</v>
      </c>
      <c r="K79" s="304">
        <f t="shared" si="77"/>
        <v>0</v>
      </c>
    </row>
    <row r="80" ht="15.75" customHeight="1">
      <c r="A80" s="381">
        <v>462.0</v>
      </c>
      <c r="B80" s="380" t="s">
        <v>851</v>
      </c>
      <c r="C80" s="56">
        <f>'3a. Typical Mode Sequence (Powe'!C80</f>
        <v>81.5</v>
      </c>
      <c r="D80" s="379">
        <v>110.0</v>
      </c>
      <c r="E80" s="304">
        <f t="shared" ref="E80:K80" si="78">IF($B80=E$2,$C80,0)</f>
        <v>0</v>
      </c>
      <c r="F80" s="304">
        <f t="shared" si="78"/>
        <v>0</v>
      </c>
      <c r="G80" s="304">
        <f t="shared" si="78"/>
        <v>0</v>
      </c>
      <c r="H80" s="304">
        <f t="shared" si="78"/>
        <v>81.5</v>
      </c>
      <c r="I80" s="304">
        <f t="shared" si="78"/>
        <v>0</v>
      </c>
      <c r="J80" s="304">
        <f t="shared" si="78"/>
        <v>0</v>
      </c>
      <c r="K80" s="304">
        <f t="shared" si="78"/>
        <v>0</v>
      </c>
    </row>
    <row r="81" ht="15.75" customHeight="1">
      <c r="A81" s="381">
        <v>468.0</v>
      </c>
      <c r="B81" s="380" t="s">
        <v>851</v>
      </c>
      <c r="C81" s="56">
        <f>'3a. Typical Mode Sequence (Powe'!C81</f>
        <v>81.5</v>
      </c>
      <c r="D81" s="379">
        <v>110.0</v>
      </c>
      <c r="E81" s="304">
        <f t="shared" ref="E81:K81" si="79">IF($B81=E$2,$C81,0)</f>
        <v>0</v>
      </c>
      <c r="F81" s="304">
        <f t="shared" si="79"/>
        <v>0</v>
      </c>
      <c r="G81" s="304">
        <f t="shared" si="79"/>
        <v>0</v>
      </c>
      <c r="H81" s="304">
        <f t="shared" si="79"/>
        <v>81.5</v>
      </c>
      <c r="I81" s="304">
        <f t="shared" si="79"/>
        <v>0</v>
      </c>
      <c r="J81" s="304">
        <f t="shared" si="79"/>
        <v>0</v>
      </c>
      <c r="K81" s="304">
        <f t="shared" si="79"/>
        <v>0</v>
      </c>
    </row>
    <row r="82" ht="15.75" customHeight="1">
      <c r="A82" s="381">
        <v>474.0</v>
      </c>
      <c r="B82" s="380" t="s">
        <v>851</v>
      </c>
      <c r="C82" s="56">
        <f>'3a. Typical Mode Sequence (Powe'!C82</f>
        <v>81.5</v>
      </c>
      <c r="D82" s="379">
        <v>110.0</v>
      </c>
      <c r="E82" s="304">
        <f t="shared" ref="E82:K82" si="80">IF($B82=E$2,$C82,0)</f>
        <v>0</v>
      </c>
      <c r="F82" s="304">
        <f t="shared" si="80"/>
        <v>0</v>
      </c>
      <c r="G82" s="304">
        <f t="shared" si="80"/>
        <v>0</v>
      </c>
      <c r="H82" s="304">
        <f t="shared" si="80"/>
        <v>81.5</v>
      </c>
      <c r="I82" s="304">
        <f t="shared" si="80"/>
        <v>0</v>
      </c>
      <c r="J82" s="304">
        <f t="shared" si="80"/>
        <v>0</v>
      </c>
      <c r="K82" s="304">
        <f t="shared" si="80"/>
        <v>0</v>
      </c>
    </row>
    <row r="83" ht="15.75" customHeight="1">
      <c r="A83" s="381">
        <v>480.0</v>
      </c>
      <c r="B83" s="380" t="s">
        <v>851</v>
      </c>
      <c r="C83" s="56">
        <f>'3a. Typical Mode Sequence (Powe'!C83</f>
        <v>81.5</v>
      </c>
      <c r="D83" s="379">
        <v>110.0</v>
      </c>
      <c r="E83" s="304">
        <f t="shared" ref="E83:K83" si="81">IF($B83=E$2,$C83,0)</f>
        <v>0</v>
      </c>
      <c r="F83" s="304">
        <f t="shared" si="81"/>
        <v>0</v>
      </c>
      <c r="G83" s="304">
        <f t="shared" si="81"/>
        <v>0</v>
      </c>
      <c r="H83" s="304">
        <f t="shared" si="81"/>
        <v>81.5</v>
      </c>
      <c r="I83" s="304">
        <f t="shared" si="81"/>
        <v>0</v>
      </c>
      <c r="J83" s="304">
        <f t="shared" si="81"/>
        <v>0</v>
      </c>
      <c r="K83" s="304">
        <f t="shared" si="81"/>
        <v>0</v>
      </c>
    </row>
    <row r="84" ht="15.75" customHeight="1">
      <c r="A84" s="381">
        <v>486.0</v>
      </c>
      <c r="B84" s="380" t="s">
        <v>851</v>
      </c>
      <c r="C84" s="56">
        <f>'3a. Typical Mode Sequence (Powe'!C84</f>
        <v>81.5</v>
      </c>
      <c r="D84" s="379">
        <v>110.0</v>
      </c>
      <c r="E84" s="304">
        <f t="shared" ref="E84:K84" si="82">IF($B84=E$2,$C84,0)</f>
        <v>0</v>
      </c>
      <c r="F84" s="304">
        <f t="shared" si="82"/>
        <v>0</v>
      </c>
      <c r="G84" s="304">
        <f t="shared" si="82"/>
        <v>0</v>
      </c>
      <c r="H84" s="304">
        <f t="shared" si="82"/>
        <v>81.5</v>
      </c>
      <c r="I84" s="304">
        <f t="shared" si="82"/>
        <v>0</v>
      </c>
      <c r="J84" s="304">
        <f t="shared" si="82"/>
        <v>0</v>
      </c>
      <c r="K84" s="304">
        <f t="shared" si="82"/>
        <v>0</v>
      </c>
    </row>
    <row r="85" ht="15.75" customHeight="1">
      <c r="A85" s="381">
        <v>492.0</v>
      </c>
      <c r="B85" s="380" t="s">
        <v>851</v>
      </c>
      <c r="C85" s="56">
        <f>'3a. Typical Mode Sequence (Powe'!C85</f>
        <v>81.5</v>
      </c>
      <c r="D85" s="379">
        <v>110.0</v>
      </c>
      <c r="E85" s="304">
        <f t="shared" ref="E85:K85" si="83">IF($B85=E$2,$C85,0)</f>
        <v>0</v>
      </c>
      <c r="F85" s="304">
        <f t="shared" si="83"/>
        <v>0</v>
      </c>
      <c r="G85" s="304">
        <f t="shared" si="83"/>
        <v>0</v>
      </c>
      <c r="H85" s="304">
        <f t="shared" si="83"/>
        <v>81.5</v>
      </c>
      <c r="I85" s="304">
        <f t="shared" si="83"/>
        <v>0</v>
      </c>
      <c r="J85" s="304">
        <f t="shared" si="83"/>
        <v>0</v>
      </c>
      <c r="K85" s="304">
        <f t="shared" si="83"/>
        <v>0</v>
      </c>
    </row>
    <row r="86" ht="15.75" customHeight="1">
      <c r="A86" s="381">
        <v>498.0</v>
      </c>
      <c r="B86" s="380" t="s">
        <v>851</v>
      </c>
      <c r="C86" s="56">
        <f>'3a. Typical Mode Sequence (Powe'!C86</f>
        <v>81.5</v>
      </c>
      <c r="D86" s="379">
        <v>110.0</v>
      </c>
      <c r="E86" s="304">
        <f t="shared" ref="E86:K86" si="84">IF($B86=E$2,$C86,0)</f>
        <v>0</v>
      </c>
      <c r="F86" s="304">
        <f t="shared" si="84"/>
        <v>0</v>
      </c>
      <c r="G86" s="304">
        <f t="shared" si="84"/>
        <v>0</v>
      </c>
      <c r="H86" s="304">
        <f t="shared" si="84"/>
        <v>81.5</v>
      </c>
      <c r="I86" s="304">
        <f t="shared" si="84"/>
        <v>0</v>
      </c>
      <c r="J86" s="304">
        <f t="shared" si="84"/>
        <v>0</v>
      </c>
      <c r="K86" s="304">
        <f t="shared" si="84"/>
        <v>0</v>
      </c>
    </row>
    <row r="87" ht="15.75" customHeight="1">
      <c r="A87" s="381">
        <v>504.0</v>
      </c>
      <c r="B87" s="380" t="s">
        <v>851</v>
      </c>
      <c r="C87" s="56">
        <f>'3a. Typical Mode Sequence (Powe'!C87</f>
        <v>81.5</v>
      </c>
      <c r="D87" s="379">
        <v>110.0</v>
      </c>
      <c r="E87" s="304">
        <f t="shared" ref="E87:K87" si="85">IF($B87=E$2,$C87,0)</f>
        <v>0</v>
      </c>
      <c r="F87" s="304">
        <f t="shared" si="85"/>
        <v>0</v>
      </c>
      <c r="G87" s="304">
        <f t="shared" si="85"/>
        <v>0</v>
      </c>
      <c r="H87" s="304">
        <f t="shared" si="85"/>
        <v>81.5</v>
      </c>
      <c r="I87" s="304">
        <f t="shared" si="85"/>
        <v>0</v>
      </c>
      <c r="J87" s="304">
        <f t="shared" si="85"/>
        <v>0</v>
      </c>
      <c r="K87" s="304">
        <f t="shared" si="85"/>
        <v>0</v>
      </c>
    </row>
    <row r="88" ht="15.75" customHeight="1">
      <c r="A88" s="381">
        <v>510.0</v>
      </c>
      <c r="B88" s="380" t="s">
        <v>851</v>
      </c>
      <c r="C88" s="56">
        <f>'3a. Typical Mode Sequence (Powe'!C88</f>
        <v>81.5</v>
      </c>
      <c r="D88" s="379">
        <v>110.0</v>
      </c>
      <c r="E88" s="304">
        <f t="shared" ref="E88:K88" si="86">IF($B88=E$2,$C88,0)</f>
        <v>0</v>
      </c>
      <c r="F88" s="304">
        <f t="shared" si="86"/>
        <v>0</v>
      </c>
      <c r="G88" s="304">
        <f t="shared" si="86"/>
        <v>0</v>
      </c>
      <c r="H88" s="304">
        <f t="shared" si="86"/>
        <v>81.5</v>
      </c>
      <c r="I88" s="304">
        <f t="shared" si="86"/>
        <v>0</v>
      </c>
      <c r="J88" s="304">
        <f t="shared" si="86"/>
        <v>0</v>
      </c>
      <c r="K88" s="304">
        <f t="shared" si="86"/>
        <v>0</v>
      </c>
    </row>
    <row r="89" ht="15.75" customHeight="1">
      <c r="A89" s="381">
        <v>516.0</v>
      </c>
      <c r="B89" s="380" t="s">
        <v>851</v>
      </c>
      <c r="C89" s="56">
        <f>'3a. Typical Mode Sequence (Powe'!C89</f>
        <v>81.5</v>
      </c>
      <c r="D89" s="379">
        <v>110.0</v>
      </c>
      <c r="E89" s="304">
        <f t="shared" ref="E89:K89" si="87">IF($B89=E$2,$C89,0)</f>
        <v>0</v>
      </c>
      <c r="F89" s="304">
        <f t="shared" si="87"/>
        <v>0</v>
      </c>
      <c r="G89" s="304">
        <f t="shared" si="87"/>
        <v>0</v>
      </c>
      <c r="H89" s="304">
        <f t="shared" si="87"/>
        <v>81.5</v>
      </c>
      <c r="I89" s="304">
        <f t="shared" si="87"/>
        <v>0</v>
      </c>
      <c r="J89" s="304">
        <f t="shared" si="87"/>
        <v>0</v>
      </c>
      <c r="K89" s="304">
        <f t="shared" si="87"/>
        <v>0</v>
      </c>
    </row>
    <row r="90" ht="15.75" customHeight="1">
      <c r="A90" s="381">
        <v>522.0</v>
      </c>
      <c r="B90" s="380" t="s">
        <v>851</v>
      </c>
      <c r="C90" s="56">
        <f>'3a. Typical Mode Sequence (Powe'!C90</f>
        <v>81.5</v>
      </c>
      <c r="D90" s="379">
        <v>110.0</v>
      </c>
      <c r="E90" s="304">
        <f t="shared" ref="E90:K90" si="88">IF($B90=E$2,$C90,0)</f>
        <v>0</v>
      </c>
      <c r="F90" s="304">
        <f t="shared" si="88"/>
        <v>0</v>
      </c>
      <c r="G90" s="304">
        <f t="shared" si="88"/>
        <v>0</v>
      </c>
      <c r="H90" s="304">
        <f t="shared" si="88"/>
        <v>81.5</v>
      </c>
      <c r="I90" s="304">
        <f t="shared" si="88"/>
        <v>0</v>
      </c>
      <c r="J90" s="304">
        <f t="shared" si="88"/>
        <v>0</v>
      </c>
      <c r="K90" s="304">
        <f t="shared" si="88"/>
        <v>0</v>
      </c>
    </row>
    <row r="91" ht="15.75" customHeight="1">
      <c r="A91" s="381">
        <v>528.0</v>
      </c>
      <c r="B91" s="380" t="s">
        <v>851</v>
      </c>
      <c r="C91" s="56">
        <f>'3a. Typical Mode Sequence (Powe'!C91</f>
        <v>81.5</v>
      </c>
      <c r="D91" s="379">
        <v>110.0</v>
      </c>
      <c r="E91" s="304">
        <f t="shared" ref="E91:K91" si="89">IF($B91=E$2,$C91,0)</f>
        <v>0</v>
      </c>
      <c r="F91" s="304">
        <f t="shared" si="89"/>
        <v>0</v>
      </c>
      <c r="G91" s="304">
        <f t="shared" si="89"/>
        <v>0</v>
      </c>
      <c r="H91" s="304">
        <f t="shared" si="89"/>
        <v>81.5</v>
      </c>
      <c r="I91" s="304">
        <f t="shared" si="89"/>
        <v>0</v>
      </c>
      <c r="J91" s="304">
        <f t="shared" si="89"/>
        <v>0</v>
      </c>
      <c r="K91" s="304">
        <f t="shared" si="89"/>
        <v>0</v>
      </c>
    </row>
    <row r="92" ht="15.75" customHeight="1">
      <c r="A92" s="381">
        <v>534.0</v>
      </c>
      <c r="B92" s="380" t="s">
        <v>851</v>
      </c>
      <c r="C92" s="56">
        <f>'3a. Typical Mode Sequence (Powe'!C92</f>
        <v>81.5</v>
      </c>
      <c r="D92" s="379">
        <v>110.0</v>
      </c>
      <c r="E92" s="304">
        <f t="shared" ref="E92:K92" si="90">IF($B92=E$2,$C92,0)</f>
        <v>0</v>
      </c>
      <c r="F92" s="304">
        <f t="shared" si="90"/>
        <v>0</v>
      </c>
      <c r="G92" s="304">
        <f t="shared" si="90"/>
        <v>0</v>
      </c>
      <c r="H92" s="304">
        <f t="shared" si="90"/>
        <v>81.5</v>
      </c>
      <c r="I92" s="304">
        <f t="shared" si="90"/>
        <v>0</v>
      </c>
      <c r="J92" s="304">
        <f t="shared" si="90"/>
        <v>0</v>
      </c>
      <c r="K92" s="304">
        <f t="shared" si="90"/>
        <v>0</v>
      </c>
    </row>
    <row r="93" ht="15.75" customHeight="1">
      <c r="A93" s="381">
        <v>540.0</v>
      </c>
      <c r="B93" s="380" t="s">
        <v>851</v>
      </c>
      <c r="C93" s="56">
        <f>'3a. Typical Mode Sequence (Powe'!C93</f>
        <v>81.5</v>
      </c>
      <c r="D93" s="379">
        <v>110.0</v>
      </c>
      <c r="E93" s="304">
        <f t="shared" ref="E93:K93" si="91">IF($B93=E$2,$C93,0)</f>
        <v>0</v>
      </c>
      <c r="F93" s="304">
        <f t="shared" si="91"/>
        <v>0</v>
      </c>
      <c r="G93" s="304">
        <f t="shared" si="91"/>
        <v>0</v>
      </c>
      <c r="H93" s="304">
        <f t="shared" si="91"/>
        <v>81.5</v>
      </c>
      <c r="I93" s="304">
        <f t="shared" si="91"/>
        <v>0</v>
      </c>
      <c r="J93" s="304">
        <f t="shared" si="91"/>
        <v>0</v>
      </c>
      <c r="K93" s="304">
        <f t="shared" si="91"/>
        <v>0</v>
      </c>
    </row>
    <row r="94" ht="15.75" customHeight="1">
      <c r="A94" s="381">
        <v>546.0</v>
      </c>
      <c r="B94" s="380" t="s">
        <v>851</v>
      </c>
      <c r="C94" s="56">
        <f>'3a. Typical Mode Sequence (Powe'!C94</f>
        <v>81.5</v>
      </c>
      <c r="D94" s="379">
        <v>110.0</v>
      </c>
      <c r="E94" s="304">
        <f t="shared" ref="E94:K94" si="92">IF($B94=E$2,$C94,0)</f>
        <v>0</v>
      </c>
      <c r="F94" s="304">
        <f t="shared" si="92"/>
        <v>0</v>
      </c>
      <c r="G94" s="304">
        <f t="shared" si="92"/>
        <v>0</v>
      </c>
      <c r="H94" s="304">
        <f t="shared" si="92"/>
        <v>81.5</v>
      </c>
      <c r="I94" s="304">
        <f t="shared" si="92"/>
        <v>0</v>
      </c>
      <c r="J94" s="304">
        <f t="shared" si="92"/>
        <v>0</v>
      </c>
      <c r="K94" s="304">
        <f t="shared" si="92"/>
        <v>0</v>
      </c>
    </row>
    <row r="95" ht="15.75" customHeight="1">
      <c r="A95" s="381">
        <v>552.0</v>
      </c>
      <c r="B95" s="380" t="s">
        <v>851</v>
      </c>
      <c r="C95" s="56">
        <f>'3a. Typical Mode Sequence (Powe'!C95</f>
        <v>81.5</v>
      </c>
      <c r="D95" s="379">
        <v>110.0</v>
      </c>
      <c r="E95" s="304">
        <f t="shared" ref="E95:K95" si="93">IF($B95=E$2,$C95,0)</f>
        <v>0</v>
      </c>
      <c r="F95" s="304">
        <f t="shared" si="93"/>
        <v>0</v>
      </c>
      <c r="G95" s="304">
        <f t="shared" si="93"/>
        <v>0</v>
      </c>
      <c r="H95" s="304">
        <f t="shared" si="93"/>
        <v>81.5</v>
      </c>
      <c r="I95" s="304">
        <f t="shared" si="93"/>
        <v>0</v>
      </c>
      <c r="J95" s="304">
        <f t="shared" si="93"/>
        <v>0</v>
      </c>
      <c r="K95" s="304">
        <f t="shared" si="93"/>
        <v>0</v>
      </c>
    </row>
    <row r="96" ht="15.75" customHeight="1">
      <c r="A96" s="381">
        <v>558.0</v>
      </c>
      <c r="B96" s="380" t="s">
        <v>851</v>
      </c>
      <c r="C96" s="56">
        <f>'3a. Typical Mode Sequence (Powe'!C96</f>
        <v>81.5</v>
      </c>
      <c r="D96" s="379">
        <v>110.0</v>
      </c>
      <c r="E96" s="304">
        <f t="shared" ref="E96:K96" si="94">IF($B96=E$2,$C96,0)</f>
        <v>0</v>
      </c>
      <c r="F96" s="304">
        <f t="shared" si="94"/>
        <v>0</v>
      </c>
      <c r="G96" s="304">
        <f t="shared" si="94"/>
        <v>0</v>
      </c>
      <c r="H96" s="304">
        <f t="shared" si="94"/>
        <v>81.5</v>
      </c>
      <c r="I96" s="304">
        <f t="shared" si="94"/>
        <v>0</v>
      </c>
      <c r="J96" s="304">
        <f t="shared" si="94"/>
        <v>0</v>
      </c>
      <c r="K96" s="304">
        <f t="shared" si="94"/>
        <v>0</v>
      </c>
    </row>
    <row r="97" ht="15.75" customHeight="1">
      <c r="A97" s="381">
        <v>564.0</v>
      </c>
      <c r="B97" s="380" t="s">
        <v>851</v>
      </c>
      <c r="C97" s="56">
        <f>'3a. Typical Mode Sequence (Powe'!C97</f>
        <v>81.5</v>
      </c>
      <c r="D97" s="379">
        <v>110.0</v>
      </c>
      <c r="E97" s="304">
        <f t="shared" ref="E97:K97" si="95">IF($B97=E$2,$C97,0)</f>
        <v>0</v>
      </c>
      <c r="F97" s="304">
        <f t="shared" si="95"/>
        <v>0</v>
      </c>
      <c r="G97" s="304">
        <f t="shared" si="95"/>
        <v>0</v>
      </c>
      <c r="H97" s="304">
        <f t="shared" si="95"/>
        <v>81.5</v>
      </c>
      <c r="I97" s="304">
        <f t="shared" si="95"/>
        <v>0</v>
      </c>
      <c r="J97" s="304">
        <f t="shared" si="95"/>
        <v>0</v>
      </c>
      <c r="K97" s="304">
        <f t="shared" si="95"/>
        <v>0</v>
      </c>
    </row>
    <row r="98" ht="15.75" customHeight="1">
      <c r="A98" s="381">
        <v>570.0</v>
      </c>
      <c r="B98" s="380" t="s">
        <v>851</v>
      </c>
      <c r="C98" s="56">
        <f>'3a. Typical Mode Sequence (Powe'!C98</f>
        <v>81.5</v>
      </c>
      <c r="D98" s="379">
        <v>110.0</v>
      </c>
      <c r="E98" s="304">
        <f t="shared" ref="E98:K98" si="96">IF($B98=E$2,$C98,0)</f>
        <v>0</v>
      </c>
      <c r="F98" s="304">
        <f t="shared" si="96"/>
        <v>0</v>
      </c>
      <c r="G98" s="304">
        <f t="shared" si="96"/>
        <v>0</v>
      </c>
      <c r="H98" s="304">
        <f t="shared" si="96"/>
        <v>81.5</v>
      </c>
      <c r="I98" s="304">
        <f t="shared" si="96"/>
        <v>0</v>
      </c>
      <c r="J98" s="304">
        <f t="shared" si="96"/>
        <v>0</v>
      </c>
      <c r="K98" s="304">
        <f t="shared" si="96"/>
        <v>0</v>
      </c>
    </row>
    <row r="99" ht="15.75" customHeight="1">
      <c r="A99" s="381">
        <v>576.0</v>
      </c>
      <c r="B99" s="380" t="s">
        <v>851</v>
      </c>
      <c r="C99" s="56">
        <f>'3a. Typical Mode Sequence (Powe'!C99</f>
        <v>81.5</v>
      </c>
      <c r="D99" s="379">
        <v>110.0</v>
      </c>
      <c r="E99" s="304">
        <f t="shared" ref="E99:K99" si="97">IF($B99=E$2,$C99,0)</f>
        <v>0</v>
      </c>
      <c r="F99" s="304">
        <f t="shared" si="97"/>
        <v>0</v>
      </c>
      <c r="G99" s="304">
        <f t="shared" si="97"/>
        <v>0</v>
      </c>
      <c r="H99" s="304">
        <f t="shared" si="97"/>
        <v>81.5</v>
      </c>
      <c r="I99" s="304">
        <f t="shared" si="97"/>
        <v>0</v>
      </c>
      <c r="J99" s="304">
        <f t="shared" si="97"/>
        <v>0</v>
      </c>
      <c r="K99" s="304">
        <f t="shared" si="97"/>
        <v>0</v>
      </c>
    </row>
    <row r="100" ht="15.75" customHeight="1">
      <c r="A100" s="381">
        <v>582.0</v>
      </c>
      <c r="B100" s="380" t="s">
        <v>851</v>
      </c>
      <c r="C100" s="56">
        <f>'3a. Typical Mode Sequence (Powe'!C100</f>
        <v>81.5</v>
      </c>
      <c r="D100" s="379">
        <v>110.0</v>
      </c>
      <c r="E100" s="304">
        <f t="shared" ref="E100:K100" si="98">IF($B100=E$2,$C100,0)</f>
        <v>0</v>
      </c>
      <c r="F100" s="304">
        <f t="shared" si="98"/>
        <v>0</v>
      </c>
      <c r="G100" s="304">
        <f t="shared" si="98"/>
        <v>0</v>
      </c>
      <c r="H100" s="304">
        <f t="shared" si="98"/>
        <v>81.5</v>
      </c>
      <c r="I100" s="304">
        <f t="shared" si="98"/>
        <v>0</v>
      </c>
      <c r="J100" s="304">
        <f t="shared" si="98"/>
        <v>0</v>
      </c>
      <c r="K100" s="304">
        <f t="shared" si="98"/>
        <v>0</v>
      </c>
    </row>
    <row r="101" ht="15.75" customHeight="1">
      <c r="A101" s="381">
        <v>588.0</v>
      </c>
      <c r="B101" s="380" t="s">
        <v>851</v>
      </c>
      <c r="C101" s="56">
        <f>'3a. Typical Mode Sequence (Powe'!C101</f>
        <v>81.5</v>
      </c>
      <c r="D101" s="379">
        <v>110.0</v>
      </c>
      <c r="E101" s="304">
        <f t="shared" ref="E101:K101" si="99">IF($B101=E$2,$C101,0)</f>
        <v>0</v>
      </c>
      <c r="F101" s="304">
        <f t="shared" si="99"/>
        <v>0</v>
      </c>
      <c r="G101" s="304">
        <f t="shared" si="99"/>
        <v>0</v>
      </c>
      <c r="H101" s="304">
        <f t="shared" si="99"/>
        <v>81.5</v>
      </c>
      <c r="I101" s="304">
        <f t="shared" si="99"/>
        <v>0</v>
      </c>
      <c r="J101" s="304">
        <f t="shared" si="99"/>
        <v>0</v>
      </c>
      <c r="K101" s="304">
        <f t="shared" si="99"/>
        <v>0</v>
      </c>
    </row>
    <row r="102" ht="15.75" customHeight="1">
      <c r="A102" s="381">
        <v>594.0</v>
      </c>
      <c r="B102" s="380" t="s">
        <v>851</v>
      </c>
      <c r="C102" s="56">
        <f>'3a. Typical Mode Sequence (Powe'!C102</f>
        <v>81.5</v>
      </c>
      <c r="D102" s="379">
        <v>110.0</v>
      </c>
      <c r="E102" s="304">
        <f t="shared" ref="E102:K102" si="100">IF($B102=E$2,$C102,0)</f>
        <v>0</v>
      </c>
      <c r="F102" s="304">
        <f t="shared" si="100"/>
        <v>0</v>
      </c>
      <c r="G102" s="304">
        <f t="shared" si="100"/>
        <v>0</v>
      </c>
      <c r="H102" s="304">
        <f t="shared" si="100"/>
        <v>81.5</v>
      </c>
      <c r="I102" s="304">
        <f t="shared" si="100"/>
        <v>0</v>
      </c>
      <c r="J102" s="304">
        <f t="shared" si="100"/>
        <v>0</v>
      </c>
      <c r="K102" s="304">
        <f t="shared" si="100"/>
        <v>0</v>
      </c>
    </row>
    <row r="103" ht="15.75" customHeight="1">
      <c r="A103" s="381">
        <v>600.0</v>
      </c>
      <c r="B103" s="380" t="s">
        <v>853</v>
      </c>
      <c r="C103" s="56">
        <f>'3a. Typical Mode Sequence (Powe'!C103</f>
        <v>116.5</v>
      </c>
      <c r="D103" s="379">
        <v>110.0</v>
      </c>
      <c r="E103" s="304">
        <f t="shared" ref="E103:K103" si="101">IF($B103=E$2,$C103,0)</f>
        <v>0</v>
      </c>
      <c r="F103" s="304">
        <f t="shared" si="101"/>
        <v>0</v>
      </c>
      <c r="G103" s="304">
        <f t="shared" si="101"/>
        <v>0</v>
      </c>
      <c r="H103" s="304">
        <f t="shared" si="101"/>
        <v>0</v>
      </c>
      <c r="I103" s="304">
        <f t="shared" si="101"/>
        <v>0</v>
      </c>
      <c r="J103" s="304">
        <f t="shared" si="101"/>
        <v>0</v>
      </c>
      <c r="K103" s="304">
        <f t="shared" si="101"/>
        <v>116.5</v>
      </c>
    </row>
    <row r="104" ht="15.75" customHeight="1">
      <c r="A104" s="381">
        <v>606.0</v>
      </c>
      <c r="B104" s="380" t="s">
        <v>853</v>
      </c>
      <c r="C104" s="56">
        <f>'3a. Typical Mode Sequence (Powe'!C104</f>
        <v>116.5</v>
      </c>
      <c r="D104" s="379">
        <v>110.0</v>
      </c>
      <c r="E104" s="304">
        <f t="shared" ref="E104:K104" si="102">IF($B104=E$2,$C104,0)</f>
        <v>0</v>
      </c>
      <c r="F104" s="304">
        <f t="shared" si="102"/>
        <v>0</v>
      </c>
      <c r="G104" s="304">
        <f t="shared" si="102"/>
        <v>0</v>
      </c>
      <c r="H104" s="304">
        <f t="shared" si="102"/>
        <v>0</v>
      </c>
      <c r="I104" s="304">
        <f t="shared" si="102"/>
        <v>0</v>
      </c>
      <c r="J104" s="304">
        <f t="shared" si="102"/>
        <v>0</v>
      </c>
      <c r="K104" s="304">
        <f t="shared" si="102"/>
        <v>116.5</v>
      </c>
    </row>
    <row r="105" ht="15.75" customHeight="1">
      <c r="A105" s="381">
        <v>612.0</v>
      </c>
      <c r="B105" s="380" t="s">
        <v>853</v>
      </c>
      <c r="C105" s="56">
        <f>'3a. Typical Mode Sequence (Powe'!C105</f>
        <v>116.5</v>
      </c>
      <c r="D105" s="379">
        <v>110.0</v>
      </c>
      <c r="E105" s="304">
        <f t="shared" ref="E105:K105" si="103">IF($B105=E$2,$C105,0)</f>
        <v>0</v>
      </c>
      <c r="F105" s="304">
        <f t="shared" si="103"/>
        <v>0</v>
      </c>
      <c r="G105" s="304">
        <f t="shared" si="103"/>
        <v>0</v>
      </c>
      <c r="H105" s="304">
        <f t="shared" si="103"/>
        <v>0</v>
      </c>
      <c r="I105" s="304">
        <f t="shared" si="103"/>
        <v>0</v>
      </c>
      <c r="J105" s="304">
        <f t="shared" si="103"/>
        <v>0</v>
      </c>
      <c r="K105" s="304">
        <f t="shared" si="103"/>
        <v>116.5</v>
      </c>
    </row>
    <row r="106" ht="15.75" customHeight="1">
      <c r="A106" s="381">
        <v>618.0</v>
      </c>
      <c r="B106" s="380" t="s">
        <v>853</v>
      </c>
      <c r="C106" s="56">
        <f>'3a. Typical Mode Sequence (Powe'!C106</f>
        <v>116.5</v>
      </c>
      <c r="D106" s="379">
        <v>110.0</v>
      </c>
      <c r="E106" s="304">
        <f t="shared" ref="E106:K106" si="104">IF($B106=E$2,$C106,0)</f>
        <v>0</v>
      </c>
      <c r="F106" s="304">
        <f t="shared" si="104"/>
        <v>0</v>
      </c>
      <c r="G106" s="304">
        <f t="shared" si="104"/>
        <v>0</v>
      </c>
      <c r="H106" s="304">
        <f t="shared" si="104"/>
        <v>0</v>
      </c>
      <c r="I106" s="304">
        <f t="shared" si="104"/>
        <v>0</v>
      </c>
      <c r="J106" s="304">
        <f t="shared" si="104"/>
        <v>0</v>
      </c>
      <c r="K106" s="304">
        <f t="shared" si="104"/>
        <v>116.5</v>
      </c>
    </row>
    <row r="107" ht="15.75" customHeight="1">
      <c r="A107" s="381">
        <v>624.0</v>
      </c>
      <c r="B107" s="380" t="s">
        <v>853</v>
      </c>
      <c r="C107" s="56">
        <f>'3a. Typical Mode Sequence (Powe'!C107</f>
        <v>116.5</v>
      </c>
      <c r="D107" s="379">
        <v>110.0</v>
      </c>
      <c r="E107" s="304">
        <f t="shared" ref="E107:K107" si="105">IF($B107=E$2,$C107,0)</f>
        <v>0</v>
      </c>
      <c r="F107" s="304">
        <f t="shared" si="105"/>
        <v>0</v>
      </c>
      <c r="G107" s="304">
        <f t="shared" si="105"/>
        <v>0</v>
      </c>
      <c r="H107" s="304">
        <f t="shared" si="105"/>
        <v>0</v>
      </c>
      <c r="I107" s="304">
        <f t="shared" si="105"/>
        <v>0</v>
      </c>
      <c r="J107" s="304">
        <f t="shared" si="105"/>
        <v>0</v>
      </c>
      <c r="K107" s="304">
        <f t="shared" si="105"/>
        <v>116.5</v>
      </c>
    </row>
    <row r="108" ht="15.75" customHeight="1">
      <c r="A108" s="381">
        <v>630.0</v>
      </c>
      <c r="B108" s="380" t="s">
        <v>853</v>
      </c>
      <c r="C108" s="56">
        <f>'3a. Typical Mode Sequence (Powe'!C108</f>
        <v>116.5</v>
      </c>
      <c r="D108" s="379">
        <v>110.0</v>
      </c>
      <c r="E108" s="304">
        <f t="shared" ref="E108:K108" si="106">IF($B108=E$2,$C108,0)</f>
        <v>0</v>
      </c>
      <c r="F108" s="304">
        <f t="shared" si="106"/>
        <v>0</v>
      </c>
      <c r="G108" s="304">
        <f t="shared" si="106"/>
        <v>0</v>
      </c>
      <c r="H108" s="304">
        <f t="shared" si="106"/>
        <v>0</v>
      </c>
      <c r="I108" s="304">
        <f t="shared" si="106"/>
        <v>0</v>
      </c>
      <c r="J108" s="304">
        <f t="shared" si="106"/>
        <v>0</v>
      </c>
      <c r="K108" s="304">
        <f t="shared" si="106"/>
        <v>116.5</v>
      </c>
    </row>
    <row r="109" ht="15.75" customHeight="1">
      <c r="A109" s="381">
        <v>636.0</v>
      </c>
      <c r="B109" s="380" t="s">
        <v>853</v>
      </c>
      <c r="C109" s="56">
        <f>'3a. Typical Mode Sequence (Powe'!C109</f>
        <v>116.5</v>
      </c>
      <c r="D109" s="379">
        <v>110.0</v>
      </c>
      <c r="E109" s="304">
        <f t="shared" ref="E109:K109" si="107">IF($B109=E$2,$C109,0)</f>
        <v>0</v>
      </c>
      <c r="F109" s="304">
        <f t="shared" si="107"/>
        <v>0</v>
      </c>
      <c r="G109" s="304">
        <f t="shared" si="107"/>
        <v>0</v>
      </c>
      <c r="H109" s="304">
        <f t="shared" si="107"/>
        <v>0</v>
      </c>
      <c r="I109" s="304">
        <f t="shared" si="107"/>
        <v>0</v>
      </c>
      <c r="J109" s="304">
        <f t="shared" si="107"/>
        <v>0</v>
      </c>
      <c r="K109" s="304">
        <f t="shared" si="107"/>
        <v>116.5</v>
      </c>
    </row>
    <row r="110" ht="15.75" customHeight="1">
      <c r="A110" s="381">
        <v>642.0</v>
      </c>
      <c r="B110" s="380" t="s">
        <v>853</v>
      </c>
      <c r="C110" s="56">
        <f>'3a. Typical Mode Sequence (Powe'!C110</f>
        <v>116.5</v>
      </c>
      <c r="D110" s="379">
        <v>110.0</v>
      </c>
      <c r="E110" s="304">
        <f t="shared" ref="E110:K110" si="108">IF($B110=E$2,$C110,0)</f>
        <v>0</v>
      </c>
      <c r="F110" s="304">
        <f t="shared" si="108"/>
        <v>0</v>
      </c>
      <c r="G110" s="304">
        <f t="shared" si="108"/>
        <v>0</v>
      </c>
      <c r="H110" s="304">
        <f t="shared" si="108"/>
        <v>0</v>
      </c>
      <c r="I110" s="304">
        <f t="shared" si="108"/>
        <v>0</v>
      </c>
      <c r="J110" s="304">
        <f t="shared" si="108"/>
        <v>0</v>
      </c>
      <c r="K110" s="304">
        <f t="shared" si="108"/>
        <v>116.5</v>
      </c>
    </row>
    <row r="111" ht="15.75" customHeight="1">
      <c r="A111" s="381">
        <v>648.0</v>
      </c>
      <c r="B111" s="380" t="s">
        <v>853</v>
      </c>
      <c r="C111" s="56">
        <f>'3a. Typical Mode Sequence (Powe'!C111</f>
        <v>116.5</v>
      </c>
      <c r="D111" s="379">
        <v>110.0</v>
      </c>
      <c r="E111" s="304">
        <f t="shared" ref="E111:K111" si="109">IF($B111=E$2,$C111,0)</f>
        <v>0</v>
      </c>
      <c r="F111" s="304">
        <f t="shared" si="109"/>
        <v>0</v>
      </c>
      <c r="G111" s="304">
        <f t="shared" si="109"/>
        <v>0</v>
      </c>
      <c r="H111" s="304">
        <f t="shared" si="109"/>
        <v>0</v>
      </c>
      <c r="I111" s="304">
        <f t="shared" si="109"/>
        <v>0</v>
      </c>
      <c r="J111" s="304">
        <f t="shared" si="109"/>
        <v>0</v>
      </c>
      <c r="K111" s="304">
        <f t="shared" si="109"/>
        <v>116.5</v>
      </c>
    </row>
    <row r="112" ht="15.75" customHeight="1">
      <c r="A112" s="381">
        <v>654.0</v>
      </c>
      <c r="B112" s="380" t="s">
        <v>853</v>
      </c>
      <c r="C112" s="56">
        <f>'3a. Typical Mode Sequence (Powe'!C112</f>
        <v>116.5</v>
      </c>
      <c r="D112" s="379">
        <v>110.0</v>
      </c>
      <c r="E112" s="304">
        <f t="shared" ref="E112:K112" si="110">IF($B112=E$2,$C112,0)</f>
        <v>0</v>
      </c>
      <c r="F112" s="304">
        <f t="shared" si="110"/>
        <v>0</v>
      </c>
      <c r="G112" s="304">
        <f t="shared" si="110"/>
        <v>0</v>
      </c>
      <c r="H112" s="304">
        <f t="shared" si="110"/>
        <v>0</v>
      </c>
      <c r="I112" s="304">
        <f t="shared" si="110"/>
        <v>0</v>
      </c>
      <c r="J112" s="304">
        <f t="shared" si="110"/>
        <v>0</v>
      </c>
      <c r="K112" s="304">
        <f t="shared" si="110"/>
        <v>116.5</v>
      </c>
    </row>
    <row r="113" ht="15.75" customHeight="1">
      <c r="A113" s="381">
        <v>660.0</v>
      </c>
      <c r="B113" s="380" t="s">
        <v>853</v>
      </c>
      <c r="C113" s="56">
        <f>'3a. Typical Mode Sequence (Powe'!C113</f>
        <v>116.5</v>
      </c>
      <c r="D113" s="379">
        <v>110.0</v>
      </c>
      <c r="E113" s="304">
        <f t="shared" ref="E113:K113" si="111">IF($B113=E$2,$C113,0)</f>
        <v>0</v>
      </c>
      <c r="F113" s="304">
        <f t="shared" si="111"/>
        <v>0</v>
      </c>
      <c r="G113" s="304">
        <f t="shared" si="111"/>
        <v>0</v>
      </c>
      <c r="H113" s="304">
        <f t="shared" si="111"/>
        <v>0</v>
      </c>
      <c r="I113" s="304">
        <f t="shared" si="111"/>
        <v>0</v>
      </c>
      <c r="J113" s="304">
        <f t="shared" si="111"/>
        <v>0</v>
      </c>
      <c r="K113" s="304">
        <f t="shared" si="111"/>
        <v>116.5</v>
      </c>
    </row>
    <row r="114" ht="15.75" customHeight="1">
      <c r="A114" s="381">
        <v>666.0</v>
      </c>
      <c r="B114" s="380" t="s">
        <v>853</v>
      </c>
      <c r="C114" s="56">
        <f>'3a. Typical Mode Sequence (Powe'!C114</f>
        <v>116.5</v>
      </c>
      <c r="D114" s="379">
        <v>110.0</v>
      </c>
      <c r="E114" s="304">
        <f t="shared" ref="E114:K114" si="112">IF($B114=E$2,$C114,0)</f>
        <v>0</v>
      </c>
      <c r="F114" s="304">
        <f t="shared" si="112"/>
        <v>0</v>
      </c>
      <c r="G114" s="304">
        <f t="shared" si="112"/>
        <v>0</v>
      </c>
      <c r="H114" s="304">
        <f t="shared" si="112"/>
        <v>0</v>
      </c>
      <c r="I114" s="304">
        <f t="shared" si="112"/>
        <v>0</v>
      </c>
      <c r="J114" s="304">
        <f t="shared" si="112"/>
        <v>0</v>
      </c>
      <c r="K114" s="304">
        <f t="shared" si="112"/>
        <v>116.5</v>
      </c>
    </row>
    <row r="115" ht="15.75" customHeight="1">
      <c r="A115" s="381">
        <v>672.0</v>
      </c>
      <c r="B115" s="380" t="s">
        <v>853</v>
      </c>
      <c r="C115" s="56">
        <f>'3a. Typical Mode Sequence (Powe'!C115</f>
        <v>116.5</v>
      </c>
      <c r="D115" s="379">
        <v>110.0</v>
      </c>
      <c r="E115" s="304">
        <f t="shared" ref="E115:K115" si="113">IF($B115=E$2,$C115,0)</f>
        <v>0</v>
      </c>
      <c r="F115" s="304">
        <f t="shared" si="113"/>
        <v>0</v>
      </c>
      <c r="G115" s="304">
        <f t="shared" si="113"/>
        <v>0</v>
      </c>
      <c r="H115" s="304">
        <f t="shared" si="113"/>
        <v>0</v>
      </c>
      <c r="I115" s="304">
        <f t="shared" si="113"/>
        <v>0</v>
      </c>
      <c r="J115" s="304">
        <f t="shared" si="113"/>
        <v>0</v>
      </c>
      <c r="K115" s="304">
        <f t="shared" si="113"/>
        <v>116.5</v>
      </c>
    </row>
    <row r="116" ht="15.75" customHeight="1">
      <c r="A116" s="381">
        <v>678.0</v>
      </c>
      <c r="B116" s="380" t="s">
        <v>853</v>
      </c>
      <c r="C116" s="56">
        <f>'3a. Typical Mode Sequence (Powe'!C116</f>
        <v>116.5</v>
      </c>
      <c r="D116" s="379">
        <v>110.0</v>
      </c>
      <c r="E116" s="304">
        <f t="shared" ref="E116:K116" si="114">IF($B116=E$2,$C116,0)</f>
        <v>0</v>
      </c>
      <c r="F116" s="304">
        <f t="shared" si="114"/>
        <v>0</v>
      </c>
      <c r="G116" s="304">
        <f t="shared" si="114"/>
        <v>0</v>
      </c>
      <c r="H116" s="304">
        <f t="shared" si="114"/>
        <v>0</v>
      </c>
      <c r="I116" s="304">
        <f t="shared" si="114"/>
        <v>0</v>
      </c>
      <c r="J116" s="304">
        <f t="shared" si="114"/>
        <v>0</v>
      </c>
      <c r="K116" s="304">
        <f t="shared" si="114"/>
        <v>116.5</v>
      </c>
    </row>
    <row r="117" ht="15.75" customHeight="1">
      <c r="A117" s="381">
        <v>684.0</v>
      </c>
      <c r="B117" s="380" t="s">
        <v>853</v>
      </c>
      <c r="C117" s="56">
        <f>'3a. Typical Mode Sequence (Powe'!C117</f>
        <v>116.5</v>
      </c>
      <c r="D117" s="379">
        <v>110.0</v>
      </c>
      <c r="E117" s="304">
        <f t="shared" ref="E117:K117" si="115">IF($B117=E$2,$C117,0)</f>
        <v>0</v>
      </c>
      <c r="F117" s="304">
        <f t="shared" si="115"/>
        <v>0</v>
      </c>
      <c r="G117" s="304">
        <f t="shared" si="115"/>
        <v>0</v>
      </c>
      <c r="H117" s="304">
        <f t="shared" si="115"/>
        <v>0</v>
      </c>
      <c r="I117" s="304">
        <f t="shared" si="115"/>
        <v>0</v>
      </c>
      <c r="J117" s="304">
        <f t="shared" si="115"/>
        <v>0</v>
      </c>
      <c r="K117" s="304">
        <f t="shared" si="115"/>
        <v>116.5</v>
      </c>
    </row>
    <row r="118" ht="15.75" customHeight="1">
      <c r="A118" s="381">
        <v>690.0</v>
      </c>
      <c r="B118" s="380" t="s">
        <v>852</v>
      </c>
      <c r="C118" s="56">
        <f>'3a. Typical Mode Sequence (Powe'!C118</f>
        <v>71.5</v>
      </c>
      <c r="D118" s="379">
        <v>110.0</v>
      </c>
      <c r="E118" s="304">
        <f t="shared" ref="E118:K118" si="116">IF($B118=E$2,$C118,0)</f>
        <v>0</v>
      </c>
      <c r="F118" s="304">
        <f t="shared" si="116"/>
        <v>0</v>
      </c>
      <c r="G118" s="304">
        <f t="shared" si="116"/>
        <v>0</v>
      </c>
      <c r="H118" s="304">
        <f t="shared" si="116"/>
        <v>0</v>
      </c>
      <c r="I118" s="304">
        <f t="shared" si="116"/>
        <v>71.5</v>
      </c>
      <c r="J118" s="304">
        <f t="shared" si="116"/>
        <v>0</v>
      </c>
      <c r="K118" s="304">
        <f t="shared" si="116"/>
        <v>0</v>
      </c>
    </row>
    <row r="119" ht="15.75" customHeight="1">
      <c r="A119" s="381">
        <v>696.0</v>
      </c>
      <c r="B119" s="380" t="s">
        <v>852</v>
      </c>
      <c r="C119" s="56">
        <f>'3a. Typical Mode Sequence (Powe'!C119</f>
        <v>71.5</v>
      </c>
      <c r="D119" s="379">
        <v>110.0</v>
      </c>
      <c r="E119" s="304">
        <f t="shared" ref="E119:K119" si="117">IF($B119=E$2,$C119,0)</f>
        <v>0</v>
      </c>
      <c r="F119" s="304">
        <f t="shared" si="117"/>
        <v>0</v>
      </c>
      <c r="G119" s="304">
        <f t="shared" si="117"/>
        <v>0</v>
      </c>
      <c r="H119" s="304">
        <f t="shared" si="117"/>
        <v>0</v>
      </c>
      <c r="I119" s="304">
        <f t="shared" si="117"/>
        <v>71.5</v>
      </c>
      <c r="J119" s="304">
        <f t="shared" si="117"/>
        <v>0</v>
      </c>
      <c r="K119" s="304">
        <f t="shared" si="117"/>
        <v>0</v>
      </c>
    </row>
    <row r="120" ht="15.75" customHeight="1">
      <c r="A120" s="381">
        <v>702.0</v>
      </c>
      <c r="B120" s="380" t="s">
        <v>852</v>
      </c>
      <c r="C120" s="56">
        <f>'3a. Typical Mode Sequence (Powe'!C120</f>
        <v>71.5</v>
      </c>
      <c r="D120" s="379">
        <v>110.0</v>
      </c>
      <c r="E120" s="304">
        <f t="shared" ref="E120:K120" si="118">IF($B120=E$2,$C120,0)</f>
        <v>0</v>
      </c>
      <c r="F120" s="304">
        <f t="shared" si="118"/>
        <v>0</v>
      </c>
      <c r="G120" s="304">
        <f t="shared" si="118"/>
        <v>0</v>
      </c>
      <c r="H120" s="304">
        <f t="shared" si="118"/>
        <v>0</v>
      </c>
      <c r="I120" s="304">
        <f t="shared" si="118"/>
        <v>71.5</v>
      </c>
      <c r="J120" s="304">
        <f t="shared" si="118"/>
        <v>0</v>
      </c>
      <c r="K120" s="304">
        <f t="shared" si="118"/>
        <v>0</v>
      </c>
    </row>
    <row r="121" ht="15.75" customHeight="1">
      <c r="A121" s="381">
        <v>708.0</v>
      </c>
      <c r="B121" s="380" t="s">
        <v>852</v>
      </c>
      <c r="C121" s="56">
        <f>'3a. Typical Mode Sequence (Powe'!C121</f>
        <v>71.5</v>
      </c>
      <c r="D121" s="379">
        <v>110.0</v>
      </c>
      <c r="E121" s="304">
        <f t="shared" ref="E121:K121" si="119">IF($B121=E$2,$C121,0)</f>
        <v>0</v>
      </c>
      <c r="F121" s="304">
        <f t="shared" si="119"/>
        <v>0</v>
      </c>
      <c r="G121" s="304">
        <f t="shared" si="119"/>
        <v>0</v>
      </c>
      <c r="H121" s="304">
        <f t="shared" si="119"/>
        <v>0</v>
      </c>
      <c r="I121" s="304">
        <f t="shared" si="119"/>
        <v>71.5</v>
      </c>
      <c r="J121" s="304">
        <f t="shared" si="119"/>
        <v>0</v>
      </c>
      <c r="K121" s="304">
        <f t="shared" si="119"/>
        <v>0</v>
      </c>
    </row>
    <row r="122" ht="15.75" customHeight="1">
      <c r="A122" s="381">
        <v>714.0</v>
      </c>
      <c r="B122" s="380" t="s">
        <v>852</v>
      </c>
      <c r="C122" s="56">
        <f>'3a. Typical Mode Sequence (Powe'!C122</f>
        <v>71.5</v>
      </c>
      <c r="D122" s="379">
        <v>110.0</v>
      </c>
      <c r="E122" s="304">
        <f t="shared" ref="E122:K122" si="120">IF($B122=E$2,$C122,0)</f>
        <v>0</v>
      </c>
      <c r="F122" s="304">
        <f t="shared" si="120"/>
        <v>0</v>
      </c>
      <c r="G122" s="304">
        <f t="shared" si="120"/>
        <v>0</v>
      </c>
      <c r="H122" s="304">
        <f t="shared" si="120"/>
        <v>0</v>
      </c>
      <c r="I122" s="304">
        <f t="shared" si="120"/>
        <v>71.5</v>
      </c>
      <c r="J122" s="304">
        <f t="shared" si="120"/>
        <v>0</v>
      </c>
      <c r="K122" s="304">
        <f t="shared" si="120"/>
        <v>0</v>
      </c>
    </row>
    <row r="123" ht="15.75" customHeight="1">
      <c r="A123" s="381">
        <v>720.0</v>
      </c>
      <c r="B123" s="380" t="s">
        <v>852</v>
      </c>
      <c r="C123" s="56">
        <f>'3a. Typical Mode Sequence (Powe'!C123</f>
        <v>71.5</v>
      </c>
      <c r="D123" s="379">
        <v>110.0</v>
      </c>
      <c r="E123" s="304">
        <f t="shared" ref="E123:K123" si="121">IF($B123=E$2,$C123,0)</f>
        <v>0</v>
      </c>
      <c r="F123" s="304">
        <f t="shared" si="121"/>
        <v>0</v>
      </c>
      <c r="G123" s="304">
        <f t="shared" si="121"/>
        <v>0</v>
      </c>
      <c r="H123" s="304">
        <f t="shared" si="121"/>
        <v>0</v>
      </c>
      <c r="I123" s="304">
        <f t="shared" si="121"/>
        <v>71.5</v>
      </c>
      <c r="J123" s="304">
        <f t="shared" si="121"/>
        <v>0</v>
      </c>
      <c r="K123" s="304">
        <f t="shared" si="121"/>
        <v>0</v>
      </c>
    </row>
    <row r="124" ht="15.75" customHeight="1">
      <c r="A124" s="381">
        <v>726.0</v>
      </c>
      <c r="B124" s="380" t="s">
        <v>852</v>
      </c>
      <c r="C124" s="56">
        <f>'3a. Typical Mode Sequence (Powe'!C124</f>
        <v>71.5</v>
      </c>
      <c r="D124" s="379">
        <v>110.0</v>
      </c>
      <c r="E124" s="304">
        <f t="shared" ref="E124:K124" si="122">IF($B124=E$2,$C124,0)</f>
        <v>0</v>
      </c>
      <c r="F124" s="304">
        <f t="shared" si="122"/>
        <v>0</v>
      </c>
      <c r="G124" s="304">
        <f t="shared" si="122"/>
        <v>0</v>
      </c>
      <c r="H124" s="304">
        <f t="shared" si="122"/>
        <v>0</v>
      </c>
      <c r="I124" s="304">
        <f t="shared" si="122"/>
        <v>71.5</v>
      </c>
      <c r="J124" s="304">
        <f t="shared" si="122"/>
        <v>0</v>
      </c>
      <c r="K124" s="304">
        <f t="shared" si="122"/>
        <v>0</v>
      </c>
    </row>
    <row r="125" ht="15.75" customHeight="1">
      <c r="A125" s="381">
        <v>732.0</v>
      </c>
      <c r="B125" s="380" t="s">
        <v>852</v>
      </c>
      <c r="C125" s="56">
        <f>'3a. Typical Mode Sequence (Powe'!C125</f>
        <v>71.5</v>
      </c>
      <c r="D125" s="379">
        <v>110.0</v>
      </c>
      <c r="E125" s="304">
        <f t="shared" ref="E125:K125" si="123">IF($B125=E$2,$C125,0)</f>
        <v>0</v>
      </c>
      <c r="F125" s="304">
        <f t="shared" si="123"/>
        <v>0</v>
      </c>
      <c r="G125" s="304">
        <f t="shared" si="123"/>
        <v>0</v>
      </c>
      <c r="H125" s="304">
        <f t="shared" si="123"/>
        <v>0</v>
      </c>
      <c r="I125" s="304">
        <f t="shared" si="123"/>
        <v>71.5</v>
      </c>
      <c r="J125" s="304">
        <f t="shared" si="123"/>
        <v>0</v>
      </c>
      <c r="K125" s="304">
        <f t="shared" si="123"/>
        <v>0</v>
      </c>
    </row>
    <row r="126" ht="15.75" customHeight="1">
      <c r="A126" s="381">
        <v>738.0</v>
      </c>
      <c r="B126" s="380" t="s">
        <v>852</v>
      </c>
      <c r="C126" s="56">
        <f>'3a. Typical Mode Sequence (Powe'!C126</f>
        <v>71.5</v>
      </c>
      <c r="D126" s="379">
        <v>110.0</v>
      </c>
      <c r="E126" s="304">
        <f t="shared" ref="E126:K126" si="124">IF($B126=E$2,$C126,0)</f>
        <v>0</v>
      </c>
      <c r="F126" s="304">
        <f t="shared" si="124"/>
        <v>0</v>
      </c>
      <c r="G126" s="304">
        <f t="shared" si="124"/>
        <v>0</v>
      </c>
      <c r="H126" s="304">
        <f t="shared" si="124"/>
        <v>0</v>
      </c>
      <c r="I126" s="304">
        <f t="shared" si="124"/>
        <v>71.5</v>
      </c>
      <c r="J126" s="304">
        <f t="shared" si="124"/>
        <v>0</v>
      </c>
      <c r="K126" s="304">
        <f t="shared" si="124"/>
        <v>0</v>
      </c>
    </row>
    <row r="127" ht="15.75" customHeight="1">
      <c r="A127" s="381">
        <v>744.0</v>
      </c>
      <c r="B127" s="380" t="s">
        <v>852</v>
      </c>
      <c r="C127" s="56">
        <f>'3a. Typical Mode Sequence (Powe'!C127</f>
        <v>71.5</v>
      </c>
      <c r="D127" s="379">
        <v>110.0</v>
      </c>
      <c r="E127" s="304">
        <f t="shared" ref="E127:K127" si="125">IF($B127=E$2,$C127,0)</f>
        <v>0</v>
      </c>
      <c r="F127" s="304">
        <f t="shared" si="125"/>
        <v>0</v>
      </c>
      <c r="G127" s="304">
        <f t="shared" si="125"/>
        <v>0</v>
      </c>
      <c r="H127" s="304">
        <f t="shared" si="125"/>
        <v>0</v>
      </c>
      <c r="I127" s="304">
        <f t="shared" si="125"/>
        <v>71.5</v>
      </c>
      <c r="J127" s="304">
        <f t="shared" si="125"/>
        <v>0</v>
      </c>
      <c r="K127" s="304">
        <f t="shared" si="125"/>
        <v>0</v>
      </c>
    </row>
    <row r="128" ht="15.75" customHeight="1">
      <c r="A128" s="381">
        <v>750.0</v>
      </c>
      <c r="B128" s="380" t="s">
        <v>852</v>
      </c>
      <c r="C128" s="56">
        <f>'3a. Typical Mode Sequence (Powe'!C128</f>
        <v>71.5</v>
      </c>
      <c r="D128" s="379">
        <v>110.0</v>
      </c>
      <c r="E128" s="304">
        <f t="shared" ref="E128:K128" si="126">IF($B128=E$2,$C128,0)</f>
        <v>0</v>
      </c>
      <c r="F128" s="304">
        <f t="shared" si="126"/>
        <v>0</v>
      </c>
      <c r="G128" s="304">
        <f t="shared" si="126"/>
        <v>0</v>
      </c>
      <c r="H128" s="304">
        <f t="shared" si="126"/>
        <v>0</v>
      </c>
      <c r="I128" s="304">
        <f t="shared" si="126"/>
        <v>71.5</v>
      </c>
      <c r="J128" s="304">
        <f t="shared" si="126"/>
        <v>0</v>
      </c>
      <c r="K128" s="304">
        <f t="shared" si="126"/>
        <v>0</v>
      </c>
    </row>
    <row r="129" ht="15.75" customHeight="1">
      <c r="A129" s="381">
        <v>756.0</v>
      </c>
      <c r="B129" s="380" t="s">
        <v>852</v>
      </c>
      <c r="C129" s="56">
        <f>'3a. Typical Mode Sequence (Powe'!C129</f>
        <v>71.5</v>
      </c>
      <c r="D129" s="379">
        <v>110.0</v>
      </c>
      <c r="E129" s="304">
        <f t="shared" ref="E129:K129" si="127">IF($B129=E$2,$C129,0)</f>
        <v>0</v>
      </c>
      <c r="F129" s="304">
        <f t="shared" si="127"/>
        <v>0</v>
      </c>
      <c r="G129" s="304">
        <f t="shared" si="127"/>
        <v>0</v>
      </c>
      <c r="H129" s="304">
        <f t="shared" si="127"/>
        <v>0</v>
      </c>
      <c r="I129" s="304">
        <f t="shared" si="127"/>
        <v>71.5</v>
      </c>
      <c r="J129" s="304">
        <f t="shared" si="127"/>
        <v>0</v>
      </c>
      <c r="K129" s="304">
        <f t="shared" si="127"/>
        <v>0</v>
      </c>
    </row>
    <row r="130" ht="15.75" customHeight="1">
      <c r="A130" s="381">
        <v>762.0</v>
      </c>
      <c r="B130" s="380" t="s">
        <v>852</v>
      </c>
      <c r="C130" s="56">
        <f>'3a. Typical Mode Sequence (Powe'!C130</f>
        <v>71.5</v>
      </c>
      <c r="D130" s="379">
        <v>110.0</v>
      </c>
      <c r="E130" s="304">
        <f t="shared" ref="E130:K130" si="128">IF($B130=E$2,$C130,0)</f>
        <v>0</v>
      </c>
      <c r="F130" s="304">
        <f t="shared" si="128"/>
        <v>0</v>
      </c>
      <c r="G130" s="304">
        <f t="shared" si="128"/>
        <v>0</v>
      </c>
      <c r="H130" s="304">
        <f t="shared" si="128"/>
        <v>0</v>
      </c>
      <c r="I130" s="304">
        <f t="shared" si="128"/>
        <v>71.5</v>
      </c>
      <c r="J130" s="304">
        <f t="shared" si="128"/>
        <v>0</v>
      </c>
      <c r="K130" s="304">
        <f t="shared" si="128"/>
        <v>0</v>
      </c>
    </row>
    <row r="131" ht="15.75" customHeight="1">
      <c r="A131" s="381">
        <v>768.0</v>
      </c>
      <c r="B131" s="380" t="s">
        <v>852</v>
      </c>
      <c r="C131" s="56">
        <f>'3a. Typical Mode Sequence (Powe'!C131</f>
        <v>71.5</v>
      </c>
      <c r="D131" s="379">
        <v>110.0</v>
      </c>
      <c r="E131" s="304">
        <f t="shared" ref="E131:K131" si="129">IF($B131=E$2,$C131,0)</f>
        <v>0</v>
      </c>
      <c r="F131" s="304">
        <f t="shared" si="129"/>
        <v>0</v>
      </c>
      <c r="G131" s="304">
        <f t="shared" si="129"/>
        <v>0</v>
      </c>
      <c r="H131" s="304">
        <f t="shared" si="129"/>
        <v>0</v>
      </c>
      <c r="I131" s="304">
        <f t="shared" si="129"/>
        <v>71.5</v>
      </c>
      <c r="J131" s="304">
        <f t="shared" si="129"/>
        <v>0</v>
      </c>
      <c r="K131" s="304">
        <f t="shared" si="129"/>
        <v>0</v>
      </c>
    </row>
    <row r="132" ht="15.75" customHeight="1">
      <c r="A132" s="381">
        <v>774.0</v>
      </c>
      <c r="B132" s="380" t="s">
        <v>852</v>
      </c>
      <c r="C132" s="56">
        <f>'3a. Typical Mode Sequence (Powe'!C132</f>
        <v>71.5</v>
      </c>
      <c r="D132" s="379">
        <v>110.0</v>
      </c>
      <c r="E132" s="304">
        <f t="shared" ref="E132:K132" si="130">IF($B132=E$2,$C132,0)</f>
        <v>0</v>
      </c>
      <c r="F132" s="304">
        <f t="shared" si="130"/>
        <v>0</v>
      </c>
      <c r="G132" s="304">
        <f t="shared" si="130"/>
        <v>0</v>
      </c>
      <c r="H132" s="304">
        <f t="shared" si="130"/>
        <v>0</v>
      </c>
      <c r="I132" s="304">
        <f t="shared" si="130"/>
        <v>71.5</v>
      </c>
      <c r="J132" s="304">
        <f t="shared" si="130"/>
        <v>0</v>
      </c>
      <c r="K132" s="304">
        <f t="shared" si="130"/>
        <v>0</v>
      </c>
    </row>
    <row r="133" ht="15.75" customHeight="1">
      <c r="A133" s="381">
        <v>780.0</v>
      </c>
      <c r="B133" s="380" t="s">
        <v>852</v>
      </c>
      <c r="C133" s="56">
        <f>'3a. Typical Mode Sequence (Powe'!C133</f>
        <v>71.5</v>
      </c>
      <c r="D133" s="379">
        <v>110.0</v>
      </c>
      <c r="E133" s="304">
        <f t="shared" ref="E133:K133" si="131">IF($B133=E$2,$C133,0)</f>
        <v>0</v>
      </c>
      <c r="F133" s="304">
        <f t="shared" si="131"/>
        <v>0</v>
      </c>
      <c r="G133" s="304">
        <f t="shared" si="131"/>
        <v>0</v>
      </c>
      <c r="H133" s="304">
        <f t="shared" si="131"/>
        <v>0</v>
      </c>
      <c r="I133" s="304">
        <f t="shared" si="131"/>
        <v>71.5</v>
      </c>
      <c r="J133" s="304">
        <f t="shared" si="131"/>
        <v>0</v>
      </c>
      <c r="K133" s="304">
        <f t="shared" si="131"/>
        <v>0</v>
      </c>
    </row>
    <row r="134" ht="15.75" customHeight="1">
      <c r="A134" s="381">
        <v>786.0</v>
      </c>
      <c r="B134" s="380" t="s">
        <v>852</v>
      </c>
      <c r="C134" s="56">
        <f>'3a. Typical Mode Sequence (Powe'!C134</f>
        <v>71.5</v>
      </c>
      <c r="D134" s="379">
        <v>110.0</v>
      </c>
      <c r="E134" s="304">
        <f t="shared" ref="E134:K134" si="132">IF($B134=E$2,$C134,0)</f>
        <v>0</v>
      </c>
      <c r="F134" s="304">
        <f t="shared" si="132"/>
        <v>0</v>
      </c>
      <c r="G134" s="304">
        <f t="shared" si="132"/>
        <v>0</v>
      </c>
      <c r="H134" s="304">
        <f t="shared" si="132"/>
        <v>0</v>
      </c>
      <c r="I134" s="304">
        <f t="shared" si="132"/>
        <v>71.5</v>
      </c>
      <c r="J134" s="304">
        <f t="shared" si="132"/>
        <v>0</v>
      </c>
      <c r="K134" s="304">
        <f t="shared" si="132"/>
        <v>0</v>
      </c>
    </row>
    <row r="135" ht="15.75" customHeight="1">
      <c r="A135" s="381">
        <v>792.0</v>
      </c>
      <c r="B135" s="380" t="s">
        <v>852</v>
      </c>
      <c r="C135" s="56">
        <f>'3a. Typical Mode Sequence (Powe'!C135</f>
        <v>71.5</v>
      </c>
      <c r="D135" s="379">
        <v>110.0</v>
      </c>
      <c r="E135" s="304">
        <f t="shared" ref="E135:K135" si="133">IF($B135=E$2,$C135,0)</f>
        <v>0</v>
      </c>
      <c r="F135" s="304">
        <f t="shared" si="133"/>
        <v>0</v>
      </c>
      <c r="G135" s="304">
        <f t="shared" si="133"/>
        <v>0</v>
      </c>
      <c r="H135" s="304">
        <f t="shared" si="133"/>
        <v>0</v>
      </c>
      <c r="I135" s="304">
        <f t="shared" si="133"/>
        <v>71.5</v>
      </c>
      <c r="J135" s="304">
        <f t="shared" si="133"/>
        <v>0</v>
      </c>
      <c r="K135" s="304">
        <f t="shared" si="133"/>
        <v>0</v>
      </c>
    </row>
    <row r="136" ht="15.75" customHeight="1">
      <c r="A136" s="381">
        <v>798.0</v>
      </c>
      <c r="B136" s="380" t="s">
        <v>852</v>
      </c>
      <c r="C136" s="56">
        <f>'3a. Typical Mode Sequence (Powe'!C136</f>
        <v>71.5</v>
      </c>
      <c r="D136" s="379">
        <v>110.0</v>
      </c>
      <c r="E136" s="304">
        <f t="shared" ref="E136:K136" si="134">IF($B136=E$2,$C136,0)</f>
        <v>0</v>
      </c>
      <c r="F136" s="304">
        <f t="shared" si="134"/>
        <v>0</v>
      </c>
      <c r="G136" s="304">
        <f t="shared" si="134"/>
        <v>0</v>
      </c>
      <c r="H136" s="304">
        <f t="shared" si="134"/>
        <v>0</v>
      </c>
      <c r="I136" s="304">
        <f t="shared" si="134"/>
        <v>71.5</v>
      </c>
      <c r="J136" s="304">
        <f t="shared" si="134"/>
        <v>0</v>
      </c>
      <c r="K136" s="304">
        <f t="shared" si="134"/>
        <v>0</v>
      </c>
    </row>
    <row r="137" ht="15.75" customHeight="1">
      <c r="A137" s="381">
        <v>804.0</v>
      </c>
      <c r="B137" s="380" t="s">
        <v>852</v>
      </c>
      <c r="C137" s="56">
        <f>'3a. Typical Mode Sequence (Powe'!C137</f>
        <v>71.5</v>
      </c>
      <c r="D137" s="379">
        <v>110.0</v>
      </c>
      <c r="E137" s="304">
        <f t="shared" ref="E137:K137" si="135">IF($B137=E$2,$C137,0)</f>
        <v>0</v>
      </c>
      <c r="F137" s="304">
        <f t="shared" si="135"/>
        <v>0</v>
      </c>
      <c r="G137" s="304">
        <f t="shared" si="135"/>
        <v>0</v>
      </c>
      <c r="H137" s="304">
        <f t="shared" si="135"/>
        <v>0</v>
      </c>
      <c r="I137" s="304">
        <f t="shared" si="135"/>
        <v>71.5</v>
      </c>
      <c r="J137" s="304">
        <f t="shared" si="135"/>
        <v>0</v>
      </c>
      <c r="K137" s="304">
        <f t="shared" si="135"/>
        <v>0</v>
      </c>
    </row>
    <row r="138" ht="15.75" customHeight="1">
      <c r="A138" s="381">
        <v>810.0</v>
      </c>
      <c r="B138" s="380" t="s">
        <v>852</v>
      </c>
      <c r="C138" s="56">
        <f>'3a. Typical Mode Sequence (Powe'!C138</f>
        <v>71.5</v>
      </c>
      <c r="D138" s="379">
        <v>110.0</v>
      </c>
      <c r="E138" s="304">
        <f t="shared" ref="E138:K138" si="136">IF($B138=E$2,$C138,0)</f>
        <v>0</v>
      </c>
      <c r="F138" s="304">
        <f t="shared" si="136"/>
        <v>0</v>
      </c>
      <c r="G138" s="304">
        <f t="shared" si="136"/>
        <v>0</v>
      </c>
      <c r="H138" s="304">
        <f t="shared" si="136"/>
        <v>0</v>
      </c>
      <c r="I138" s="304">
        <f t="shared" si="136"/>
        <v>71.5</v>
      </c>
      <c r="J138" s="304">
        <f t="shared" si="136"/>
        <v>0</v>
      </c>
      <c r="K138" s="304">
        <f t="shared" si="136"/>
        <v>0</v>
      </c>
    </row>
    <row r="139" ht="15.75" customHeight="1">
      <c r="A139" s="381">
        <v>816.0</v>
      </c>
      <c r="B139" s="380" t="s">
        <v>852</v>
      </c>
      <c r="C139" s="56">
        <f>'3a. Typical Mode Sequence (Powe'!C139</f>
        <v>71.5</v>
      </c>
      <c r="D139" s="379">
        <v>110.0</v>
      </c>
      <c r="E139" s="304">
        <f t="shared" ref="E139:K139" si="137">IF($B139=E$2,$C139,0)</f>
        <v>0</v>
      </c>
      <c r="F139" s="304">
        <f t="shared" si="137"/>
        <v>0</v>
      </c>
      <c r="G139" s="304">
        <f t="shared" si="137"/>
        <v>0</v>
      </c>
      <c r="H139" s="304">
        <f t="shared" si="137"/>
        <v>0</v>
      </c>
      <c r="I139" s="304">
        <f t="shared" si="137"/>
        <v>71.5</v>
      </c>
      <c r="J139" s="304">
        <f t="shared" si="137"/>
        <v>0</v>
      </c>
      <c r="K139" s="304">
        <f t="shared" si="137"/>
        <v>0</v>
      </c>
    </row>
    <row r="140" ht="15.75" customHeight="1">
      <c r="A140" s="381">
        <v>822.0</v>
      </c>
      <c r="B140" s="380" t="s">
        <v>852</v>
      </c>
      <c r="C140" s="56">
        <f>'3a. Typical Mode Sequence (Powe'!C140</f>
        <v>71.5</v>
      </c>
      <c r="D140" s="379">
        <v>110.0</v>
      </c>
      <c r="E140" s="304">
        <f t="shared" ref="E140:K140" si="138">IF($B140=E$2,$C140,0)</f>
        <v>0</v>
      </c>
      <c r="F140" s="304">
        <f t="shared" si="138"/>
        <v>0</v>
      </c>
      <c r="G140" s="304">
        <f t="shared" si="138"/>
        <v>0</v>
      </c>
      <c r="H140" s="304">
        <f t="shared" si="138"/>
        <v>0</v>
      </c>
      <c r="I140" s="304">
        <f t="shared" si="138"/>
        <v>71.5</v>
      </c>
      <c r="J140" s="304">
        <f t="shared" si="138"/>
        <v>0</v>
      </c>
      <c r="K140" s="304">
        <f t="shared" si="138"/>
        <v>0</v>
      </c>
    </row>
    <row r="141" ht="15.75" customHeight="1">
      <c r="A141" s="381">
        <v>828.0</v>
      </c>
      <c r="B141" s="380" t="s">
        <v>852</v>
      </c>
      <c r="C141" s="56">
        <f>'3a. Typical Mode Sequence (Powe'!C141</f>
        <v>71.5</v>
      </c>
      <c r="D141" s="379">
        <v>110.0</v>
      </c>
      <c r="E141" s="304">
        <f t="shared" ref="E141:K141" si="139">IF($B141=E$2,$C141,0)</f>
        <v>0</v>
      </c>
      <c r="F141" s="304">
        <f t="shared" si="139"/>
        <v>0</v>
      </c>
      <c r="G141" s="304">
        <f t="shared" si="139"/>
        <v>0</v>
      </c>
      <c r="H141" s="304">
        <f t="shared" si="139"/>
        <v>0</v>
      </c>
      <c r="I141" s="304">
        <f t="shared" si="139"/>
        <v>71.5</v>
      </c>
      <c r="J141" s="304">
        <f t="shared" si="139"/>
        <v>0</v>
      </c>
      <c r="K141" s="304">
        <f t="shared" si="139"/>
        <v>0</v>
      </c>
    </row>
    <row r="142" ht="15.75" customHeight="1">
      <c r="A142" s="381">
        <v>834.0</v>
      </c>
      <c r="B142" s="380" t="s">
        <v>852</v>
      </c>
      <c r="C142" s="56">
        <f>'3a. Typical Mode Sequence (Powe'!C142</f>
        <v>71.5</v>
      </c>
      <c r="D142" s="379">
        <v>110.0</v>
      </c>
      <c r="E142" s="304">
        <f t="shared" ref="E142:K142" si="140">IF($B142=E$2,$C142,0)</f>
        <v>0</v>
      </c>
      <c r="F142" s="304">
        <f t="shared" si="140"/>
        <v>0</v>
      </c>
      <c r="G142" s="304">
        <f t="shared" si="140"/>
        <v>0</v>
      </c>
      <c r="H142" s="304">
        <f t="shared" si="140"/>
        <v>0</v>
      </c>
      <c r="I142" s="304">
        <f t="shared" si="140"/>
        <v>71.5</v>
      </c>
      <c r="J142" s="304">
        <f t="shared" si="140"/>
        <v>0</v>
      </c>
      <c r="K142" s="304">
        <f t="shared" si="140"/>
        <v>0</v>
      </c>
    </row>
    <row r="143" ht="15.75" customHeight="1">
      <c r="A143" s="381">
        <v>840.0</v>
      </c>
      <c r="B143" s="380" t="s">
        <v>852</v>
      </c>
      <c r="C143" s="56">
        <f>'3a. Typical Mode Sequence (Powe'!C143</f>
        <v>71.5</v>
      </c>
      <c r="D143" s="379">
        <v>110.0</v>
      </c>
      <c r="E143" s="304">
        <f t="shared" ref="E143:K143" si="141">IF($B143=E$2,$C143,0)</f>
        <v>0</v>
      </c>
      <c r="F143" s="304">
        <f t="shared" si="141"/>
        <v>0</v>
      </c>
      <c r="G143" s="304">
        <f t="shared" si="141"/>
        <v>0</v>
      </c>
      <c r="H143" s="304">
        <f t="shared" si="141"/>
        <v>0</v>
      </c>
      <c r="I143" s="304">
        <f t="shared" si="141"/>
        <v>71.5</v>
      </c>
      <c r="J143" s="304">
        <f t="shared" si="141"/>
        <v>0</v>
      </c>
      <c r="K143" s="304">
        <f t="shared" si="141"/>
        <v>0</v>
      </c>
    </row>
    <row r="144" ht="15.75" customHeight="1">
      <c r="A144" s="381">
        <v>846.0</v>
      </c>
      <c r="B144" s="380" t="s">
        <v>852</v>
      </c>
      <c r="C144" s="56">
        <f>'3a. Typical Mode Sequence (Powe'!C144</f>
        <v>71.5</v>
      </c>
      <c r="D144" s="379">
        <v>110.0</v>
      </c>
      <c r="E144" s="304">
        <f t="shared" ref="E144:K144" si="142">IF($B144=E$2,$C144,0)</f>
        <v>0</v>
      </c>
      <c r="F144" s="304">
        <f t="shared" si="142"/>
        <v>0</v>
      </c>
      <c r="G144" s="304">
        <f t="shared" si="142"/>
        <v>0</v>
      </c>
      <c r="H144" s="304">
        <f t="shared" si="142"/>
        <v>0</v>
      </c>
      <c r="I144" s="304">
        <f t="shared" si="142"/>
        <v>71.5</v>
      </c>
      <c r="J144" s="304">
        <f t="shared" si="142"/>
        <v>0</v>
      </c>
      <c r="K144" s="304">
        <f t="shared" si="142"/>
        <v>0</v>
      </c>
    </row>
    <row r="145" ht="15.75" customHeight="1">
      <c r="A145" s="381">
        <v>852.0</v>
      </c>
      <c r="B145" s="380" t="s">
        <v>852</v>
      </c>
      <c r="C145" s="56">
        <f>'3a. Typical Mode Sequence (Powe'!C145</f>
        <v>71.5</v>
      </c>
      <c r="D145" s="379">
        <v>110.0</v>
      </c>
      <c r="E145" s="304">
        <f t="shared" ref="E145:K145" si="143">IF($B145=E$2,$C145,0)</f>
        <v>0</v>
      </c>
      <c r="F145" s="304">
        <f t="shared" si="143"/>
        <v>0</v>
      </c>
      <c r="G145" s="304">
        <f t="shared" si="143"/>
        <v>0</v>
      </c>
      <c r="H145" s="304">
        <f t="shared" si="143"/>
        <v>0</v>
      </c>
      <c r="I145" s="304">
        <f t="shared" si="143"/>
        <v>71.5</v>
      </c>
      <c r="J145" s="304">
        <f t="shared" si="143"/>
        <v>0</v>
      </c>
      <c r="K145" s="304">
        <f t="shared" si="143"/>
        <v>0</v>
      </c>
    </row>
    <row r="146" ht="15.75" customHeight="1">
      <c r="A146" s="381">
        <v>858.0</v>
      </c>
      <c r="B146" s="380" t="s">
        <v>852</v>
      </c>
      <c r="C146" s="56">
        <f>'3a. Typical Mode Sequence (Powe'!C146</f>
        <v>71.5</v>
      </c>
      <c r="D146" s="379">
        <v>110.0</v>
      </c>
      <c r="E146" s="304">
        <f t="shared" ref="E146:K146" si="144">IF($B146=E$2,$C146,0)</f>
        <v>0</v>
      </c>
      <c r="F146" s="304">
        <f t="shared" si="144"/>
        <v>0</v>
      </c>
      <c r="G146" s="304">
        <f t="shared" si="144"/>
        <v>0</v>
      </c>
      <c r="H146" s="304">
        <f t="shared" si="144"/>
        <v>0</v>
      </c>
      <c r="I146" s="304">
        <f t="shared" si="144"/>
        <v>71.5</v>
      </c>
      <c r="J146" s="304">
        <f t="shared" si="144"/>
        <v>0</v>
      </c>
      <c r="K146" s="304">
        <f t="shared" si="144"/>
        <v>0</v>
      </c>
    </row>
    <row r="147" ht="15.75" customHeight="1">
      <c r="A147" s="381">
        <v>864.0</v>
      </c>
      <c r="B147" s="380" t="s">
        <v>852</v>
      </c>
      <c r="C147" s="56">
        <f>'3a. Typical Mode Sequence (Powe'!C147</f>
        <v>71.5</v>
      </c>
      <c r="D147" s="379">
        <v>110.0</v>
      </c>
      <c r="E147" s="304">
        <f t="shared" ref="E147:K147" si="145">IF($B147=E$2,$C147,0)</f>
        <v>0</v>
      </c>
      <c r="F147" s="304">
        <f t="shared" si="145"/>
        <v>0</v>
      </c>
      <c r="G147" s="304">
        <f t="shared" si="145"/>
        <v>0</v>
      </c>
      <c r="H147" s="304">
        <f t="shared" si="145"/>
        <v>0</v>
      </c>
      <c r="I147" s="304">
        <f t="shared" si="145"/>
        <v>71.5</v>
      </c>
      <c r="J147" s="304">
        <f t="shared" si="145"/>
        <v>0</v>
      </c>
      <c r="K147" s="304">
        <f t="shared" si="145"/>
        <v>0</v>
      </c>
    </row>
    <row r="148" ht="15.75" customHeight="1">
      <c r="A148" s="381">
        <v>870.0</v>
      </c>
      <c r="B148" s="380" t="s">
        <v>852</v>
      </c>
      <c r="C148" s="56">
        <f>'3a. Typical Mode Sequence (Powe'!C148</f>
        <v>71.5</v>
      </c>
      <c r="D148" s="379">
        <v>110.0</v>
      </c>
      <c r="E148" s="304">
        <f t="shared" ref="E148:K148" si="146">IF($B148=E$2,$C148,0)</f>
        <v>0</v>
      </c>
      <c r="F148" s="304">
        <f t="shared" si="146"/>
        <v>0</v>
      </c>
      <c r="G148" s="304">
        <f t="shared" si="146"/>
        <v>0</v>
      </c>
      <c r="H148" s="304">
        <f t="shared" si="146"/>
        <v>0</v>
      </c>
      <c r="I148" s="304">
        <f t="shared" si="146"/>
        <v>71.5</v>
      </c>
      <c r="J148" s="304">
        <f t="shared" si="146"/>
        <v>0</v>
      </c>
      <c r="K148" s="304">
        <f t="shared" si="146"/>
        <v>0</v>
      </c>
    </row>
    <row r="149" ht="15.75" customHeight="1">
      <c r="A149" s="381">
        <v>876.0</v>
      </c>
      <c r="B149" s="380" t="s">
        <v>852</v>
      </c>
      <c r="C149" s="56">
        <f>'3a. Typical Mode Sequence (Powe'!C149</f>
        <v>71.5</v>
      </c>
      <c r="D149" s="379">
        <v>110.0</v>
      </c>
      <c r="E149" s="304">
        <f t="shared" ref="E149:K149" si="147">IF($B149=E$2,$C149,0)</f>
        <v>0</v>
      </c>
      <c r="F149" s="304">
        <f t="shared" si="147"/>
        <v>0</v>
      </c>
      <c r="G149" s="304">
        <f t="shared" si="147"/>
        <v>0</v>
      </c>
      <c r="H149" s="304">
        <f t="shared" si="147"/>
        <v>0</v>
      </c>
      <c r="I149" s="304">
        <f t="shared" si="147"/>
        <v>71.5</v>
      </c>
      <c r="J149" s="304">
        <f t="shared" si="147"/>
        <v>0</v>
      </c>
      <c r="K149" s="304">
        <f t="shared" si="147"/>
        <v>0</v>
      </c>
    </row>
    <row r="150" ht="15.75" customHeight="1">
      <c r="A150" s="381">
        <v>882.0</v>
      </c>
      <c r="B150" s="380" t="s">
        <v>852</v>
      </c>
      <c r="C150" s="56">
        <f>'3a. Typical Mode Sequence (Powe'!C150</f>
        <v>71.5</v>
      </c>
      <c r="D150" s="379">
        <v>110.0</v>
      </c>
      <c r="E150" s="304">
        <f t="shared" ref="E150:K150" si="148">IF($B150=E$2,$C150,0)</f>
        <v>0</v>
      </c>
      <c r="F150" s="304">
        <f t="shared" si="148"/>
        <v>0</v>
      </c>
      <c r="G150" s="304">
        <f t="shared" si="148"/>
        <v>0</v>
      </c>
      <c r="H150" s="304">
        <f t="shared" si="148"/>
        <v>0</v>
      </c>
      <c r="I150" s="304">
        <f t="shared" si="148"/>
        <v>71.5</v>
      </c>
      <c r="J150" s="304">
        <f t="shared" si="148"/>
        <v>0</v>
      </c>
      <c r="K150" s="304">
        <f t="shared" si="148"/>
        <v>0</v>
      </c>
    </row>
    <row r="151" ht="15.75" customHeight="1">
      <c r="A151" s="381">
        <v>888.0</v>
      </c>
      <c r="B151" s="380" t="s">
        <v>852</v>
      </c>
      <c r="C151" s="56">
        <f>'3a. Typical Mode Sequence (Powe'!C151</f>
        <v>71.5</v>
      </c>
      <c r="D151" s="379">
        <v>110.0</v>
      </c>
      <c r="E151" s="304">
        <f t="shared" ref="E151:K151" si="149">IF($B151=E$2,$C151,0)</f>
        <v>0</v>
      </c>
      <c r="F151" s="304">
        <f t="shared" si="149"/>
        <v>0</v>
      </c>
      <c r="G151" s="304">
        <f t="shared" si="149"/>
        <v>0</v>
      </c>
      <c r="H151" s="304">
        <f t="shared" si="149"/>
        <v>0</v>
      </c>
      <c r="I151" s="304">
        <f t="shared" si="149"/>
        <v>71.5</v>
      </c>
      <c r="J151" s="304">
        <f t="shared" si="149"/>
        <v>0</v>
      </c>
      <c r="K151" s="304">
        <f t="shared" si="149"/>
        <v>0</v>
      </c>
    </row>
    <row r="152" ht="15.75" customHeight="1">
      <c r="A152" s="381">
        <v>894.0</v>
      </c>
      <c r="B152" s="380" t="s">
        <v>852</v>
      </c>
      <c r="C152" s="56">
        <f>'3a. Typical Mode Sequence (Powe'!C152</f>
        <v>71.5</v>
      </c>
      <c r="D152" s="379">
        <v>110.0</v>
      </c>
      <c r="E152" s="304">
        <f t="shared" ref="E152:K152" si="150">IF($B152=E$2,$C152,0)</f>
        <v>0</v>
      </c>
      <c r="F152" s="304">
        <f t="shared" si="150"/>
        <v>0</v>
      </c>
      <c r="G152" s="304">
        <f t="shared" si="150"/>
        <v>0</v>
      </c>
      <c r="H152" s="304">
        <f t="shared" si="150"/>
        <v>0</v>
      </c>
      <c r="I152" s="304">
        <f t="shared" si="150"/>
        <v>71.5</v>
      </c>
      <c r="J152" s="304">
        <f t="shared" si="150"/>
        <v>0</v>
      </c>
      <c r="K152" s="304">
        <f t="shared" si="150"/>
        <v>0</v>
      </c>
    </row>
    <row r="153" ht="15.75" customHeight="1">
      <c r="A153" s="381">
        <v>900.0</v>
      </c>
      <c r="B153" s="380" t="s">
        <v>852</v>
      </c>
      <c r="C153" s="56">
        <f>'3a. Typical Mode Sequence (Powe'!C153</f>
        <v>71.5</v>
      </c>
      <c r="D153" s="379">
        <v>110.0</v>
      </c>
      <c r="E153" s="304">
        <f t="shared" ref="E153:K153" si="151">IF($B153=E$2,$C153,0)</f>
        <v>0</v>
      </c>
      <c r="F153" s="304">
        <f t="shared" si="151"/>
        <v>0</v>
      </c>
      <c r="G153" s="304">
        <f t="shared" si="151"/>
        <v>0</v>
      </c>
      <c r="H153" s="304">
        <f t="shared" si="151"/>
        <v>0</v>
      </c>
      <c r="I153" s="304">
        <f t="shared" si="151"/>
        <v>71.5</v>
      </c>
      <c r="J153" s="304">
        <f t="shared" si="151"/>
        <v>0</v>
      </c>
      <c r="K153" s="304">
        <f t="shared" si="151"/>
        <v>0</v>
      </c>
    </row>
    <row r="154" ht="15.75" customHeight="1">
      <c r="A154" s="381">
        <v>906.0</v>
      </c>
      <c r="B154" s="380" t="s">
        <v>852</v>
      </c>
      <c r="C154" s="56">
        <f>'3a. Typical Mode Sequence (Powe'!C154</f>
        <v>71.5</v>
      </c>
      <c r="D154" s="379">
        <v>110.0</v>
      </c>
      <c r="E154" s="304">
        <f t="shared" ref="E154:K154" si="152">IF($B154=E$2,$C154,0)</f>
        <v>0</v>
      </c>
      <c r="F154" s="304">
        <f t="shared" si="152"/>
        <v>0</v>
      </c>
      <c r="G154" s="304">
        <f t="shared" si="152"/>
        <v>0</v>
      </c>
      <c r="H154" s="304">
        <f t="shared" si="152"/>
        <v>0</v>
      </c>
      <c r="I154" s="304">
        <f t="shared" si="152"/>
        <v>71.5</v>
      </c>
      <c r="J154" s="304">
        <f t="shared" si="152"/>
        <v>0</v>
      </c>
      <c r="K154" s="304">
        <f t="shared" si="152"/>
        <v>0</v>
      </c>
    </row>
    <row r="155" ht="15.75" customHeight="1">
      <c r="A155" s="381">
        <v>912.0</v>
      </c>
      <c r="B155" s="380" t="s">
        <v>852</v>
      </c>
      <c r="C155" s="56">
        <f>'3a. Typical Mode Sequence (Powe'!C155</f>
        <v>71.5</v>
      </c>
      <c r="D155" s="379">
        <v>110.0</v>
      </c>
      <c r="E155" s="304">
        <f t="shared" ref="E155:K155" si="153">IF($B155=E$2,$C155,0)</f>
        <v>0</v>
      </c>
      <c r="F155" s="304">
        <f t="shared" si="153"/>
        <v>0</v>
      </c>
      <c r="G155" s="304">
        <f t="shared" si="153"/>
        <v>0</v>
      </c>
      <c r="H155" s="304">
        <f t="shared" si="153"/>
        <v>0</v>
      </c>
      <c r="I155" s="304">
        <f t="shared" si="153"/>
        <v>71.5</v>
      </c>
      <c r="J155" s="304">
        <f t="shared" si="153"/>
        <v>0</v>
      </c>
      <c r="K155" s="304">
        <f t="shared" si="153"/>
        <v>0</v>
      </c>
    </row>
    <row r="156" ht="15.75" customHeight="1">
      <c r="A156" s="381">
        <v>918.0</v>
      </c>
      <c r="B156" s="380" t="s">
        <v>852</v>
      </c>
      <c r="C156" s="56">
        <f>'3a. Typical Mode Sequence (Powe'!C156</f>
        <v>71.5</v>
      </c>
      <c r="D156" s="379">
        <v>110.0</v>
      </c>
      <c r="E156" s="304">
        <f t="shared" ref="E156:K156" si="154">IF($B156=E$2,$C156,0)</f>
        <v>0</v>
      </c>
      <c r="F156" s="304">
        <f t="shared" si="154"/>
        <v>0</v>
      </c>
      <c r="G156" s="304">
        <f t="shared" si="154"/>
        <v>0</v>
      </c>
      <c r="H156" s="304">
        <f t="shared" si="154"/>
        <v>0</v>
      </c>
      <c r="I156" s="304">
        <f t="shared" si="154"/>
        <v>71.5</v>
      </c>
      <c r="J156" s="304">
        <f t="shared" si="154"/>
        <v>0</v>
      </c>
      <c r="K156" s="304">
        <f t="shared" si="154"/>
        <v>0</v>
      </c>
    </row>
    <row r="157" ht="15.75" customHeight="1">
      <c r="A157" s="381">
        <v>924.0</v>
      </c>
      <c r="B157" s="380" t="s">
        <v>852</v>
      </c>
      <c r="C157" s="56">
        <f>'3a. Typical Mode Sequence (Powe'!C157</f>
        <v>71.5</v>
      </c>
      <c r="D157" s="379">
        <v>110.0</v>
      </c>
      <c r="E157" s="304">
        <f t="shared" ref="E157:K157" si="155">IF($B157=E$2,$C157,0)</f>
        <v>0</v>
      </c>
      <c r="F157" s="304">
        <f t="shared" si="155"/>
        <v>0</v>
      </c>
      <c r="G157" s="304">
        <f t="shared" si="155"/>
        <v>0</v>
      </c>
      <c r="H157" s="304">
        <f t="shared" si="155"/>
        <v>0</v>
      </c>
      <c r="I157" s="304">
        <f t="shared" si="155"/>
        <v>71.5</v>
      </c>
      <c r="J157" s="304">
        <f t="shared" si="155"/>
        <v>0</v>
      </c>
      <c r="K157" s="304">
        <f t="shared" si="155"/>
        <v>0</v>
      </c>
    </row>
    <row r="158" ht="15.75" customHeight="1">
      <c r="A158" s="381">
        <v>930.0</v>
      </c>
      <c r="B158" s="380" t="s">
        <v>852</v>
      </c>
      <c r="C158" s="56">
        <f>'3a. Typical Mode Sequence (Powe'!C158</f>
        <v>71.5</v>
      </c>
      <c r="D158" s="379">
        <v>110.0</v>
      </c>
      <c r="E158" s="304">
        <f t="shared" ref="E158:K158" si="156">IF($B158=E$2,$C158,0)</f>
        <v>0</v>
      </c>
      <c r="F158" s="304">
        <f t="shared" si="156"/>
        <v>0</v>
      </c>
      <c r="G158" s="304">
        <f t="shared" si="156"/>
        <v>0</v>
      </c>
      <c r="H158" s="304">
        <f t="shared" si="156"/>
        <v>0</v>
      </c>
      <c r="I158" s="304">
        <f t="shared" si="156"/>
        <v>71.5</v>
      </c>
      <c r="J158" s="304">
        <f t="shared" si="156"/>
        <v>0</v>
      </c>
      <c r="K158" s="304">
        <f t="shared" si="156"/>
        <v>0</v>
      </c>
    </row>
    <row r="159" ht="15.75" customHeight="1">
      <c r="A159" s="381">
        <v>936.0</v>
      </c>
      <c r="B159" s="380" t="s">
        <v>852</v>
      </c>
      <c r="C159" s="56">
        <f>'3a. Typical Mode Sequence (Powe'!C159</f>
        <v>71.5</v>
      </c>
      <c r="D159" s="379">
        <v>110.0</v>
      </c>
      <c r="E159" s="304">
        <f t="shared" ref="E159:K159" si="157">IF($B159=E$2,$C159,0)</f>
        <v>0</v>
      </c>
      <c r="F159" s="304">
        <f t="shared" si="157"/>
        <v>0</v>
      </c>
      <c r="G159" s="304">
        <f t="shared" si="157"/>
        <v>0</v>
      </c>
      <c r="H159" s="304">
        <f t="shared" si="157"/>
        <v>0</v>
      </c>
      <c r="I159" s="304">
        <f t="shared" si="157"/>
        <v>71.5</v>
      </c>
      <c r="J159" s="304">
        <f t="shared" si="157"/>
        <v>0</v>
      </c>
      <c r="K159" s="304">
        <f t="shared" si="157"/>
        <v>0</v>
      </c>
    </row>
    <row r="160" ht="15.75" customHeight="1">
      <c r="A160" s="381">
        <v>942.0</v>
      </c>
      <c r="B160" s="380" t="s">
        <v>852</v>
      </c>
      <c r="C160" s="56">
        <f>'3a. Typical Mode Sequence (Powe'!C160</f>
        <v>71.5</v>
      </c>
      <c r="D160" s="379">
        <v>110.0</v>
      </c>
      <c r="E160" s="304">
        <f t="shared" ref="E160:K160" si="158">IF($B160=E$2,$C160,0)</f>
        <v>0</v>
      </c>
      <c r="F160" s="304">
        <f t="shared" si="158"/>
        <v>0</v>
      </c>
      <c r="G160" s="304">
        <f t="shared" si="158"/>
        <v>0</v>
      </c>
      <c r="H160" s="304">
        <f t="shared" si="158"/>
        <v>0</v>
      </c>
      <c r="I160" s="304">
        <f t="shared" si="158"/>
        <v>71.5</v>
      </c>
      <c r="J160" s="304">
        <f t="shared" si="158"/>
        <v>0</v>
      </c>
      <c r="K160" s="304">
        <f t="shared" si="158"/>
        <v>0</v>
      </c>
    </row>
    <row r="161" ht="15.75" customHeight="1">
      <c r="A161" s="381">
        <v>948.0</v>
      </c>
      <c r="B161" s="380" t="s">
        <v>852</v>
      </c>
      <c r="C161" s="56">
        <f>'3a. Typical Mode Sequence (Powe'!C161</f>
        <v>71.5</v>
      </c>
      <c r="D161" s="379">
        <v>110.0</v>
      </c>
      <c r="E161" s="304">
        <f t="shared" ref="E161:K161" si="159">IF($B161=E$2,$C161,0)</f>
        <v>0</v>
      </c>
      <c r="F161" s="304">
        <f t="shared" si="159"/>
        <v>0</v>
      </c>
      <c r="G161" s="304">
        <f t="shared" si="159"/>
        <v>0</v>
      </c>
      <c r="H161" s="304">
        <f t="shared" si="159"/>
        <v>0</v>
      </c>
      <c r="I161" s="304">
        <f t="shared" si="159"/>
        <v>71.5</v>
      </c>
      <c r="J161" s="304">
        <f t="shared" si="159"/>
        <v>0</v>
      </c>
      <c r="K161" s="304">
        <f t="shared" si="159"/>
        <v>0</v>
      </c>
    </row>
    <row r="162" ht="15.75" customHeight="1">
      <c r="A162" s="381">
        <v>954.0</v>
      </c>
      <c r="B162" s="380" t="s">
        <v>852</v>
      </c>
      <c r="C162" s="56">
        <f>'3a. Typical Mode Sequence (Powe'!C162</f>
        <v>71.5</v>
      </c>
      <c r="D162" s="379">
        <v>110.0</v>
      </c>
      <c r="E162" s="304">
        <f t="shared" ref="E162:K162" si="160">IF($B162=E$2,$C162,0)</f>
        <v>0</v>
      </c>
      <c r="F162" s="304">
        <f t="shared" si="160"/>
        <v>0</v>
      </c>
      <c r="G162" s="304">
        <f t="shared" si="160"/>
        <v>0</v>
      </c>
      <c r="H162" s="304">
        <f t="shared" si="160"/>
        <v>0</v>
      </c>
      <c r="I162" s="304">
        <f t="shared" si="160"/>
        <v>71.5</v>
      </c>
      <c r="J162" s="304">
        <f t="shared" si="160"/>
        <v>0</v>
      </c>
      <c r="K162" s="304">
        <f t="shared" si="160"/>
        <v>0</v>
      </c>
    </row>
    <row r="163" ht="15.75" customHeight="1">
      <c r="A163" s="381">
        <v>960.0</v>
      </c>
      <c r="B163" s="380" t="s">
        <v>849</v>
      </c>
      <c r="C163" s="56">
        <f>'3a. Typical Mode Sequence (Powe'!C163</f>
        <v>70.5</v>
      </c>
      <c r="D163" s="379">
        <v>110.0</v>
      </c>
      <c r="E163" s="304">
        <f t="shared" ref="E163:K163" si="161">IF($B163=E$2,$C163,0)</f>
        <v>0</v>
      </c>
      <c r="F163" s="304">
        <f t="shared" si="161"/>
        <v>70.5</v>
      </c>
      <c r="G163" s="304">
        <f t="shared" si="161"/>
        <v>0</v>
      </c>
      <c r="H163" s="304">
        <f t="shared" si="161"/>
        <v>0</v>
      </c>
      <c r="I163" s="304">
        <f t="shared" si="161"/>
        <v>0</v>
      </c>
      <c r="J163" s="304">
        <f t="shared" si="161"/>
        <v>0</v>
      </c>
      <c r="K163" s="304">
        <f t="shared" si="161"/>
        <v>0</v>
      </c>
    </row>
    <row r="164" ht="15.75" customHeight="1">
      <c r="A164" s="381">
        <v>966.0</v>
      </c>
      <c r="B164" s="380" t="s">
        <v>849</v>
      </c>
      <c r="C164" s="56">
        <f>'3a. Typical Mode Sequence (Powe'!C164</f>
        <v>70.5</v>
      </c>
      <c r="D164" s="379">
        <v>110.0</v>
      </c>
      <c r="E164" s="304">
        <f t="shared" ref="E164:K164" si="162">IF($B164=E$2,$C164,0)</f>
        <v>0</v>
      </c>
      <c r="F164" s="304">
        <f t="shared" si="162"/>
        <v>70.5</v>
      </c>
      <c r="G164" s="304">
        <f t="shared" si="162"/>
        <v>0</v>
      </c>
      <c r="H164" s="304">
        <f t="shared" si="162"/>
        <v>0</v>
      </c>
      <c r="I164" s="304">
        <f t="shared" si="162"/>
        <v>0</v>
      </c>
      <c r="J164" s="304">
        <f t="shared" si="162"/>
        <v>0</v>
      </c>
      <c r="K164" s="304">
        <f t="shared" si="162"/>
        <v>0</v>
      </c>
    </row>
    <row r="165" ht="15.75" customHeight="1">
      <c r="A165" s="381">
        <v>972.0</v>
      </c>
      <c r="B165" s="380" t="s">
        <v>849</v>
      </c>
      <c r="C165" s="56">
        <f>'3a. Typical Mode Sequence (Powe'!C165</f>
        <v>70.5</v>
      </c>
      <c r="D165" s="379">
        <v>110.0</v>
      </c>
      <c r="E165" s="304">
        <f t="shared" ref="E165:K165" si="163">IF($B165=E$2,$C165,0)</f>
        <v>0</v>
      </c>
      <c r="F165" s="304">
        <f t="shared" si="163"/>
        <v>70.5</v>
      </c>
      <c r="G165" s="304">
        <f t="shared" si="163"/>
        <v>0</v>
      </c>
      <c r="H165" s="304">
        <f t="shared" si="163"/>
        <v>0</v>
      </c>
      <c r="I165" s="304">
        <f t="shared" si="163"/>
        <v>0</v>
      </c>
      <c r="J165" s="304">
        <f t="shared" si="163"/>
        <v>0</v>
      </c>
      <c r="K165" s="304">
        <f t="shared" si="163"/>
        <v>0</v>
      </c>
    </row>
    <row r="166" ht="15.75" customHeight="1">
      <c r="A166" s="381">
        <v>978.0</v>
      </c>
      <c r="B166" s="380" t="s">
        <v>849</v>
      </c>
      <c r="C166" s="56">
        <f>'3a. Typical Mode Sequence (Powe'!C166</f>
        <v>70.5</v>
      </c>
      <c r="D166" s="379">
        <v>110.0</v>
      </c>
      <c r="E166" s="304">
        <f t="shared" ref="E166:K166" si="164">IF($B166=E$2,$C166,0)</f>
        <v>0</v>
      </c>
      <c r="F166" s="304">
        <f t="shared" si="164"/>
        <v>70.5</v>
      </c>
      <c r="G166" s="304">
        <f t="shared" si="164"/>
        <v>0</v>
      </c>
      <c r="H166" s="304">
        <f t="shared" si="164"/>
        <v>0</v>
      </c>
      <c r="I166" s="304">
        <f t="shared" si="164"/>
        <v>0</v>
      </c>
      <c r="J166" s="304">
        <f t="shared" si="164"/>
        <v>0</v>
      </c>
      <c r="K166" s="304">
        <f t="shared" si="164"/>
        <v>0</v>
      </c>
    </row>
    <row r="167" ht="15.75" customHeight="1">
      <c r="A167" s="381">
        <v>984.0</v>
      </c>
      <c r="B167" s="380" t="s">
        <v>849</v>
      </c>
      <c r="C167" s="56">
        <f>'3a. Typical Mode Sequence (Powe'!C167</f>
        <v>70.5</v>
      </c>
      <c r="D167" s="379">
        <v>110.0</v>
      </c>
      <c r="E167" s="304">
        <f t="shared" ref="E167:K167" si="165">IF($B167=E$2,$C167,0)</f>
        <v>0</v>
      </c>
      <c r="F167" s="304">
        <f t="shared" si="165"/>
        <v>70.5</v>
      </c>
      <c r="G167" s="304">
        <f t="shared" si="165"/>
        <v>0</v>
      </c>
      <c r="H167" s="304">
        <f t="shared" si="165"/>
        <v>0</v>
      </c>
      <c r="I167" s="304">
        <f t="shared" si="165"/>
        <v>0</v>
      </c>
      <c r="J167" s="304">
        <f t="shared" si="165"/>
        <v>0</v>
      </c>
      <c r="K167" s="304">
        <f t="shared" si="165"/>
        <v>0</v>
      </c>
    </row>
    <row r="168" ht="15.75" customHeight="1">
      <c r="A168" s="381">
        <v>990.0</v>
      </c>
      <c r="B168" s="380" t="s">
        <v>849</v>
      </c>
      <c r="C168" s="56">
        <f>'3a. Typical Mode Sequence (Powe'!C168</f>
        <v>70.5</v>
      </c>
      <c r="D168" s="379">
        <v>110.0</v>
      </c>
      <c r="E168" s="304">
        <f t="shared" ref="E168:K168" si="166">IF($B168=E$2,$C168,0)</f>
        <v>0</v>
      </c>
      <c r="F168" s="304">
        <f t="shared" si="166"/>
        <v>70.5</v>
      </c>
      <c r="G168" s="304">
        <f t="shared" si="166"/>
        <v>0</v>
      </c>
      <c r="H168" s="304">
        <f t="shared" si="166"/>
        <v>0</v>
      </c>
      <c r="I168" s="304">
        <f t="shared" si="166"/>
        <v>0</v>
      </c>
      <c r="J168" s="304">
        <f t="shared" si="166"/>
        <v>0</v>
      </c>
      <c r="K168" s="304">
        <f t="shared" si="166"/>
        <v>0</v>
      </c>
    </row>
    <row r="169" ht="15.75" customHeight="1">
      <c r="A169" s="381">
        <v>996.0</v>
      </c>
      <c r="B169" s="380" t="s">
        <v>849</v>
      </c>
      <c r="C169" s="56">
        <f>'3a. Typical Mode Sequence (Powe'!C169</f>
        <v>70.5</v>
      </c>
      <c r="D169" s="379">
        <v>110.0</v>
      </c>
      <c r="E169" s="304">
        <f t="shared" ref="E169:K169" si="167">IF($B169=E$2,$C169,0)</f>
        <v>0</v>
      </c>
      <c r="F169" s="304">
        <f t="shared" si="167"/>
        <v>70.5</v>
      </c>
      <c r="G169" s="304">
        <f t="shared" si="167"/>
        <v>0</v>
      </c>
      <c r="H169" s="304">
        <f t="shared" si="167"/>
        <v>0</v>
      </c>
      <c r="I169" s="304">
        <f t="shared" si="167"/>
        <v>0</v>
      </c>
      <c r="J169" s="304">
        <f t="shared" si="167"/>
        <v>0</v>
      </c>
      <c r="K169" s="304">
        <f t="shared" si="167"/>
        <v>0</v>
      </c>
    </row>
    <row r="170" ht="15.75" customHeight="1">
      <c r="A170" s="381">
        <v>1002.0</v>
      </c>
      <c r="B170" s="380" t="s">
        <v>849</v>
      </c>
      <c r="C170" s="56">
        <f>'3a. Typical Mode Sequence (Powe'!C170</f>
        <v>70.5</v>
      </c>
      <c r="D170" s="379">
        <v>110.0</v>
      </c>
      <c r="E170" s="304">
        <f t="shared" ref="E170:K170" si="168">IF($B170=E$2,$C170,0)</f>
        <v>0</v>
      </c>
      <c r="F170" s="304">
        <f t="shared" si="168"/>
        <v>70.5</v>
      </c>
      <c r="G170" s="304">
        <f t="shared" si="168"/>
        <v>0</v>
      </c>
      <c r="H170" s="304">
        <f t="shared" si="168"/>
        <v>0</v>
      </c>
      <c r="I170" s="304">
        <f t="shared" si="168"/>
        <v>0</v>
      </c>
      <c r="J170" s="304">
        <f t="shared" si="168"/>
        <v>0</v>
      </c>
      <c r="K170" s="304">
        <f t="shared" si="168"/>
        <v>0</v>
      </c>
    </row>
    <row r="171" ht="15.75" customHeight="1">
      <c r="A171" s="381">
        <v>1008.0</v>
      </c>
      <c r="B171" s="380" t="s">
        <v>849</v>
      </c>
      <c r="C171" s="56">
        <f>'3a. Typical Mode Sequence (Powe'!C171</f>
        <v>70.5</v>
      </c>
      <c r="D171" s="379">
        <v>110.0</v>
      </c>
      <c r="E171" s="304">
        <f t="shared" ref="E171:K171" si="169">IF($B171=E$2,$C171,0)</f>
        <v>0</v>
      </c>
      <c r="F171" s="304">
        <f t="shared" si="169"/>
        <v>70.5</v>
      </c>
      <c r="G171" s="304">
        <f t="shared" si="169"/>
        <v>0</v>
      </c>
      <c r="H171" s="304">
        <f t="shared" si="169"/>
        <v>0</v>
      </c>
      <c r="I171" s="304">
        <f t="shared" si="169"/>
        <v>0</v>
      </c>
      <c r="J171" s="304">
        <f t="shared" si="169"/>
        <v>0</v>
      </c>
      <c r="K171" s="304">
        <f t="shared" si="169"/>
        <v>0</v>
      </c>
    </row>
    <row r="172" ht="15.75" customHeight="1">
      <c r="A172" s="381">
        <v>1014.0</v>
      </c>
      <c r="B172" s="380" t="s">
        <v>849</v>
      </c>
      <c r="C172" s="56">
        <f>'3a. Typical Mode Sequence (Powe'!C172</f>
        <v>70.5</v>
      </c>
      <c r="D172" s="379">
        <v>110.0</v>
      </c>
      <c r="E172" s="304">
        <f t="shared" ref="E172:K172" si="170">IF($B172=E$2,$C172,0)</f>
        <v>0</v>
      </c>
      <c r="F172" s="304">
        <f t="shared" si="170"/>
        <v>70.5</v>
      </c>
      <c r="G172" s="304">
        <f t="shared" si="170"/>
        <v>0</v>
      </c>
      <c r="H172" s="304">
        <f t="shared" si="170"/>
        <v>0</v>
      </c>
      <c r="I172" s="304">
        <f t="shared" si="170"/>
        <v>0</v>
      </c>
      <c r="J172" s="304">
        <f t="shared" si="170"/>
        <v>0</v>
      </c>
      <c r="K172" s="304">
        <f t="shared" si="170"/>
        <v>0</v>
      </c>
    </row>
    <row r="173" ht="15.75" customHeight="1">
      <c r="A173" s="381">
        <v>1020.0</v>
      </c>
      <c r="B173" s="380" t="s">
        <v>849</v>
      </c>
      <c r="C173" s="56">
        <f>'3a. Typical Mode Sequence (Powe'!C173</f>
        <v>70.5</v>
      </c>
      <c r="D173" s="379">
        <v>110.0</v>
      </c>
      <c r="E173" s="304">
        <f t="shared" ref="E173:K173" si="171">IF($B173=E$2,$C173,0)</f>
        <v>0</v>
      </c>
      <c r="F173" s="304">
        <f t="shared" si="171"/>
        <v>70.5</v>
      </c>
      <c r="G173" s="304">
        <f t="shared" si="171"/>
        <v>0</v>
      </c>
      <c r="H173" s="304">
        <f t="shared" si="171"/>
        <v>0</v>
      </c>
      <c r="I173" s="304">
        <f t="shared" si="171"/>
        <v>0</v>
      </c>
      <c r="J173" s="304">
        <f t="shared" si="171"/>
        <v>0</v>
      </c>
      <c r="K173" s="304">
        <f t="shared" si="171"/>
        <v>0</v>
      </c>
    </row>
    <row r="174" ht="15.75" customHeight="1">
      <c r="A174" s="381">
        <v>1026.0</v>
      </c>
      <c r="B174" s="380" t="s">
        <v>849</v>
      </c>
      <c r="C174" s="56">
        <f>'3a. Typical Mode Sequence (Powe'!C174</f>
        <v>70.5</v>
      </c>
      <c r="D174" s="379">
        <v>110.0</v>
      </c>
      <c r="E174" s="304">
        <f t="shared" ref="E174:K174" si="172">IF($B174=E$2,$C174,0)</f>
        <v>0</v>
      </c>
      <c r="F174" s="304">
        <f t="shared" si="172"/>
        <v>70.5</v>
      </c>
      <c r="G174" s="304">
        <f t="shared" si="172"/>
        <v>0</v>
      </c>
      <c r="H174" s="304">
        <f t="shared" si="172"/>
        <v>0</v>
      </c>
      <c r="I174" s="304">
        <f t="shared" si="172"/>
        <v>0</v>
      </c>
      <c r="J174" s="304">
        <f t="shared" si="172"/>
        <v>0</v>
      </c>
      <c r="K174" s="304">
        <f t="shared" si="172"/>
        <v>0</v>
      </c>
    </row>
    <row r="175" ht="15.75" customHeight="1">
      <c r="A175" s="381">
        <v>1032.0</v>
      </c>
      <c r="B175" s="380" t="s">
        <v>849</v>
      </c>
      <c r="C175" s="56">
        <f>'3a. Typical Mode Sequence (Powe'!C175</f>
        <v>70.5</v>
      </c>
      <c r="D175" s="379">
        <v>110.0</v>
      </c>
      <c r="E175" s="304">
        <f t="shared" ref="E175:K175" si="173">IF($B175=E$2,$C175,0)</f>
        <v>0</v>
      </c>
      <c r="F175" s="304">
        <f t="shared" si="173"/>
        <v>70.5</v>
      </c>
      <c r="G175" s="304">
        <f t="shared" si="173"/>
        <v>0</v>
      </c>
      <c r="H175" s="304">
        <f t="shared" si="173"/>
        <v>0</v>
      </c>
      <c r="I175" s="304">
        <f t="shared" si="173"/>
        <v>0</v>
      </c>
      <c r="J175" s="304">
        <f t="shared" si="173"/>
        <v>0</v>
      </c>
      <c r="K175" s="304">
        <f t="shared" si="173"/>
        <v>0</v>
      </c>
    </row>
    <row r="176" ht="15.75" customHeight="1">
      <c r="A176" s="381">
        <v>1038.0</v>
      </c>
      <c r="B176" s="380" t="s">
        <v>849</v>
      </c>
      <c r="C176" s="56">
        <f>'3a. Typical Mode Sequence (Powe'!C176</f>
        <v>70.5</v>
      </c>
      <c r="D176" s="379">
        <v>110.0</v>
      </c>
      <c r="E176" s="304">
        <f t="shared" ref="E176:K176" si="174">IF($B176=E$2,$C176,0)</f>
        <v>0</v>
      </c>
      <c r="F176" s="304">
        <f t="shared" si="174"/>
        <v>70.5</v>
      </c>
      <c r="G176" s="304">
        <f t="shared" si="174"/>
        <v>0</v>
      </c>
      <c r="H176" s="304">
        <f t="shared" si="174"/>
        <v>0</v>
      </c>
      <c r="I176" s="304">
        <f t="shared" si="174"/>
        <v>0</v>
      </c>
      <c r="J176" s="304">
        <f t="shared" si="174"/>
        <v>0</v>
      </c>
      <c r="K176" s="304">
        <f t="shared" si="174"/>
        <v>0</v>
      </c>
    </row>
    <row r="177" ht="15.75" customHeight="1">
      <c r="A177" s="381">
        <v>1044.0</v>
      </c>
      <c r="B177" s="380" t="s">
        <v>849</v>
      </c>
      <c r="C177" s="56">
        <f>'3a. Typical Mode Sequence (Powe'!C177</f>
        <v>70.5</v>
      </c>
      <c r="D177" s="379">
        <v>110.0</v>
      </c>
      <c r="E177" s="304">
        <f t="shared" ref="E177:K177" si="175">IF($B177=E$2,$C177,0)</f>
        <v>0</v>
      </c>
      <c r="F177" s="304">
        <f t="shared" si="175"/>
        <v>70.5</v>
      </c>
      <c r="G177" s="304">
        <f t="shared" si="175"/>
        <v>0</v>
      </c>
      <c r="H177" s="304">
        <f t="shared" si="175"/>
        <v>0</v>
      </c>
      <c r="I177" s="304">
        <f t="shared" si="175"/>
        <v>0</v>
      </c>
      <c r="J177" s="304">
        <f t="shared" si="175"/>
        <v>0</v>
      </c>
      <c r="K177" s="304">
        <f t="shared" si="175"/>
        <v>0</v>
      </c>
    </row>
    <row r="178" ht="15.75" customHeight="1">
      <c r="A178" s="381">
        <v>1050.0</v>
      </c>
      <c r="B178" s="380" t="s">
        <v>849</v>
      </c>
      <c r="C178" s="56">
        <f>'3a. Typical Mode Sequence (Powe'!C178</f>
        <v>70.5</v>
      </c>
      <c r="D178" s="379">
        <v>110.0</v>
      </c>
      <c r="E178" s="304">
        <f t="shared" ref="E178:K178" si="176">IF($B178=E$2,$C178,0)</f>
        <v>0</v>
      </c>
      <c r="F178" s="304">
        <f t="shared" si="176"/>
        <v>70.5</v>
      </c>
      <c r="G178" s="304">
        <f t="shared" si="176"/>
        <v>0</v>
      </c>
      <c r="H178" s="304">
        <f t="shared" si="176"/>
        <v>0</v>
      </c>
      <c r="I178" s="304">
        <f t="shared" si="176"/>
        <v>0</v>
      </c>
      <c r="J178" s="304">
        <f t="shared" si="176"/>
        <v>0</v>
      </c>
      <c r="K178" s="304">
        <f t="shared" si="176"/>
        <v>0</v>
      </c>
    </row>
    <row r="179" ht="15.75" customHeight="1">
      <c r="A179" s="381">
        <v>1056.0</v>
      </c>
      <c r="B179" s="380" t="s">
        <v>849</v>
      </c>
      <c r="C179" s="56">
        <f>'3a. Typical Mode Sequence (Powe'!C179</f>
        <v>70.5</v>
      </c>
      <c r="D179" s="379">
        <v>110.0</v>
      </c>
      <c r="E179" s="304">
        <f t="shared" ref="E179:K179" si="177">IF($B179=E$2,$C179,0)</f>
        <v>0</v>
      </c>
      <c r="F179" s="304">
        <f t="shared" si="177"/>
        <v>70.5</v>
      </c>
      <c r="G179" s="304">
        <f t="shared" si="177"/>
        <v>0</v>
      </c>
      <c r="H179" s="304">
        <f t="shared" si="177"/>
        <v>0</v>
      </c>
      <c r="I179" s="304">
        <f t="shared" si="177"/>
        <v>0</v>
      </c>
      <c r="J179" s="304">
        <f t="shared" si="177"/>
        <v>0</v>
      </c>
      <c r="K179" s="304">
        <f t="shared" si="177"/>
        <v>0</v>
      </c>
    </row>
    <row r="180" ht="15.75" customHeight="1">
      <c r="A180" s="381">
        <v>1062.0</v>
      </c>
      <c r="B180" s="380" t="s">
        <v>849</v>
      </c>
      <c r="C180" s="56">
        <f>'3a. Typical Mode Sequence (Powe'!C180</f>
        <v>70.5</v>
      </c>
      <c r="D180" s="379">
        <v>110.0</v>
      </c>
      <c r="E180" s="304">
        <f t="shared" ref="E180:K180" si="178">IF($B180=E$2,$C180,0)</f>
        <v>0</v>
      </c>
      <c r="F180" s="304">
        <f t="shared" si="178"/>
        <v>70.5</v>
      </c>
      <c r="G180" s="304">
        <f t="shared" si="178"/>
        <v>0</v>
      </c>
      <c r="H180" s="304">
        <f t="shared" si="178"/>
        <v>0</v>
      </c>
      <c r="I180" s="304">
        <f t="shared" si="178"/>
        <v>0</v>
      </c>
      <c r="J180" s="304">
        <f t="shared" si="178"/>
        <v>0</v>
      </c>
      <c r="K180" s="304">
        <f t="shared" si="178"/>
        <v>0</v>
      </c>
    </row>
    <row r="181" ht="15.75" customHeight="1">
      <c r="A181" s="381">
        <v>1068.0</v>
      </c>
      <c r="B181" s="380" t="s">
        <v>849</v>
      </c>
      <c r="C181" s="56">
        <f>'3a. Typical Mode Sequence (Powe'!C181</f>
        <v>70.5</v>
      </c>
      <c r="D181" s="379">
        <v>110.0</v>
      </c>
      <c r="E181" s="304">
        <f t="shared" ref="E181:K181" si="179">IF($B181=E$2,$C181,0)</f>
        <v>0</v>
      </c>
      <c r="F181" s="304">
        <f t="shared" si="179"/>
        <v>70.5</v>
      </c>
      <c r="G181" s="304">
        <f t="shared" si="179"/>
        <v>0</v>
      </c>
      <c r="H181" s="304">
        <f t="shared" si="179"/>
        <v>0</v>
      </c>
      <c r="I181" s="304">
        <f t="shared" si="179"/>
        <v>0</v>
      </c>
      <c r="J181" s="304">
        <f t="shared" si="179"/>
        <v>0</v>
      </c>
      <c r="K181" s="304">
        <f t="shared" si="179"/>
        <v>0</v>
      </c>
    </row>
    <row r="182" ht="15.75" customHeight="1">
      <c r="A182" s="381">
        <v>1074.0</v>
      </c>
      <c r="B182" s="380" t="s">
        <v>849</v>
      </c>
      <c r="C182" s="56">
        <f>'3a. Typical Mode Sequence (Powe'!C182</f>
        <v>70.5</v>
      </c>
      <c r="D182" s="379">
        <v>110.0</v>
      </c>
      <c r="E182" s="304">
        <f t="shared" ref="E182:K182" si="180">IF($B182=E$2,$C182,0)</f>
        <v>0</v>
      </c>
      <c r="F182" s="304">
        <f t="shared" si="180"/>
        <v>70.5</v>
      </c>
      <c r="G182" s="304">
        <f t="shared" si="180"/>
        <v>0</v>
      </c>
      <c r="H182" s="304">
        <f t="shared" si="180"/>
        <v>0</v>
      </c>
      <c r="I182" s="304">
        <f t="shared" si="180"/>
        <v>0</v>
      </c>
      <c r="J182" s="304">
        <f t="shared" si="180"/>
        <v>0</v>
      </c>
      <c r="K182" s="304">
        <f t="shared" si="180"/>
        <v>0</v>
      </c>
    </row>
    <row r="183" ht="15.75" customHeight="1">
      <c r="A183" s="381">
        <v>1080.0</v>
      </c>
      <c r="B183" s="380" t="s">
        <v>849</v>
      </c>
      <c r="C183" s="56">
        <f>'3a. Typical Mode Sequence (Powe'!C183</f>
        <v>70.5</v>
      </c>
      <c r="D183" s="379">
        <v>110.0</v>
      </c>
      <c r="E183" s="304">
        <f t="shared" ref="E183:K183" si="181">IF($B183=E$2,$C183,0)</f>
        <v>0</v>
      </c>
      <c r="F183" s="304">
        <f t="shared" si="181"/>
        <v>70.5</v>
      </c>
      <c r="G183" s="304">
        <f t="shared" si="181"/>
        <v>0</v>
      </c>
      <c r="H183" s="304">
        <f t="shared" si="181"/>
        <v>0</v>
      </c>
      <c r="I183" s="304">
        <f t="shared" si="181"/>
        <v>0</v>
      </c>
      <c r="J183" s="304">
        <f t="shared" si="181"/>
        <v>0</v>
      </c>
      <c r="K183" s="304">
        <f t="shared" si="181"/>
        <v>0</v>
      </c>
    </row>
    <row r="184" ht="15.75" customHeight="1">
      <c r="A184" s="381">
        <v>1086.0</v>
      </c>
      <c r="B184" s="380" t="s">
        <v>849</v>
      </c>
      <c r="C184" s="56">
        <f>'3a. Typical Mode Sequence (Powe'!C184</f>
        <v>70.5</v>
      </c>
      <c r="D184" s="379">
        <v>110.0</v>
      </c>
      <c r="E184" s="304">
        <f t="shared" ref="E184:K184" si="182">IF($B184=E$2,$C184,0)</f>
        <v>0</v>
      </c>
      <c r="F184" s="304">
        <f t="shared" si="182"/>
        <v>70.5</v>
      </c>
      <c r="G184" s="304">
        <f t="shared" si="182"/>
        <v>0</v>
      </c>
      <c r="H184" s="304">
        <f t="shared" si="182"/>
        <v>0</v>
      </c>
      <c r="I184" s="304">
        <f t="shared" si="182"/>
        <v>0</v>
      </c>
      <c r="J184" s="304">
        <f t="shared" si="182"/>
        <v>0</v>
      </c>
      <c r="K184" s="304">
        <f t="shared" si="182"/>
        <v>0</v>
      </c>
    </row>
    <row r="185" ht="15.75" customHeight="1">
      <c r="A185" s="381">
        <v>1092.0</v>
      </c>
      <c r="B185" s="380" t="s">
        <v>849</v>
      </c>
      <c r="C185" s="56">
        <f>'3a. Typical Mode Sequence (Powe'!C185</f>
        <v>70.5</v>
      </c>
      <c r="D185" s="379">
        <v>110.0</v>
      </c>
      <c r="E185" s="304">
        <f t="shared" ref="E185:K185" si="183">IF($B185=E$2,$C185,0)</f>
        <v>0</v>
      </c>
      <c r="F185" s="304">
        <f t="shared" si="183"/>
        <v>70.5</v>
      </c>
      <c r="G185" s="304">
        <f t="shared" si="183"/>
        <v>0</v>
      </c>
      <c r="H185" s="304">
        <f t="shared" si="183"/>
        <v>0</v>
      </c>
      <c r="I185" s="304">
        <f t="shared" si="183"/>
        <v>0</v>
      </c>
      <c r="J185" s="304">
        <f t="shared" si="183"/>
        <v>0</v>
      </c>
      <c r="K185" s="304">
        <f t="shared" si="183"/>
        <v>0</v>
      </c>
    </row>
    <row r="186" ht="15.75" customHeight="1">
      <c r="A186" s="381">
        <v>1098.0</v>
      </c>
      <c r="B186" s="380" t="s">
        <v>849</v>
      </c>
      <c r="C186" s="56">
        <f>'3a. Typical Mode Sequence (Powe'!C186</f>
        <v>70.5</v>
      </c>
      <c r="D186" s="379">
        <v>110.0</v>
      </c>
      <c r="E186" s="304">
        <f t="shared" ref="E186:K186" si="184">IF($B186=E$2,$C186,0)</f>
        <v>0</v>
      </c>
      <c r="F186" s="304">
        <f t="shared" si="184"/>
        <v>70.5</v>
      </c>
      <c r="G186" s="304">
        <f t="shared" si="184"/>
        <v>0</v>
      </c>
      <c r="H186" s="304">
        <f t="shared" si="184"/>
        <v>0</v>
      </c>
      <c r="I186" s="304">
        <f t="shared" si="184"/>
        <v>0</v>
      </c>
      <c r="J186" s="304">
        <f t="shared" si="184"/>
        <v>0</v>
      </c>
      <c r="K186" s="304">
        <f t="shared" si="184"/>
        <v>0</v>
      </c>
    </row>
    <row r="187" ht="15.75" customHeight="1">
      <c r="A187" s="381">
        <v>1104.0</v>
      </c>
      <c r="B187" s="380" t="s">
        <v>849</v>
      </c>
      <c r="C187" s="56">
        <f>'3a. Typical Mode Sequence (Powe'!C187</f>
        <v>70.5</v>
      </c>
      <c r="D187" s="379">
        <v>110.0</v>
      </c>
      <c r="E187" s="304">
        <f t="shared" ref="E187:K187" si="185">IF($B187=E$2,$C187,0)</f>
        <v>0</v>
      </c>
      <c r="F187" s="304">
        <f t="shared" si="185"/>
        <v>70.5</v>
      </c>
      <c r="G187" s="304">
        <f t="shared" si="185"/>
        <v>0</v>
      </c>
      <c r="H187" s="304">
        <f t="shared" si="185"/>
        <v>0</v>
      </c>
      <c r="I187" s="304">
        <f t="shared" si="185"/>
        <v>0</v>
      </c>
      <c r="J187" s="304">
        <f t="shared" si="185"/>
        <v>0</v>
      </c>
      <c r="K187" s="304">
        <f t="shared" si="185"/>
        <v>0</v>
      </c>
    </row>
    <row r="188" ht="15.75" customHeight="1">
      <c r="A188" s="381">
        <v>1110.0</v>
      </c>
      <c r="B188" s="380" t="s">
        <v>849</v>
      </c>
      <c r="C188" s="56">
        <f>'3a. Typical Mode Sequence (Powe'!C188</f>
        <v>70.5</v>
      </c>
      <c r="D188" s="379">
        <v>110.0</v>
      </c>
      <c r="E188" s="304">
        <f t="shared" ref="E188:K188" si="186">IF($B188=E$2,$C188,0)</f>
        <v>0</v>
      </c>
      <c r="F188" s="304">
        <f t="shared" si="186"/>
        <v>70.5</v>
      </c>
      <c r="G188" s="304">
        <f t="shared" si="186"/>
        <v>0</v>
      </c>
      <c r="H188" s="304">
        <f t="shared" si="186"/>
        <v>0</v>
      </c>
      <c r="I188" s="304">
        <f t="shared" si="186"/>
        <v>0</v>
      </c>
      <c r="J188" s="304">
        <f t="shared" si="186"/>
        <v>0</v>
      </c>
      <c r="K188" s="304">
        <f t="shared" si="186"/>
        <v>0</v>
      </c>
    </row>
    <row r="189" ht="15.75" customHeight="1">
      <c r="A189" s="381">
        <v>1116.0</v>
      </c>
      <c r="B189" s="380" t="s">
        <v>849</v>
      </c>
      <c r="C189" s="56">
        <f>'3a. Typical Mode Sequence (Powe'!C189</f>
        <v>70.5</v>
      </c>
      <c r="D189" s="379">
        <v>110.0</v>
      </c>
      <c r="E189" s="304">
        <f t="shared" ref="E189:K189" si="187">IF($B189=E$2,$C189,0)</f>
        <v>0</v>
      </c>
      <c r="F189" s="304">
        <f t="shared" si="187"/>
        <v>70.5</v>
      </c>
      <c r="G189" s="304">
        <f t="shared" si="187"/>
        <v>0</v>
      </c>
      <c r="H189" s="304">
        <f t="shared" si="187"/>
        <v>0</v>
      </c>
      <c r="I189" s="304">
        <f t="shared" si="187"/>
        <v>0</v>
      </c>
      <c r="J189" s="304">
        <f t="shared" si="187"/>
        <v>0</v>
      </c>
      <c r="K189" s="304">
        <f t="shared" si="187"/>
        <v>0</v>
      </c>
    </row>
    <row r="190" ht="15.75" customHeight="1">
      <c r="A190" s="381">
        <v>1122.0</v>
      </c>
      <c r="B190" s="380" t="s">
        <v>849</v>
      </c>
      <c r="C190" s="56">
        <f>'3a. Typical Mode Sequence (Powe'!C190</f>
        <v>70.5</v>
      </c>
      <c r="D190" s="379">
        <v>110.0</v>
      </c>
      <c r="E190" s="304">
        <f t="shared" ref="E190:K190" si="188">IF($B190=E$2,$C190,0)</f>
        <v>0</v>
      </c>
      <c r="F190" s="304">
        <f t="shared" si="188"/>
        <v>70.5</v>
      </c>
      <c r="G190" s="304">
        <f t="shared" si="188"/>
        <v>0</v>
      </c>
      <c r="H190" s="304">
        <f t="shared" si="188"/>
        <v>0</v>
      </c>
      <c r="I190" s="304">
        <f t="shared" si="188"/>
        <v>0</v>
      </c>
      <c r="J190" s="304">
        <f t="shared" si="188"/>
        <v>0</v>
      </c>
      <c r="K190" s="304">
        <f t="shared" si="188"/>
        <v>0</v>
      </c>
    </row>
    <row r="191" ht="15.75" customHeight="1">
      <c r="A191" s="381">
        <v>1128.0</v>
      </c>
      <c r="B191" s="380" t="s">
        <v>849</v>
      </c>
      <c r="C191" s="56">
        <f>'3a. Typical Mode Sequence (Powe'!C191</f>
        <v>70.5</v>
      </c>
      <c r="D191" s="379">
        <v>110.0</v>
      </c>
      <c r="E191" s="304">
        <f t="shared" ref="E191:K191" si="189">IF($B191=E$2,$C191,0)</f>
        <v>0</v>
      </c>
      <c r="F191" s="304">
        <f t="shared" si="189"/>
        <v>70.5</v>
      </c>
      <c r="G191" s="304">
        <f t="shared" si="189"/>
        <v>0</v>
      </c>
      <c r="H191" s="304">
        <f t="shared" si="189"/>
        <v>0</v>
      </c>
      <c r="I191" s="304">
        <f t="shared" si="189"/>
        <v>0</v>
      </c>
      <c r="J191" s="304">
        <f t="shared" si="189"/>
        <v>0</v>
      </c>
      <c r="K191" s="304">
        <f t="shared" si="189"/>
        <v>0</v>
      </c>
    </row>
    <row r="192" ht="15.75" customHeight="1">
      <c r="A192" s="381">
        <v>1134.0</v>
      </c>
      <c r="B192" s="380" t="s">
        <v>849</v>
      </c>
      <c r="C192" s="56">
        <f>'3a. Typical Mode Sequence (Powe'!C192</f>
        <v>70.5</v>
      </c>
      <c r="D192" s="379">
        <v>110.0</v>
      </c>
      <c r="E192" s="304">
        <f t="shared" ref="E192:K192" si="190">IF($B192=E$2,$C192,0)</f>
        <v>0</v>
      </c>
      <c r="F192" s="304">
        <f t="shared" si="190"/>
        <v>70.5</v>
      </c>
      <c r="G192" s="304">
        <f t="shared" si="190"/>
        <v>0</v>
      </c>
      <c r="H192" s="304">
        <f t="shared" si="190"/>
        <v>0</v>
      </c>
      <c r="I192" s="304">
        <f t="shared" si="190"/>
        <v>0</v>
      </c>
      <c r="J192" s="304">
        <f t="shared" si="190"/>
        <v>0</v>
      </c>
      <c r="K192" s="304">
        <f t="shared" si="190"/>
        <v>0</v>
      </c>
    </row>
    <row r="193" ht="15.75" customHeight="1">
      <c r="A193" s="381">
        <v>1140.0</v>
      </c>
      <c r="B193" s="380" t="s">
        <v>849</v>
      </c>
      <c r="C193" s="56">
        <f>'3a. Typical Mode Sequence (Powe'!C193</f>
        <v>70.5</v>
      </c>
      <c r="D193" s="379">
        <v>110.0</v>
      </c>
      <c r="E193" s="304">
        <f t="shared" ref="E193:K193" si="191">IF($B193=E$2,$C193,0)</f>
        <v>0</v>
      </c>
      <c r="F193" s="304">
        <f t="shared" si="191"/>
        <v>70.5</v>
      </c>
      <c r="G193" s="304">
        <f t="shared" si="191"/>
        <v>0</v>
      </c>
      <c r="H193" s="304">
        <f t="shared" si="191"/>
        <v>0</v>
      </c>
      <c r="I193" s="304">
        <f t="shared" si="191"/>
        <v>0</v>
      </c>
      <c r="J193" s="304">
        <f t="shared" si="191"/>
        <v>0</v>
      </c>
      <c r="K193" s="304">
        <f t="shared" si="191"/>
        <v>0</v>
      </c>
    </row>
    <row r="194" ht="15.75" customHeight="1">
      <c r="A194" s="381">
        <v>1146.0</v>
      </c>
      <c r="B194" s="380" t="s">
        <v>849</v>
      </c>
      <c r="C194" s="56">
        <f>'3a. Typical Mode Sequence (Powe'!C194</f>
        <v>70.5</v>
      </c>
      <c r="D194" s="379">
        <v>110.0</v>
      </c>
      <c r="E194" s="304">
        <f t="shared" ref="E194:K194" si="192">IF($B194=E$2,$C194,0)</f>
        <v>0</v>
      </c>
      <c r="F194" s="304">
        <f t="shared" si="192"/>
        <v>70.5</v>
      </c>
      <c r="G194" s="304">
        <f t="shared" si="192"/>
        <v>0</v>
      </c>
      <c r="H194" s="304">
        <f t="shared" si="192"/>
        <v>0</v>
      </c>
      <c r="I194" s="304">
        <f t="shared" si="192"/>
        <v>0</v>
      </c>
      <c r="J194" s="304">
        <f t="shared" si="192"/>
        <v>0</v>
      </c>
      <c r="K194" s="304">
        <f t="shared" si="192"/>
        <v>0</v>
      </c>
    </row>
    <row r="195" ht="15.75" customHeight="1">
      <c r="A195" s="381">
        <v>1152.0</v>
      </c>
      <c r="B195" s="380" t="s">
        <v>849</v>
      </c>
      <c r="C195" s="56">
        <f>'3a. Typical Mode Sequence (Powe'!C195</f>
        <v>70.5</v>
      </c>
      <c r="D195" s="379">
        <v>110.0</v>
      </c>
      <c r="E195" s="304">
        <f t="shared" ref="E195:K195" si="193">IF($B195=E$2,$C195,0)</f>
        <v>0</v>
      </c>
      <c r="F195" s="304">
        <f t="shared" si="193"/>
        <v>70.5</v>
      </c>
      <c r="G195" s="304">
        <f t="shared" si="193"/>
        <v>0</v>
      </c>
      <c r="H195" s="304">
        <f t="shared" si="193"/>
        <v>0</v>
      </c>
      <c r="I195" s="304">
        <f t="shared" si="193"/>
        <v>0</v>
      </c>
      <c r="J195" s="304">
        <f t="shared" si="193"/>
        <v>0</v>
      </c>
      <c r="K195" s="304">
        <f t="shared" si="193"/>
        <v>0</v>
      </c>
    </row>
    <row r="196" ht="15.75" customHeight="1">
      <c r="A196" s="381">
        <v>1158.0</v>
      </c>
      <c r="B196" s="380" t="s">
        <v>849</v>
      </c>
      <c r="C196" s="56">
        <f>'3a. Typical Mode Sequence (Powe'!C196</f>
        <v>70.5</v>
      </c>
      <c r="D196" s="379">
        <v>110.0</v>
      </c>
      <c r="E196" s="304">
        <f t="shared" ref="E196:K196" si="194">IF($B196=E$2,$C196,0)</f>
        <v>0</v>
      </c>
      <c r="F196" s="304">
        <f t="shared" si="194"/>
        <v>70.5</v>
      </c>
      <c r="G196" s="304">
        <f t="shared" si="194"/>
        <v>0</v>
      </c>
      <c r="H196" s="304">
        <f t="shared" si="194"/>
        <v>0</v>
      </c>
      <c r="I196" s="304">
        <f t="shared" si="194"/>
        <v>0</v>
      </c>
      <c r="J196" s="304">
        <f t="shared" si="194"/>
        <v>0</v>
      </c>
      <c r="K196" s="304">
        <f t="shared" si="194"/>
        <v>0</v>
      </c>
    </row>
    <row r="197" ht="15.75" customHeight="1">
      <c r="A197" s="381">
        <v>1164.0</v>
      </c>
      <c r="B197" s="380" t="s">
        <v>849</v>
      </c>
      <c r="C197" s="56">
        <f>'3a. Typical Mode Sequence (Powe'!C197</f>
        <v>70.5</v>
      </c>
      <c r="D197" s="379">
        <v>110.0</v>
      </c>
      <c r="E197" s="304">
        <f t="shared" ref="E197:K197" si="195">IF($B197=E$2,$C197,0)</f>
        <v>0</v>
      </c>
      <c r="F197" s="304">
        <f t="shared" si="195"/>
        <v>70.5</v>
      </c>
      <c r="G197" s="304">
        <f t="shared" si="195"/>
        <v>0</v>
      </c>
      <c r="H197" s="304">
        <f t="shared" si="195"/>
        <v>0</v>
      </c>
      <c r="I197" s="304">
        <f t="shared" si="195"/>
        <v>0</v>
      </c>
      <c r="J197" s="304">
        <f t="shared" si="195"/>
        <v>0</v>
      </c>
      <c r="K197" s="304">
        <f t="shared" si="195"/>
        <v>0</v>
      </c>
    </row>
    <row r="198" ht="15.75" customHeight="1">
      <c r="A198" s="381">
        <v>1170.0</v>
      </c>
      <c r="B198" s="380" t="s">
        <v>849</v>
      </c>
      <c r="C198" s="56">
        <f>'3a. Typical Mode Sequence (Powe'!C198</f>
        <v>70.5</v>
      </c>
      <c r="D198" s="379">
        <v>110.0</v>
      </c>
      <c r="E198" s="304">
        <f t="shared" ref="E198:K198" si="196">IF($B198=E$2,$C198,0)</f>
        <v>0</v>
      </c>
      <c r="F198" s="304">
        <f t="shared" si="196"/>
        <v>70.5</v>
      </c>
      <c r="G198" s="304">
        <f t="shared" si="196"/>
        <v>0</v>
      </c>
      <c r="H198" s="304">
        <f t="shared" si="196"/>
        <v>0</v>
      </c>
      <c r="I198" s="304">
        <f t="shared" si="196"/>
        <v>0</v>
      </c>
      <c r="J198" s="304">
        <f t="shared" si="196"/>
        <v>0</v>
      </c>
      <c r="K198" s="304">
        <f t="shared" si="196"/>
        <v>0</v>
      </c>
    </row>
    <row r="199" ht="15.75" customHeight="1">
      <c r="A199" s="381">
        <v>1176.0</v>
      </c>
      <c r="B199" s="380" t="s">
        <v>849</v>
      </c>
      <c r="C199" s="56">
        <f>'3a. Typical Mode Sequence (Powe'!C199</f>
        <v>70.5</v>
      </c>
      <c r="D199" s="379">
        <v>110.0</v>
      </c>
      <c r="E199" s="304">
        <f t="shared" ref="E199:K199" si="197">IF($B199=E$2,$C199,0)</f>
        <v>0</v>
      </c>
      <c r="F199" s="304">
        <f t="shared" si="197"/>
        <v>70.5</v>
      </c>
      <c r="G199" s="304">
        <f t="shared" si="197"/>
        <v>0</v>
      </c>
      <c r="H199" s="304">
        <f t="shared" si="197"/>
        <v>0</v>
      </c>
      <c r="I199" s="304">
        <f t="shared" si="197"/>
        <v>0</v>
      </c>
      <c r="J199" s="304">
        <f t="shared" si="197"/>
        <v>0</v>
      </c>
      <c r="K199" s="304">
        <f t="shared" si="197"/>
        <v>0</v>
      </c>
    </row>
    <row r="200" ht="15.75" customHeight="1">
      <c r="A200" s="381">
        <v>1182.0</v>
      </c>
      <c r="B200" s="380" t="s">
        <v>849</v>
      </c>
      <c r="C200" s="56">
        <f>'3a. Typical Mode Sequence (Powe'!C200</f>
        <v>70.5</v>
      </c>
      <c r="D200" s="379">
        <v>110.0</v>
      </c>
      <c r="E200" s="304">
        <f t="shared" ref="E200:K200" si="198">IF($B200=E$2,$C200,0)</f>
        <v>0</v>
      </c>
      <c r="F200" s="304">
        <f t="shared" si="198"/>
        <v>70.5</v>
      </c>
      <c r="G200" s="304">
        <f t="shared" si="198"/>
        <v>0</v>
      </c>
      <c r="H200" s="304">
        <f t="shared" si="198"/>
        <v>0</v>
      </c>
      <c r="I200" s="304">
        <f t="shared" si="198"/>
        <v>0</v>
      </c>
      <c r="J200" s="304">
        <f t="shared" si="198"/>
        <v>0</v>
      </c>
      <c r="K200" s="304">
        <f t="shared" si="198"/>
        <v>0</v>
      </c>
    </row>
    <row r="201" ht="15.75" customHeight="1">
      <c r="A201" s="381">
        <v>1188.0</v>
      </c>
      <c r="B201" s="380" t="s">
        <v>849</v>
      </c>
      <c r="C201" s="56">
        <f>'3a. Typical Mode Sequence (Powe'!C201</f>
        <v>70.5</v>
      </c>
      <c r="D201" s="379">
        <v>110.0</v>
      </c>
      <c r="E201" s="304">
        <f t="shared" ref="E201:K201" si="199">IF($B201=E$2,$C201,0)</f>
        <v>0</v>
      </c>
      <c r="F201" s="304">
        <f t="shared" si="199"/>
        <v>70.5</v>
      </c>
      <c r="G201" s="304">
        <f t="shared" si="199"/>
        <v>0</v>
      </c>
      <c r="H201" s="304">
        <f t="shared" si="199"/>
        <v>0</v>
      </c>
      <c r="I201" s="304">
        <f t="shared" si="199"/>
        <v>0</v>
      </c>
      <c r="J201" s="304">
        <f t="shared" si="199"/>
        <v>0</v>
      </c>
      <c r="K201" s="304">
        <f t="shared" si="199"/>
        <v>0</v>
      </c>
    </row>
    <row r="202" ht="15.75" customHeight="1">
      <c r="A202" s="381">
        <v>1194.0</v>
      </c>
      <c r="B202" s="380" t="s">
        <v>849</v>
      </c>
      <c r="C202" s="56">
        <f>'3a. Typical Mode Sequence (Powe'!C202</f>
        <v>70.5</v>
      </c>
      <c r="D202" s="379">
        <v>110.0</v>
      </c>
      <c r="E202" s="304">
        <f t="shared" ref="E202:K202" si="200">IF($B202=E$2,$C202,0)</f>
        <v>0</v>
      </c>
      <c r="F202" s="304">
        <f t="shared" si="200"/>
        <v>70.5</v>
      </c>
      <c r="G202" s="304">
        <f t="shared" si="200"/>
        <v>0</v>
      </c>
      <c r="H202" s="304">
        <f t="shared" si="200"/>
        <v>0</v>
      </c>
      <c r="I202" s="304">
        <f t="shared" si="200"/>
        <v>0</v>
      </c>
      <c r="J202" s="304">
        <f t="shared" si="200"/>
        <v>0</v>
      </c>
      <c r="K202" s="304">
        <f t="shared" si="200"/>
        <v>0</v>
      </c>
    </row>
    <row r="203" ht="15.75" customHeight="1">
      <c r="A203" s="381">
        <v>1200.0</v>
      </c>
      <c r="B203" s="380" t="s">
        <v>849</v>
      </c>
      <c r="C203" s="56">
        <f>'3a. Typical Mode Sequence (Powe'!C203</f>
        <v>70.5</v>
      </c>
      <c r="D203" s="379">
        <v>110.0</v>
      </c>
      <c r="E203" s="304">
        <f t="shared" ref="E203:K203" si="201">IF($B203=E$2,$C203,0)</f>
        <v>0</v>
      </c>
      <c r="F203" s="304">
        <f t="shared" si="201"/>
        <v>70.5</v>
      </c>
      <c r="G203" s="304">
        <f t="shared" si="201"/>
        <v>0</v>
      </c>
      <c r="H203" s="304">
        <f t="shared" si="201"/>
        <v>0</v>
      </c>
      <c r="I203" s="304">
        <f t="shared" si="201"/>
        <v>0</v>
      </c>
      <c r="J203" s="304">
        <f t="shared" si="201"/>
        <v>0</v>
      </c>
      <c r="K203" s="304">
        <f t="shared" si="201"/>
        <v>0</v>
      </c>
    </row>
    <row r="204" ht="15.75" customHeight="1">
      <c r="A204" s="381">
        <v>1206.0</v>
      </c>
      <c r="B204" s="380" t="s">
        <v>849</v>
      </c>
      <c r="C204" s="56">
        <f>'3a. Typical Mode Sequence (Powe'!C204</f>
        <v>70.5</v>
      </c>
      <c r="D204" s="379">
        <v>110.0</v>
      </c>
      <c r="E204" s="304">
        <f t="shared" ref="E204:K204" si="202">IF($B204=E$2,$C204,0)</f>
        <v>0</v>
      </c>
      <c r="F204" s="304">
        <f t="shared" si="202"/>
        <v>70.5</v>
      </c>
      <c r="G204" s="304">
        <f t="shared" si="202"/>
        <v>0</v>
      </c>
      <c r="H204" s="304">
        <f t="shared" si="202"/>
        <v>0</v>
      </c>
      <c r="I204" s="304">
        <f t="shared" si="202"/>
        <v>0</v>
      </c>
      <c r="J204" s="304">
        <f t="shared" si="202"/>
        <v>0</v>
      </c>
      <c r="K204" s="304">
        <f t="shared" si="202"/>
        <v>0</v>
      </c>
    </row>
    <row r="205" ht="15.75" customHeight="1">
      <c r="A205" s="381">
        <v>1212.0</v>
      </c>
      <c r="B205" s="380" t="s">
        <v>849</v>
      </c>
      <c r="C205" s="56">
        <f>'3a. Typical Mode Sequence (Powe'!C205</f>
        <v>70.5</v>
      </c>
      <c r="D205" s="379">
        <v>110.0</v>
      </c>
      <c r="E205" s="304">
        <f t="shared" ref="E205:K205" si="203">IF($B205=E$2,$C205,0)</f>
        <v>0</v>
      </c>
      <c r="F205" s="304">
        <f t="shared" si="203"/>
        <v>70.5</v>
      </c>
      <c r="G205" s="304">
        <f t="shared" si="203"/>
        <v>0</v>
      </c>
      <c r="H205" s="304">
        <f t="shared" si="203"/>
        <v>0</v>
      </c>
      <c r="I205" s="304">
        <f t="shared" si="203"/>
        <v>0</v>
      </c>
      <c r="J205" s="304">
        <f t="shared" si="203"/>
        <v>0</v>
      </c>
      <c r="K205" s="304">
        <f t="shared" si="203"/>
        <v>0</v>
      </c>
    </row>
    <row r="206" ht="15.75" customHeight="1">
      <c r="A206" s="381">
        <v>1218.0</v>
      </c>
      <c r="B206" s="380" t="s">
        <v>849</v>
      </c>
      <c r="C206" s="56">
        <f>'3a. Typical Mode Sequence (Powe'!C206</f>
        <v>70.5</v>
      </c>
      <c r="D206" s="379">
        <v>110.0</v>
      </c>
      <c r="E206" s="304">
        <f t="shared" ref="E206:K206" si="204">IF($B206=E$2,$C206,0)</f>
        <v>0</v>
      </c>
      <c r="F206" s="304">
        <f t="shared" si="204"/>
        <v>70.5</v>
      </c>
      <c r="G206" s="304">
        <f t="shared" si="204"/>
        <v>0</v>
      </c>
      <c r="H206" s="304">
        <f t="shared" si="204"/>
        <v>0</v>
      </c>
      <c r="I206" s="304">
        <f t="shared" si="204"/>
        <v>0</v>
      </c>
      <c r="J206" s="304">
        <f t="shared" si="204"/>
        <v>0</v>
      </c>
      <c r="K206" s="304">
        <f t="shared" si="204"/>
        <v>0</v>
      </c>
    </row>
    <row r="207" ht="15.75" customHeight="1">
      <c r="A207" s="381">
        <v>1224.0</v>
      </c>
      <c r="B207" s="380" t="s">
        <v>849</v>
      </c>
      <c r="C207" s="56">
        <f>'3a. Typical Mode Sequence (Powe'!C207</f>
        <v>70.5</v>
      </c>
      <c r="D207" s="379">
        <v>110.0</v>
      </c>
      <c r="E207" s="304">
        <f t="shared" ref="E207:K207" si="205">IF($B207=E$2,$C207,0)</f>
        <v>0</v>
      </c>
      <c r="F207" s="304">
        <f t="shared" si="205"/>
        <v>70.5</v>
      </c>
      <c r="G207" s="304">
        <f t="shared" si="205"/>
        <v>0</v>
      </c>
      <c r="H207" s="304">
        <f t="shared" si="205"/>
        <v>0</v>
      </c>
      <c r="I207" s="304">
        <f t="shared" si="205"/>
        <v>0</v>
      </c>
      <c r="J207" s="304">
        <f t="shared" si="205"/>
        <v>0</v>
      </c>
      <c r="K207" s="304">
        <f t="shared" si="205"/>
        <v>0</v>
      </c>
    </row>
    <row r="208" ht="15.75" customHeight="1">
      <c r="A208" s="381">
        <v>1230.0</v>
      </c>
      <c r="B208" s="380" t="s">
        <v>849</v>
      </c>
      <c r="C208" s="56">
        <f>'3a. Typical Mode Sequence (Powe'!C208</f>
        <v>70.5</v>
      </c>
      <c r="D208" s="379">
        <v>110.0</v>
      </c>
      <c r="E208" s="304">
        <f t="shared" ref="E208:K208" si="206">IF($B208=E$2,$C208,0)</f>
        <v>0</v>
      </c>
      <c r="F208" s="304">
        <f t="shared" si="206"/>
        <v>70.5</v>
      </c>
      <c r="G208" s="304">
        <f t="shared" si="206"/>
        <v>0</v>
      </c>
      <c r="H208" s="304">
        <f t="shared" si="206"/>
        <v>0</v>
      </c>
      <c r="I208" s="304">
        <f t="shared" si="206"/>
        <v>0</v>
      </c>
      <c r="J208" s="304">
        <f t="shared" si="206"/>
        <v>0</v>
      </c>
      <c r="K208" s="304">
        <f t="shared" si="206"/>
        <v>0</v>
      </c>
    </row>
    <row r="209" ht="15.75" customHeight="1">
      <c r="A209" s="381">
        <v>1236.0</v>
      </c>
      <c r="B209" s="380" t="s">
        <v>849</v>
      </c>
      <c r="C209" s="56">
        <f>'3a. Typical Mode Sequence (Powe'!C209</f>
        <v>70.5</v>
      </c>
      <c r="D209" s="379">
        <v>110.0</v>
      </c>
      <c r="E209" s="304">
        <f t="shared" ref="E209:K209" si="207">IF($B209=E$2,$C209,0)</f>
        <v>0</v>
      </c>
      <c r="F209" s="304">
        <f t="shared" si="207"/>
        <v>70.5</v>
      </c>
      <c r="G209" s="304">
        <f t="shared" si="207"/>
        <v>0</v>
      </c>
      <c r="H209" s="304">
        <f t="shared" si="207"/>
        <v>0</v>
      </c>
      <c r="I209" s="304">
        <f t="shared" si="207"/>
        <v>0</v>
      </c>
      <c r="J209" s="304">
        <f t="shared" si="207"/>
        <v>0</v>
      </c>
      <c r="K209" s="304">
        <f t="shared" si="207"/>
        <v>0</v>
      </c>
    </row>
    <row r="210" ht="15.75" customHeight="1">
      <c r="A210" s="381">
        <v>1242.0</v>
      </c>
      <c r="B210" s="380" t="s">
        <v>849</v>
      </c>
      <c r="C210" s="56">
        <f>'3a. Typical Mode Sequence (Powe'!C210</f>
        <v>70.5</v>
      </c>
      <c r="D210" s="379">
        <v>110.0</v>
      </c>
      <c r="E210" s="304">
        <f t="shared" ref="E210:K210" si="208">IF($B210=E$2,$C210,0)</f>
        <v>0</v>
      </c>
      <c r="F210" s="304">
        <f t="shared" si="208"/>
        <v>70.5</v>
      </c>
      <c r="G210" s="304">
        <f t="shared" si="208"/>
        <v>0</v>
      </c>
      <c r="H210" s="304">
        <f t="shared" si="208"/>
        <v>0</v>
      </c>
      <c r="I210" s="304">
        <f t="shared" si="208"/>
        <v>0</v>
      </c>
      <c r="J210" s="304">
        <f t="shared" si="208"/>
        <v>0</v>
      </c>
      <c r="K210" s="304">
        <f t="shared" si="208"/>
        <v>0</v>
      </c>
    </row>
    <row r="211" ht="15.75" customHeight="1">
      <c r="A211" s="381">
        <v>1248.0</v>
      </c>
      <c r="B211" s="380" t="s">
        <v>849</v>
      </c>
      <c r="C211" s="56">
        <f>'3a. Typical Mode Sequence (Powe'!C211</f>
        <v>70.5</v>
      </c>
      <c r="D211" s="379">
        <v>110.0</v>
      </c>
      <c r="E211" s="304">
        <f t="shared" ref="E211:K211" si="209">IF($B211=E$2,$C211,0)</f>
        <v>0</v>
      </c>
      <c r="F211" s="304">
        <f t="shared" si="209"/>
        <v>70.5</v>
      </c>
      <c r="G211" s="304">
        <f t="shared" si="209"/>
        <v>0</v>
      </c>
      <c r="H211" s="304">
        <f t="shared" si="209"/>
        <v>0</v>
      </c>
      <c r="I211" s="304">
        <f t="shared" si="209"/>
        <v>0</v>
      </c>
      <c r="J211" s="304">
        <f t="shared" si="209"/>
        <v>0</v>
      </c>
      <c r="K211" s="304">
        <f t="shared" si="209"/>
        <v>0</v>
      </c>
    </row>
    <row r="212" ht="15.75" customHeight="1">
      <c r="A212" s="381">
        <v>1254.0</v>
      </c>
      <c r="B212" s="380" t="s">
        <v>849</v>
      </c>
      <c r="C212" s="56">
        <f>'3a. Typical Mode Sequence (Powe'!C212</f>
        <v>70.5</v>
      </c>
      <c r="D212" s="379">
        <v>110.0</v>
      </c>
      <c r="E212" s="304">
        <f t="shared" ref="E212:K212" si="210">IF($B212=E$2,$C212,0)</f>
        <v>0</v>
      </c>
      <c r="F212" s="304">
        <f t="shared" si="210"/>
        <v>70.5</v>
      </c>
      <c r="G212" s="304">
        <f t="shared" si="210"/>
        <v>0</v>
      </c>
      <c r="H212" s="304">
        <f t="shared" si="210"/>
        <v>0</v>
      </c>
      <c r="I212" s="304">
        <f t="shared" si="210"/>
        <v>0</v>
      </c>
      <c r="J212" s="304">
        <f t="shared" si="210"/>
        <v>0</v>
      </c>
      <c r="K212" s="304">
        <f t="shared" si="210"/>
        <v>0</v>
      </c>
    </row>
    <row r="213" ht="15.75" customHeight="1">
      <c r="A213" s="381">
        <v>1260.0</v>
      </c>
      <c r="B213" s="380" t="s">
        <v>849</v>
      </c>
      <c r="C213" s="56">
        <f>'3a. Typical Mode Sequence (Powe'!C213</f>
        <v>70.5</v>
      </c>
      <c r="D213" s="379">
        <v>110.0</v>
      </c>
      <c r="E213" s="304">
        <f t="shared" ref="E213:K213" si="211">IF($B213=E$2,$C213,0)</f>
        <v>0</v>
      </c>
      <c r="F213" s="304">
        <f t="shared" si="211"/>
        <v>70.5</v>
      </c>
      <c r="G213" s="304">
        <f t="shared" si="211"/>
        <v>0</v>
      </c>
      <c r="H213" s="304">
        <f t="shared" si="211"/>
        <v>0</v>
      </c>
      <c r="I213" s="304">
        <f t="shared" si="211"/>
        <v>0</v>
      </c>
      <c r="J213" s="304">
        <f t="shared" si="211"/>
        <v>0</v>
      </c>
      <c r="K213" s="304">
        <f t="shared" si="211"/>
        <v>0</v>
      </c>
    </row>
    <row r="214" ht="15.75" customHeight="1">
      <c r="A214" s="381">
        <v>1266.0</v>
      </c>
      <c r="B214" s="380" t="s">
        <v>849</v>
      </c>
      <c r="C214" s="56">
        <f>'3a. Typical Mode Sequence (Powe'!C214</f>
        <v>70.5</v>
      </c>
      <c r="D214" s="379">
        <v>110.0</v>
      </c>
      <c r="E214" s="304">
        <f t="shared" ref="E214:K214" si="212">IF($B214=E$2,$C214,0)</f>
        <v>0</v>
      </c>
      <c r="F214" s="304">
        <f t="shared" si="212"/>
        <v>70.5</v>
      </c>
      <c r="G214" s="304">
        <f t="shared" si="212"/>
        <v>0</v>
      </c>
      <c r="H214" s="304">
        <f t="shared" si="212"/>
        <v>0</v>
      </c>
      <c r="I214" s="304">
        <f t="shared" si="212"/>
        <v>0</v>
      </c>
      <c r="J214" s="304">
        <f t="shared" si="212"/>
        <v>0</v>
      </c>
      <c r="K214" s="304">
        <f t="shared" si="212"/>
        <v>0</v>
      </c>
    </row>
    <row r="215" ht="15.75" customHeight="1">
      <c r="A215" s="381">
        <v>1272.0</v>
      </c>
      <c r="B215" s="380" t="s">
        <v>849</v>
      </c>
      <c r="C215" s="56">
        <f>'3a. Typical Mode Sequence (Powe'!C215</f>
        <v>70.5</v>
      </c>
      <c r="D215" s="379">
        <v>110.0</v>
      </c>
      <c r="E215" s="304">
        <f t="shared" ref="E215:K215" si="213">IF($B215=E$2,$C215,0)</f>
        <v>0</v>
      </c>
      <c r="F215" s="304">
        <f t="shared" si="213"/>
        <v>70.5</v>
      </c>
      <c r="G215" s="304">
        <f t="shared" si="213"/>
        <v>0</v>
      </c>
      <c r="H215" s="304">
        <f t="shared" si="213"/>
        <v>0</v>
      </c>
      <c r="I215" s="304">
        <f t="shared" si="213"/>
        <v>0</v>
      </c>
      <c r="J215" s="304">
        <f t="shared" si="213"/>
        <v>0</v>
      </c>
      <c r="K215" s="304">
        <f t="shared" si="213"/>
        <v>0</v>
      </c>
    </row>
    <row r="216" ht="15.75" customHeight="1">
      <c r="A216" s="381">
        <v>1278.0</v>
      </c>
      <c r="B216" s="380" t="s">
        <v>849</v>
      </c>
      <c r="C216" s="56">
        <f>'3a. Typical Mode Sequence (Powe'!C216</f>
        <v>70.5</v>
      </c>
      <c r="D216" s="379">
        <v>110.0</v>
      </c>
      <c r="E216" s="304">
        <f t="shared" ref="E216:K216" si="214">IF($B216=E$2,$C216,0)</f>
        <v>0</v>
      </c>
      <c r="F216" s="304">
        <f t="shared" si="214"/>
        <v>70.5</v>
      </c>
      <c r="G216" s="304">
        <f t="shared" si="214"/>
        <v>0</v>
      </c>
      <c r="H216" s="304">
        <f t="shared" si="214"/>
        <v>0</v>
      </c>
      <c r="I216" s="304">
        <f t="shared" si="214"/>
        <v>0</v>
      </c>
      <c r="J216" s="304">
        <f t="shared" si="214"/>
        <v>0</v>
      </c>
      <c r="K216" s="304">
        <f t="shared" si="214"/>
        <v>0</v>
      </c>
    </row>
    <row r="217" ht="15.75" customHeight="1">
      <c r="A217" s="381">
        <v>1284.0</v>
      </c>
      <c r="B217" s="380" t="s">
        <v>849</v>
      </c>
      <c r="C217" s="56">
        <f>'3a. Typical Mode Sequence (Powe'!C217</f>
        <v>70.5</v>
      </c>
      <c r="D217" s="379">
        <v>110.0</v>
      </c>
      <c r="E217" s="304">
        <f t="shared" ref="E217:K217" si="215">IF($B217=E$2,$C217,0)</f>
        <v>0</v>
      </c>
      <c r="F217" s="304">
        <f t="shared" si="215"/>
        <v>70.5</v>
      </c>
      <c r="G217" s="304">
        <f t="shared" si="215"/>
        <v>0</v>
      </c>
      <c r="H217" s="304">
        <f t="shared" si="215"/>
        <v>0</v>
      </c>
      <c r="I217" s="304">
        <f t="shared" si="215"/>
        <v>0</v>
      </c>
      <c r="J217" s="304">
        <f t="shared" si="215"/>
        <v>0</v>
      </c>
      <c r="K217" s="304">
        <f t="shared" si="215"/>
        <v>0</v>
      </c>
    </row>
    <row r="218" ht="15.75" customHeight="1">
      <c r="A218" s="381">
        <v>1290.0</v>
      </c>
      <c r="B218" s="380" t="s">
        <v>849</v>
      </c>
      <c r="C218" s="56">
        <f>'3a. Typical Mode Sequence (Powe'!C218</f>
        <v>70.5</v>
      </c>
      <c r="D218" s="379">
        <v>110.0</v>
      </c>
      <c r="E218" s="304">
        <f t="shared" ref="E218:K218" si="216">IF($B218=E$2,$C218,0)</f>
        <v>0</v>
      </c>
      <c r="F218" s="304">
        <f t="shared" si="216"/>
        <v>70.5</v>
      </c>
      <c r="G218" s="304">
        <f t="shared" si="216"/>
        <v>0</v>
      </c>
      <c r="H218" s="304">
        <f t="shared" si="216"/>
        <v>0</v>
      </c>
      <c r="I218" s="304">
        <f t="shared" si="216"/>
        <v>0</v>
      </c>
      <c r="J218" s="304">
        <f t="shared" si="216"/>
        <v>0</v>
      </c>
      <c r="K218" s="304">
        <f t="shared" si="216"/>
        <v>0</v>
      </c>
    </row>
    <row r="219" ht="15.75" customHeight="1">
      <c r="A219" s="381">
        <v>1296.0</v>
      </c>
      <c r="B219" s="380" t="s">
        <v>849</v>
      </c>
      <c r="C219" s="56">
        <f>'3a. Typical Mode Sequence (Powe'!C219</f>
        <v>70.5</v>
      </c>
      <c r="D219" s="379">
        <v>110.0</v>
      </c>
      <c r="E219" s="304">
        <f t="shared" ref="E219:K219" si="217">IF($B219=E$2,$C219,0)</f>
        <v>0</v>
      </c>
      <c r="F219" s="304">
        <f t="shared" si="217"/>
        <v>70.5</v>
      </c>
      <c r="G219" s="304">
        <f t="shared" si="217"/>
        <v>0</v>
      </c>
      <c r="H219" s="304">
        <f t="shared" si="217"/>
        <v>0</v>
      </c>
      <c r="I219" s="304">
        <f t="shared" si="217"/>
        <v>0</v>
      </c>
      <c r="J219" s="304">
        <f t="shared" si="217"/>
        <v>0</v>
      </c>
      <c r="K219" s="304">
        <f t="shared" si="217"/>
        <v>0</v>
      </c>
    </row>
    <row r="220" ht="15.75" customHeight="1">
      <c r="A220" s="381">
        <v>1302.0</v>
      </c>
      <c r="B220" s="380" t="s">
        <v>849</v>
      </c>
      <c r="C220" s="56">
        <f>'3a. Typical Mode Sequence (Powe'!C220</f>
        <v>70.5</v>
      </c>
      <c r="D220" s="379">
        <v>110.0</v>
      </c>
      <c r="E220" s="304">
        <f t="shared" ref="E220:K220" si="218">IF($B220=E$2,$C220,0)</f>
        <v>0</v>
      </c>
      <c r="F220" s="304">
        <f t="shared" si="218"/>
        <v>70.5</v>
      </c>
      <c r="G220" s="304">
        <f t="shared" si="218"/>
        <v>0</v>
      </c>
      <c r="H220" s="304">
        <f t="shared" si="218"/>
        <v>0</v>
      </c>
      <c r="I220" s="304">
        <f t="shared" si="218"/>
        <v>0</v>
      </c>
      <c r="J220" s="304">
        <f t="shared" si="218"/>
        <v>0</v>
      </c>
      <c r="K220" s="304">
        <f t="shared" si="218"/>
        <v>0</v>
      </c>
    </row>
    <row r="221" ht="15.75" customHeight="1">
      <c r="A221" s="381">
        <v>1308.0</v>
      </c>
      <c r="B221" s="380" t="s">
        <v>849</v>
      </c>
      <c r="C221" s="56">
        <f>'3a. Typical Mode Sequence (Powe'!C221</f>
        <v>70.5</v>
      </c>
      <c r="D221" s="379">
        <v>110.0</v>
      </c>
      <c r="E221" s="304">
        <f t="shared" ref="E221:K221" si="219">IF($B221=E$2,$C221,0)</f>
        <v>0</v>
      </c>
      <c r="F221" s="304">
        <f t="shared" si="219"/>
        <v>70.5</v>
      </c>
      <c r="G221" s="304">
        <f t="shared" si="219"/>
        <v>0</v>
      </c>
      <c r="H221" s="304">
        <f t="shared" si="219"/>
        <v>0</v>
      </c>
      <c r="I221" s="304">
        <f t="shared" si="219"/>
        <v>0</v>
      </c>
      <c r="J221" s="304">
        <f t="shared" si="219"/>
        <v>0</v>
      </c>
      <c r="K221" s="304">
        <f t="shared" si="219"/>
        <v>0</v>
      </c>
    </row>
    <row r="222" ht="15.75" customHeight="1">
      <c r="A222" s="381">
        <v>1314.0</v>
      </c>
      <c r="B222" s="380" t="s">
        <v>849</v>
      </c>
      <c r="C222" s="56">
        <f>'3a. Typical Mode Sequence (Powe'!C222</f>
        <v>70.5</v>
      </c>
      <c r="D222" s="379">
        <v>110.0</v>
      </c>
      <c r="E222" s="304">
        <f t="shared" ref="E222:K222" si="220">IF($B222=E$2,$C222,0)</f>
        <v>0</v>
      </c>
      <c r="F222" s="304">
        <f t="shared" si="220"/>
        <v>70.5</v>
      </c>
      <c r="G222" s="304">
        <f t="shared" si="220"/>
        <v>0</v>
      </c>
      <c r="H222" s="304">
        <f t="shared" si="220"/>
        <v>0</v>
      </c>
      <c r="I222" s="304">
        <f t="shared" si="220"/>
        <v>0</v>
      </c>
      <c r="J222" s="304">
        <f t="shared" si="220"/>
        <v>0</v>
      </c>
      <c r="K222" s="304">
        <f t="shared" si="220"/>
        <v>0</v>
      </c>
    </row>
    <row r="223" ht="15.75" customHeight="1">
      <c r="A223" s="381">
        <v>1320.0</v>
      </c>
      <c r="B223" s="380" t="s">
        <v>849</v>
      </c>
      <c r="C223" s="56">
        <f>'3a. Typical Mode Sequence (Powe'!C223</f>
        <v>70.5</v>
      </c>
      <c r="D223" s="379">
        <v>110.0</v>
      </c>
      <c r="E223" s="304">
        <f t="shared" ref="E223:K223" si="221">IF($B223=E$2,$C223,0)</f>
        <v>0</v>
      </c>
      <c r="F223" s="304">
        <f t="shared" si="221"/>
        <v>70.5</v>
      </c>
      <c r="G223" s="304">
        <f t="shared" si="221"/>
        <v>0</v>
      </c>
      <c r="H223" s="304">
        <f t="shared" si="221"/>
        <v>0</v>
      </c>
      <c r="I223" s="304">
        <f t="shared" si="221"/>
        <v>0</v>
      </c>
      <c r="J223" s="304">
        <f t="shared" si="221"/>
        <v>0</v>
      </c>
      <c r="K223" s="304">
        <f t="shared" si="221"/>
        <v>0</v>
      </c>
    </row>
    <row r="224" ht="15.75" customHeight="1">
      <c r="A224" s="381">
        <v>1326.0</v>
      </c>
      <c r="B224" s="380" t="s">
        <v>849</v>
      </c>
      <c r="C224" s="56">
        <f>'3a. Typical Mode Sequence (Powe'!C224</f>
        <v>70.5</v>
      </c>
      <c r="D224" s="379">
        <v>110.0</v>
      </c>
      <c r="E224" s="304">
        <f t="shared" ref="E224:K224" si="222">IF($B224=E$2,$C224,0)</f>
        <v>0</v>
      </c>
      <c r="F224" s="304">
        <f t="shared" si="222"/>
        <v>70.5</v>
      </c>
      <c r="G224" s="304">
        <f t="shared" si="222"/>
        <v>0</v>
      </c>
      <c r="H224" s="304">
        <f t="shared" si="222"/>
        <v>0</v>
      </c>
      <c r="I224" s="304">
        <f t="shared" si="222"/>
        <v>0</v>
      </c>
      <c r="J224" s="304">
        <f t="shared" si="222"/>
        <v>0</v>
      </c>
      <c r="K224" s="304">
        <f t="shared" si="222"/>
        <v>0</v>
      </c>
    </row>
    <row r="225" ht="15.75" customHeight="1">
      <c r="A225" s="381">
        <v>1332.0</v>
      </c>
      <c r="B225" s="380" t="s">
        <v>849</v>
      </c>
      <c r="C225" s="56">
        <f>'3a. Typical Mode Sequence (Powe'!C225</f>
        <v>70.5</v>
      </c>
      <c r="D225" s="379">
        <v>110.0</v>
      </c>
      <c r="E225" s="304">
        <f t="shared" ref="E225:K225" si="223">IF($B225=E$2,$C225,0)</f>
        <v>0</v>
      </c>
      <c r="F225" s="304">
        <f t="shared" si="223"/>
        <v>70.5</v>
      </c>
      <c r="G225" s="304">
        <f t="shared" si="223"/>
        <v>0</v>
      </c>
      <c r="H225" s="304">
        <f t="shared" si="223"/>
        <v>0</v>
      </c>
      <c r="I225" s="304">
        <f t="shared" si="223"/>
        <v>0</v>
      </c>
      <c r="J225" s="304">
        <f t="shared" si="223"/>
        <v>0</v>
      </c>
      <c r="K225" s="304">
        <f t="shared" si="223"/>
        <v>0</v>
      </c>
    </row>
    <row r="226" ht="15.75" customHeight="1">
      <c r="A226" s="381">
        <v>1338.0</v>
      </c>
      <c r="B226" s="380" t="s">
        <v>849</v>
      </c>
      <c r="C226" s="56">
        <f>'3a. Typical Mode Sequence (Powe'!C226</f>
        <v>70.5</v>
      </c>
      <c r="D226" s="379">
        <v>110.0</v>
      </c>
      <c r="E226" s="304">
        <f t="shared" ref="E226:K226" si="224">IF($B226=E$2,$C226,0)</f>
        <v>0</v>
      </c>
      <c r="F226" s="304">
        <f t="shared" si="224"/>
        <v>70.5</v>
      </c>
      <c r="G226" s="304">
        <f t="shared" si="224"/>
        <v>0</v>
      </c>
      <c r="H226" s="304">
        <f t="shared" si="224"/>
        <v>0</v>
      </c>
      <c r="I226" s="304">
        <f t="shared" si="224"/>
        <v>0</v>
      </c>
      <c r="J226" s="304">
        <f t="shared" si="224"/>
        <v>0</v>
      </c>
      <c r="K226" s="304">
        <f t="shared" si="224"/>
        <v>0</v>
      </c>
    </row>
    <row r="227" ht="15.75" customHeight="1">
      <c r="A227" s="381">
        <v>1344.0</v>
      </c>
      <c r="B227" s="380" t="s">
        <v>849</v>
      </c>
      <c r="C227" s="56">
        <f>'3a. Typical Mode Sequence (Powe'!C227</f>
        <v>70.5</v>
      </c>
      <c r="D227" s="379">
        <v>110.0</v>
      </c>
      <c r="E227" s="304">
        <f t="shared" ref="E227:K227" si="225">IF($B227=E$2,$C227,0)</f>
        <v>0</v>
      </c>
      <c r="F227" s="304">
        <f t="shared" si="225"/>
        <v>70.5</v>
      </c>
      <c r="G227" s="304">
        <f t="shared" si="225"/>
        <v>0</v>
      </c>
      <c r="H227" s="304">
        <f t="shared" si="225"/>
        <v>0</v>
      </c>
      <c r="I227" s="304">
        <f t="shared" si="225"/>
        <v>0</v>
      </c>
      <c r="J227" s="304">
        <f t="shared" si="225"/>
        <v>0</v>
      </c>
      <c r="K227" s="304">
        <f t="shared" si="225"/>
        <v>0</v>
      </c>
    </row>
    <row r="228" ht="15.75" customHeight="1">
      <c r="A228" s="381">
        <v>1350.0</v>
      </c>
      <c r="B228" s="380" t="s">
        <v>849</v>
      </c>
      <c r="C228" s="56">
        <f>'3a. Typical Mode Sequence (Powe'!C228</f>
        <v>70.5</v>
      </c>
      <c r="D228" s="379">
        <v>110.0</v>
      </c>
      <c r="E228" s="304">
        <f t="shared" ref="E228:K228" si="226">IF($B228=E$2,$C228,0)</f>
        <v>0</v>
      </c>
      <c r="F228" s="304">
        <f t="shared" si="226"/>
        <v>70.5</v>
      </c>
      <c r="G228" s="304">
        <f t="shared" si="226"/>
        <v>0</v>
      </c>
      <c r="H228" s="304">
        <f t="shared" si="226"/>
        <v>0</v>
      </c>
      <c r="I228" s="304">
        <f t="shared" si="226"/>
        <v>0</v>
      </c>
      <c r="J228" s="304">
        <f t="shared" si="226"/>
        <v>0</v>
      </c>
      <c r="K228" s="304">
        <f t="shared" si="226"/>
        <v>0</v>
      </c>
    </row>
    <row r="229" ht="15.75" customHeight="1">
      <c r="A229" s="381">
        <v>1356.0</v>
      </c>
      <c r="B229" s="380" t="s">
        <v>849</v>
      </c>
      <c r="C229" s="56">
        <f>'3a. Typical Mode Sequence (Powe'!C229</f>
        <v>70.5</v>
      </c>
      <c r="D229" s="379">
        <v>110.0</v>
      </c>
      <c r="E229" s="304">
        <f t="shared" ref="E229:K229" si="227">IF($B229=E$2,$C229,0)</f>
        <v>0</v>
      </c>
      <c r="F229" s="304">
        <f t="shared" si="227"/>
        <v>70.5</v>
      </c>
      <c r="G229" s="304">
        <f t="shared" si="227"/>
        <v>0</v>
      </c>
      <c r="H229" s="304">
        <f t="shared" si="227"/>
        <v>0</v>
      </c>
      <c r="I229" s="304">
        <f t="shared" si="227"/>
        <v>0</v>
      </c>
      <c r="J229" s="304">
        <f t="shared" si="227"/>
        <v>0</v>
      </c>
      <c r="K229" s="304">
        <f t="shared" si="227"/>
        <v>0</v>
      </c>
    </row>
    <row r="230" ht="15.75" customHeight="1">
      <c r="A230" s="381">
        <v>1362.0</v>
      </c>
      <c r="B230" s="380" t="s">
        <v>849</v>
      </c>
      <c r="C230" s="56">
        <f>'3a. Typical Mode Sequence (Powe'!C230</f>
        <v>70.5</v>
      </c>
      <c r="D230" s="379">
        <v>110.0</v>
      </c>
      <c r="E230" s="304">
        <f t="shared" ref="E230:K230" si="228">IF($B230=E$2,$C230,0)</f>
        <v>0</v>
      </c>
      <c r="F230" s="304">
        <f t="shared" si="228"/>
        <v>70.5</v>
      </c>
      <c r="G230" s="304">
        <f t="shared" si="228"/>
        <v>0</v>
      </c>
      <c r="H230" s="304">
        <f t="shared" si="228"/>
        <v>0</v>
      </c>
      <c r="I230" s="304">
        <f t="shared" si="228"/>
        <v>0</v>
      </c>
      <c r="J230" s="304">
        <f t="shared" si="228"/>
        <v>0</v>
      </c>
      <c r="K230" s="304">
        <f t="shared" si="228"/>
        <v>0</v>
      </c>
    </row>
    <row r="231" ht="15.75" customHeight="1">
      <c r="A231" s="381">
        <v>1368.0</v>
      </c>
      <c r="B231" s="380" t="s">
        <v>849</v>
      </c>
      <c r="C231" s="56">
        <f>'3a. Typical Mode Sequence (Powe'!C231</f>
        <v>70.5</v>
      </c>
      <c r="D231" s="379">
        <v>110.0</v>
      </c>
      <c r="E231" s="304">
        <f t="shared" ref="E231:K231" si="229">IF($B231=E$2,$C231,0)</f>
        <v>0</v>
      </c>
      <c r="F231" s="304">
        <f t="shared" si="229"/>
        <v>70.5</v>
      </c>
      <c r="G231" s="304">
        <f t="shared" si="229"/>
        <v>0</v>
      </c>
      <c r="H231" s="304">
        <f t="shared" si="229"/>
        <v>0</v>
      </c>
      <c r="I231" s="304">
        <f t="shared" si="229"/>
        <v>0</v>
      </c>
      <c r="J231" s="304">
        <f t="shared" si="229"/>
        <v>0</v>
      </c>
      <c r="K231" s="304">
        <f t="shared" si="229"/>
        <v>0</v>
      </c>
    </row>
    <row r="232" ht="15.75" customHeight="1">
      <c r="A232" s="381">
        <v>1374.0</v>
      </c>
      <c r="B232" s="380" t="s">
        <v>849</v>
      </c>
      <c r="C232" s="56">
        <f>'3a. Typical Mode Sequence (Powe'!C232</f>
        <v>70.5</v>
      </c>
      <c r="D232" s="379">
        <v>110.0</v>
      </c>
      <c r="E232" s="304">
        <f t="shared" ref="E232:K232" si="230">IF($B232=E$2,$C232,0)</f>
        <v>0</v>
      </c>
      <c r="F232" s="304">
        <f t="shared" si="230"/>
        <v>70.5</v>
      </c>
      <c r="G232" s="304">
        <f t="shared" si="230"/>
        <v>0</v>
      </c>
      <c r="H232" s="304">
        <f t="shared" si="230"/>
        <v>0</v>
      </c>
      <c r="I232" s="304">
        <f t="shared" si="230"/>
        <v>0</v>
      </c>
      <c r="J232" s="304">
        <f t="shared" si="230"/>
        <v>0</v>
      </c>
      <c r="K232" s="304">
        <f t="shared" si="230"/>
        <v>0</v>
      </c>
    </row>
    <row r="233" ht="15.75" customHeight="1">
      <c r="A233" s="381">
        <v>1380.0</v>
      </c>
      <c r="B233" s="380" t="s">
        <v>849</v>
      </c>
      <c r="C233" s="56">
        <f>'3a. Typical Mode Sequence (Powe'!C233</f>
        <v>70.5</v>
      </c>
      <c r="D233" s="379">
        <v>110.0</v>
      </c>
      <c r="E233" s="304">
        <f t="shared" ref="E233:K233" si="231">IF($B233=E$2,$C233,0)</f>
        <v>0</v>
      </c>
      <c r="F233" s="304">
        <f t="shared" si="231"/>
        <v>70.5</v>
      </c>
      <c r="G233" s="304">
        <f t="shared" si="231"/>
        <v>0</v>
      </c>
      <c r="H233" s="304">
        <f t="shared" si="231"/>
        <v>0</v>
      </c>
      <c r="I233" s="304">
        <f t="shared" si="231"/>
        <v>0</v>
      </c>
      <c r="J233" s="304">
        <f t="shared" si="231"/>
        <v>0</v>
      </c>
      <c r="K233" s="304">
        <f t="shared" si="231"/>
        <v>0</v>
      </c>
    </row>
    <row r="234" ht="15.75" customHeight="1">
      <c r="A234" s="381">
        <v>1386.0</v>
      </c>
      <c r="B234" s="380" t="s">
        <v>849</v>
      </c>
      <c r="C234" s="56">
        <f>'3a. Typical Mode Sequence (Powe'!C234</f>
        <v>70.5</v>
      </c>
      <c r="D234" s="379">
        <v>110.0</v>
      </c>
      <c r="E234" s="304">
        <f t="shared" ref="E234:K234" si="232">IF($B234=E$2,$C234,0)</f>
        <v>0</v>
      </c>
      <c r="F234" s="304">
        <f t="shared" si="232"/>
        <v>70.5</v>
      </c>
      <c r="G234" s="304">
        <f t="shared" si="232"/>
        <v>0</v>
      </c>
      <c r="H234" s="304">
        <f t="shared" si="232"/>
        <v>0</v>
      </c>
      <c r="I234" s="304">
        <f t="shared" si="232"/>
        <v>0</v>
      </c>
      <c r="J234" s="304">
        <f t="shared" si="232"/>
        <v>0</v>
      </c>
      <c r="K234" s="304">
        <f t="shared" si="232"/>
        <v>0</v>
      </c>
    </row>
    <row r="235" ht="15.75" customHeight="1">
      <c r="A235" s="381">
        <v>1392.0</v>
      </c>
      <c r="B235" s="380" t="s">
        <v>849</v>
      </c>
      <c r="C235" s="56">
        <f>'3a. Typical Mode Sequence (Powe'!C235</f>
        <v>70.5</v>
      </c>
      <c r="D235" s="379">
        <v>110.0</v>
      </c>
      <c r="E235" s="304">
        <f t="shared" ref="E235:K235" si="233">IF($B235=E$2,$C235,0)</f>
        <v>0</v>
      </c>
      <c r="F235" s="304">
        <f t="shared" si="233"/>
        <v>70.5</v>
      </c>
      <c r="G235" s="304">
        <f t="shared" si="233"/>
        <v>0</v>
      </c>
      <c r="H235" s="304">
        <f t="shared" si="233"/>
        <v>0</v>
      </c>
      <c r="I235" s="304">
        <f t="shared" si="233"/>
        <v>0</v>
      </c>
      <c r="J235" s="304">
        <f t="shared" si="233"/>
        <v>0</v>
      </c>
      <c r="K235" s="304">
        <f t="shared" si="233"/>
        <v>0</v>
      </c>
    </row>
    <row r="236" ht="15.75" customHeight="1">
      <c r="A236" s="381">
        <v>1398.0</v>
      </c>
      <c r="B236" s="380" t="s">
        <v>849</v>
      </c>
      <c r="C236" s="56">
        <f>'3a. Typical Mode Sequence (Powe'!C236</f>
        <v>70.5</v>
      </c>
      <c r="D236" s="379">
        <v>110.0</v>
      </c>
      <c r="E236" s="304">
        <f t="shared" ref="E236:K236" si="234">IF($B236=E$2,$C236,0)</f>
        <v>0</v>
      </c>
      <c r="F236" s="304">
        <f t="shared" si="234"/>
        <v>70.5</v>
      </c>
      <c r="G236" s="304">
        <f t="shared" si="234"/>
        <v>0</v>
      </c>
      <c r="H236" s="304">
        <f t="shared" si="234"/>
        <v>0</v>
      </c>
      <c r="I236" s="304">
        <f t="shared" si="234"/>
        <v>0</v>
      </c>
      <c r="J236" s="304">
        <f t="shared" si="234"/>
        <v>0</v>
      </c>
      <c r="K236" s="304">
        <f t="shared" si="234"/>
        <v>0</v>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E1:K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38"/>
    <col customWidth="1" min="2" max="2" width="18.88"/>
    <col customWidth="1" min="3" max="3" width="21.63"/>
    <col customWidth="1" min="4" max="4" width="23.0"/>
    <col customWidth="1" min="5" max="5" width="20.0"/>
    <col customWidth="1" min="6" max="6" width="20.25"/>
    <col customWidth="1" min="7" max="7" width="14.38"/>
    <col customWidth="1" min="8" max="8" width="26.75"/>
    <col customWidth="1" min="9" max="9" width="12.88"/>
    <col customWidth="1" min="10" max="10" width="18.0"/>
    <col customWidth="1" min="11" max="11" width="28.38"/>
    <col customWidth="1" min="12" max="21" width="14.38"/>
  </cols>
  <sheetData>
    <row r="1" ht="15.75" customHeight="1"/>
    <row r="2" ht="15.75" customHeight="1">
      <c r="A2" s="369" t="s">
        <v>900</v>
      </c>
      <c r="B2" s="366" t="s">
        <v>909</v>
      </c>
      <c r="C2" s="366" t="s">
        <v>918</v>
      </c>
      <c r="D2" s="366" t="s">
        <v>919</v>
      </c>
      <c r="E2" s="366" t="s">
        <v>920</v>
      </c>
      <c r="F2" s="369" t="s">
        <v>913</v>
      </c>
    </row>
    <row r="3" ht="15.75" customHeight="1">
      <c r="A3" s="379">
        <v>0.0</v>
      </c>
      <c r="B3" s="380" t="s">
        <v>277</v>
      </c>
      <c r="C3" s="56">
        <f>'2. Power by Mode'!$J$15</f>
        <v>40.5</v>
      </c>
      <c r="D3" s="56">
        <f>'3. Mode Plot Data'!D3</f>
        <v>110</v>
      </c>
      <c r="E3" s="56">
        <f t="shared" ref="E3:E236" si="1">D3-C3</f>
        <v>69.5</v>
      </c>
      <c r="F3" s="372">
        <f>I9</f>
        <v>2400</v>
      </c>
      <c r="H3" s="312" t="s">
        <v>922</v>
      </c>
      <c r="I3" s="242"/>
    </row>
    <row r="4" ht="15.75" customHeight="1">
      <c r="A4" s="379">
        <f t="shared" ref="A4:A236" si="2">A3+$I$5</f>
        <v>6</v>
      </c>
      <c r="B4" s="380" t="s">
        <v>277</v>
      </c>
      <c r="C4" s="56">
        <f>'2. Power by Mode'!$J$15</f>
        <v>40.5</v>
      </c>
      <c r="D4" s="56">
        <f>'3. Mode Plot Data'!D4</f>
        <v>110</v>
      </c>
      <c r="E4" s="56">
        <f t="shared" si="1"/>
        <v>69.5</v>
      </c>
      <c r="F4" s="372">
        <f t="shared" ref="F4:F236" si="3">MIN(MAX(F3+E3*$I$5/60, $I$8),$I$6)</f>
        <v>2400</v>
      </c>
      <c r="H4" s="377" t="s">
        <v>921</v>
      </c>
      <c r="I4" s="384" t="s">
        <v>859</v>
      </c>
    </row>
    <row r="5" ht="15.75" customHeight="1">
      <c r="A5" s="379">
        <f t="shared" si="2"/>
        <v>12</v>
      </c>
      <c r="B5" s="380" t="s">
        <v>277</v>
      </c>
      <c r="C5" s="56">
        <f>'2. Power by Mode'!$J$15</f>
        <v>40.5</v>
      </c>
      <c r="D5" s="56">
        <f>'3. Mode Plot Data'!D5</f>
        <v>110</v>
      </c>
      <c r="E5" s="56">
        <f t="shared" si="1"/>
        <v>69.5</v>
      </c>
      <c r="F5" s="372">
        <f t="shared" si="3"/>
        <v>2400</v>
      </c>
      <c r="H5" s="386" t="s">
        <v>925</v>
      </c>
      <c r="I5" s="387">
        <v>6.0</v>
      </c>
    </row>
    <row r="6" ht="15.75" customHeight="1">
      <c r="A6" s="379">
        <f t="shared" si="2"/>
        <v>18</v>
      </c>
      <c r="B6" s="380" t="s">
        <v>277</v>
      </c>
      <c r="C6" s="56">
        <f>'2. Power by Mode'!$J$15</f>
        <v>40.5</v>
      </c>
      <c r="D6" s="56">
        <f>'3. Mode Plot Data'!D6</f>
        <v>110</v>
      </c>
      <c r="E6" s="56">
        <f t="shared" si="1"/>
        <v>69.5</v>
      </c>
      <c r="F6" s="372">
        <f t="shared" si="3"/>
        <v>2400</v>
      </c>
      <c r="H6" s="389" t="s">
        <v>924</v>
      </c>
      <c r="I6" s="379">
        <v>2400.0</v>
      </c>
      <c r="L6" s="359"/>
      <c r="M6" s="359"/>
      <c r="N6" s="359"/>
      <c r="O6" s="359"/>
      <c r="P6" s="359"/>
      <c r="Q6" s="359"/>
      <c r="R6" s="359"/>
      <c r="S6" s="359"/>
      <c r="T6" s="359"/>
      <c r="U6" s="360"/>
    </row>
    <row r="7" ht="15.75" customHeight="1">
      <c r="A7" s="379">
        <f t="shared" si="2"/>
        <v>24</v>
      </c>
      <c r="B7" s="380" t="s">
        <v>277</v>
      </c>
      <c r="C7" s="56">
        <f>'2. Power by Mode'!$J$15</f>
        <v>40.5</v>
      </c>
      <c r="D7" s="56">
        <f>'3. Mode Plot Data'!D7</f>
        <v>110</v>
      </c>
      <c r="E7" s="56">
        <f t="shared" si="1"/>
        <v>69.5</v>
      </c>
      <c r="F7" s="372">
        <f t="shared" si="3"/>
        <v>2400</v>
      </c>
      <c r="H7" s="389" t="s">
        <v>926</v>
      </c>
      <c r="I7" s="388">
        <v>0.0</v>
      </c>
    </row>
    <row r="8" ht="15.75" customHeight="1">
      <c r="A8" s="379">
        <f t="shared" si="2"/>
        <v>30</v>
      </c>
      <c r="B8" s="380" t="s">
        <v>277</v>
      </c>
      <c r="C8" s="56">
        <f>'2. Power by Mode'!$J$15</f>
        <v>40.5</v>
      </c>
      <c r="D8" s="56">
        <f>'3. Mode Plot Data'!D8</f>
        <v>110</v>
      </c>
      <c r="E8" s="56">
        <f t="shared" si="1"/>
        <v>69.5</v>
      </c>
      <c r="F8" s="372">
        <f t="shared" si="3"/>
        <v>2400</v>
      </c>
      <c r="H8" s="389" t="s">
        <v>927</v>
      </c>
      <c r="I8" s="379">
        <v>480.0</v>
      </c>
    </row>
    <row r="9" ht="15.75" customHeight="1">
      <c r="A9" s="379">
        <f t="shared" si="2"/>
        <v>36</v>
      </c>
      <c r="B9" s="380" t="s">
        <v>277</v>
      </c>
      <c r="C9" s="56">
        <f>'2. Power by Mode'!$J$15</f>
        <v>40.5</v>
      </c>
      <c r="D9" s="56">
        <f>'3. Mode Plot Data'!D9</f>
        <v>110</v>
      </c>
      <c r="E9" s="56">
        <f t="shared" si="1"/>
        <v>69.5</v>
      </c>
      <c r="F9" s="372">
        <f t="shared" si="3"/>
        <v>2400</v>
      </c>
      <c r="H9" s="392" t="s">
        <v>928</v>
      </c>
      <c r="I9" s="393">
        <f>I6</f>
        <v>2400</v>
      </c>
    </row>
    <row r="10" ht="15.75" customHeight="1">
      <c r="A10" s="379">
        <f t="shared" si="2"/>
        <v>42</v>
      </c>
      <c r="B10" s="380" t="s">
        <v>277</v>
      </c>
      <c r="C10" s="56">
        <f>'2. Power by Mode'!$J$15</f>
        <v>40.5</v>
      </c>
      <c r="D10" s="56">
        <f>'3. Mode Plot Data'!D10</f>
        <v>110</v>
      </c>
      <c r="E10" s="56">
        <f t="shared" si="1"/>
        <v>69.5</v>
      </c>
      <c r="F10" s="372">
        <f t="shared" si="3"/>
        <v>2400</v>
      </c>
    </row>
    <row r="11" ht="15.75" customHeight="1">
      <c r="A11" s="379">
        <f t="shared" si="2"/>
        <v>48</v>
      </c>
      <c r="B11" s="380" t="s">
        <v>277</v>
      </c>
      <c r="C11" s="56">
        <f>'2. Power by Mode'!$J$15</f>
        <v>40.5</v>
      </c>
      <c r="D11" s="56">
        <f>'3. Mode Plot Data'!D11</f>
        <v>110</v>
      </c>
      <c r="E11" s="56">
        <f t="shared" si="1"/>
        <v>69.5</v>
      </c>
      <c r="F11" s="372">
        <f t="shared" si="3"/>
        <v>2400</v>
      </c>
      <c r="H11" s="312" t="s">
        <v>930</v>
      </c>
      <c r="I11" s="242"/>
      <c r="J11" s="56"/>
      <c r="K11" s="312" t="s">
        <v>931</v>
      </c>
      <c r="L11" s="242"/>
    </row>
    <row r="12" ht="15.75" customHeight="1">
      <c r="A12" s="379">
        <f t="shared" si="2"/>
        <v>54</v>
      </c>
      <c r="B12" s="380" t="s">
        <v>277</v>
      </c>
      <c r="C12" s="56">
        <f>'2. Power by Mode'!$J$15</f>
        <v>40.5</v>
      </c>
      <c r="D12" s="56">
        <f>'3. Mode Plot Data'!D12</f>
        <v>110</v>
      </c>
      <c r="E12" s="56">
        <f t="shared" si="1"/>
        <v>69.5</v>
      </c>
      <c r="F12" s="372">
        <f t="shared" si="3"/>
        <v>2400</v>
      </c>
      <c r="H12" s="382" t="s">
        <v>921</v>
      </c>
      <c r="I12" s="383" t="s">
        <v>859</v>
      </c>
      <c r="J12" s="56"/>
      <c r="K12" s="382" t="s">
        <v>921</v>
      </c>
      <c r="L12" s="383" t="s">
        <v>859</v>
      </c>
    </row>
    <row r="13" ht="15.75" customHeight="1">
      <c r="A13" s="379">
        <f t="shared" si="2"/>
        <v>60</v>
      </c>
      <c r="B13" s="380" t="s">
        <v>847</v>
      </c>
      <c r="C13" s="357">
        <f>'2. Power by Mode'!$E$15</f>
        <v>124.5</v>
      </c>
      <c r="D13" s="56">
        <f>'3. Mode Plot Data'!D13</f>
        <v>110</v>
      </c>
      <c r="E13" s="56">
        <f t="shared" si="1"/>
        <v>-14.5</v>
      </c>
      <c r="F13" s="372">
        <f t="shared" si="3"/>
        <v>2400</v>
      </c>
      <c r="H13" s="396" t="s">
        <v>933</v>
      </c>
      <c r="I13" s="398">
        <f>MIN(F3:F236)</f>
        <v>2342</v>
      </c>
      <c r="J13" s="399"/>
      <c r="K13" s="400" t="s">
        <v>933</v>
      </c>
      <c r="L13" s="401">
        <f>MIN(F3:F92)</f>
        <v>2342</v>
      </c>
    </row>
    <row r="14" ht="15.75" customHeight="1">
      <c r="A14" s="379">
        <f t="shared" si="2"/>
        <v>66</v>
      </c>
      <c r="B14" s="380" t="s">
        <v>847</v>
      </c>
      <c r="C14" s="357">
        <f>'2. Power by Mode'!$E$15</f>
        <v>124.5</v>
      </c>
      <c r="D14" s="56">
        <f>'3. Mode Plot Data'!D14</f>
        <v>110</v>
      </c>
      <c r="E14" s="56">
        <f t="shared" si="1"/>
        <v>-14.5</v>
      </c>
      <c r="F14" s="372">
        <f t="shared" si="3"/>
        <v>2398.55</v>
      </c>
      <c r="H14" s="400" t="s">
        <v>934</v>
      </c>
      <c r="I14" s="401">
        <f>MAX(F3:F236)</f>
        <v>2400</v>
      </c>
      <c r="J14" s="399"/>
      <c r="K14" s="400" t="s">
        <v>934</v>
      </c>
      <c r="L14" s="401">
        <f>MAX(F3:F92)</f>
        <v>2400</v>
      </c>
    </row>
    <row r="15" ht="15.75" customHeight="1">
      <c r="A15" s="379">
        <f t="shared" si="2"/>
        <v>72</v>
      </c>
      <c r="B15" s="380" t="s">
        <v>847</v>
      </c>
      <c r="C15" s="357">
        <f>'2. Power by Mode'!$E$15</f>
        <v>124.5</v>
      </c>
      <c r="D15" s="56">
        <f>'3. Mode Plot Data'!D15</f>
        <v>110</v>
      </c>
      <c r="E15" s="56">
        <f t="shared" si="1"/>
        <v>-14.5</v>
      </c>
      <c r="F15" s="372">
        <f t="shared" si="3"/>
        <v>2397.1</v>
      </c>
      <c r="H15" s="400" t="s">
        <v>935</v>
      </c>
      <c r="I15" s="401">
        <f>AVERAGE(F3:F236)</f>
        <v>2392.151923</v>
      </c>
      <c r="J15" s="399"/>
      <c r="K15" s="400" t="s">
        <v>935</v>
      </c>
      <c r="L15" s="401">
        <f>AVERAGE(F3:F92)</f>
        <v>2380.55</v>
      </c>
    </row>
    <row r="16" ht="15.75" customHeight="1">
      <c r="A16" s="379">
        <f t="shared" si="2"/>
        <v>78</v>
      </c>
      <c r="B16" s="380" t="s">
        <v>847</v>
      </c>
      <c r="C16" s="357">
        <f>'2. Power by Mode'!$E$15</f>
        <v>124.5</v>
      </c>
      <c r="D16" s="56">
        <f>'3. Mode Plot Data'!D16</f>
        <v>110</v>
      </c>
      <c r="E16" s="56">
        <f t="shared" si="1"/>
        <v>-14.5</v>
      </c>
      <c r="F16" s="372">
        <f t="shared" si="3"/>
        <v>2395.65</v>
      </c>
      <c r="H16" s="400" t="s">
        <v>936</v>
      </c>
      <c r="I16" s="401">
        <f>ABS(MIN(0, MIN(E3:E236)))</f>
        <v>14.5</v>
      </c>
      <c r="J16" s="56"/>
      <c r="K16" s="400" t="s">
        <v>936</v>
      </c>
      <c r="L16" s="401">
        <f>ABS(MIN(0, MIN(E3:E92)))</f>
        <v>14.5</v>
      </c>
    </row>
    <row r="17" ht="15.75" customHeight="1">
      <c r="A17" s="379">
        <f t="shared" si="2"/>
        <v>84</v>
      </c>
      <c r="B17" s="380" t="s">
        <v>847</v>
      </c>
      <c r="C17" s="357">
        <f>'2. Power by Mode'!$E$15</f>
        <v>124.5</v>
      </c>
      <c r="D17" s="56">
        <f>'3. Mode Plot Data'!D17</f>
        <v>110</v>
      </c>
      <c r="E17" s="56">
        <f t="shared" si="1"/>
        <v>-14.5</v>
      </c>
      <c r="F17" s="372">
        <f t="shared" si="3"/>
        <v>2394.2</v>
      </c>
      <c r="H17" s="400" t="s">
        <v>937</v>
      </c>
      <c r="I17" s="401">
        <f>ABS(MAX(MAX(E4:E237), 0))</f>
        <v>69.5</v>
      </c>
      <c r="J17" s="56"/>
      <c r="K17" s="400" t="s">
        <v>937</v>
      </c>
      <c r="L17" s="401">
        <f>ABS(MAX(MAX(E4:E92), 0))</f>
        <v>69.5</v>
      </c>
    </row>
    <row r="18" ht="15.75" customHeight="1">
      <c r="A18" s="379">
        <f t="shared" si="2"/>
        <v>90</v>
      </c>
      <c r="B18" s="380" t="s">
        <v>847</v>
      </c>
      <c r="C18" s="357">
        <f>'2. Power by Mode'!$E$15</f>
        <v>124.5</v>
      </c>
      <c r="D18" s="56">
        <f>'3. Mode Plot Data'!D18</f>
        <v>110</v>
      </c>
      <c r="E18" s="56">
        <f t="shared" si="1"/>
        <v>-14.5</v>
      </c>
      <c r="F18" s="372">
        <f t="shared" si="3"/>
        <v>2392.75</v>
      </c>
      <c r="H18" s="400" t="s">
        <v>939</v>
      </c>
      <c r="I18" s="401">
        <f>AVERAGE(C3:C236)</f>
        <v>83.94017094</v>
      </c>
      <c r="K18" s="400" t="s">
        <v>939</v>
      </c>
      <c r="L18" s="401">
        <f>AVERAGE(C3:C92)</f>
        <v>96.05555556</v>
      </c>
    </row>
    <row r="19" ht="15.75" customHeight="1">
      <c r="A19" s="379">
        <f t="shared" si="2"/>
        <v>96</v>
      </c>
      <c r="B19" s="380" t="s">
        <v>847</v>
      </c>
      <c r="C19" s="357">
        <f>'2. Power by Mode'!$E$15</f>
        <v>124.5</v>
      </c>
      <c r="D19" s="56">
        <f>'3. Mode Plot Data'!D19</f>
        <v>110</v>
      </c>
      <c r="E19" s="56">
        <f t="shared" si="1"/>
        <v>-14.5</v>
      </c>
      <c r="F19" s="372">
        <f t="shared" si="3"/>
        <v>2391.3</v>
      </c>
      <c r="H19" s="405" t="s">
        <v>942</v>
      </c>
      <c r="I19" s="406">
        <f>AVERAGE(D3:D236)</f>
        <v>110</v>
      </c>
      <c r="K19" s="405" t="s">
        <v>942</v>
      </c>
      <c r="L19" s="406">
        <f>AVERAGE(D3:D92)</f>
        <v>110</v>
      </c>
    </row>
    <row r="20" ht="15.75" customHeight="1">
      <c r="A20" s="379">
        <f t="shared" si="2"/>
        <v>102</v>
      </c>
      <c r="B20" s="380" t="s">
        <v>847</v>
      </c>
      <c r="C20" s="357">
        <f>'2. Power by Mode'!$E$15</f>
        <v>124.5</v>
      </c>
      <c r="D20" s="56">
        <f>'3. Mode Plot Data'!D20</f>
        <v>110</v>
      </c>
      <c r="E20" s="56">
        <f t="shared" si="1"/>
        <v>-14.5</v>
      </c>
      <c r="F20" s="372">
        <f t="shared" si="3"/>
        <v>2389.85</v>
      </c>
    </row>
    <row r="21" ht="15.75" customHeight="1">
      <c r="A21" s="379">
        <f t="shared" si="2"/>
        <v>108</v>
      </c>
      <c r="B21" s="380" t="s">
        <v>847</v>
      </c>
      <c r="C21" s="357">
        <f>'2. Power by Mode'!$E$15</f>
        <v>124.5</v>
      </c>
      <c r="D21" s="56">
        <f>'3. Mode Plot Data'!D21</f>
        <v>110</v>
      </c>
      <c r="E21" s="56">
        <f t="shared" si="1"/>
        <v>-14.5</v>
      </c>
      <c r="F21" s="372">
        <f t="shared" si="3"/>
        <v>2388.4</v>
      </c>
    </row>
    <row r="22" ht="15.75" customHeight="1">
      <c r="A22" s="379">
        <f t="shared" si="2"/>
        <v>114</v>
      </c>
      <c r="B22" s="380" t="s">
        <v>847</v>
      </c>
      <c r="C22" s="357">
        <f>'2. Power by Mode'!$E$15</f>
        <v>124.5</v>
      </c>
      <c r="D22" s="56">
        <f>'3. Mode Plot Data'!D22</f>
        <v>110</v>
      </c>
      <c r="E22" s="56">
        <f t="shared" si="1"/>
        <v>-14.5</v>
      </c>
      <c r="F22" s="372">
        <f t="shared" si="3"/>
        <v>2386.95</v>
      </c>
    </row>
    <row r="23" ht="15.75" customHeight="1">
      <c r="A23" s="379">
        <f t="shared" si="2"/>
        <v>120</v>
      </c>
      <c r="B23" s="380" t="s">
        <v>847</v>
      </c>
      <c r="C23" s="357">
        <f>'2. Power by Mode'!$E$15</f>
        <v>124.5</v>
      </c>
      <c r="D23" s="56">
        <f>'3. Mode Plot Data'!D23</f>
        <v>110</v>
      </c>
      <c r="E23" s="56">
        <f t="shared" si="1"/>
        <v>-14.5</v>
      </c>
      <c r="F23" s="372">
        <f t="shared" si="3"/>
        <v>2385.5</v>
      </c>
      <c r="H23" s="361" t="s">
        <v>938</v>
      </c>
      <c r="I23" s="245"/>
      <c r="J23" s="97"/>
    </row>
    <row r="24" ht="15.75" customHeight="1">
      <c r="A24" s="379">
        <f t="shared" si="2"/>
        <v>126</v>
      </c>
      <c r="B24" s="380" t="s">
        <v>847</v>
      </c>
      <c r="C24" s="357">
        <f>'2. Power by Mode'!$E$15</f>
        <v>124.5</v>
      </c>
      <c r="D24" s="56">
        <f>'3. Mode Plot Data'!D24</f>
        <v>110</v>
      </c>
      <c r="E24" s="56">
        <f t="shared" si="1"/>
        <v>-14.5</v>
      </c>
      <c r="F24" s="372">
        <f t="shared" si="3"/>
        <v>2384.05</v>
      </c>
      <c r="H24" s="371" t="s">
        <v>940</v>
      </c>
      <c r="J24" s="363"/>
    </row>
    <row r="25" ht="15.75" customHeight="1">
      <c r="A25" s="379">
        <f t="shared" si="2"/>
        <v>132</v>
      </c>
      <c r="B25" s="380" t="s">
        <v>847</v>
      </c>
      <c r="C25" s="357">
        <f>'2. Power by Mode'!$E$15</f>
        <v>124.5</v>
      </c>
      <c r="D25" s="56">
        <f>'3. Mode Plot Data'!D25</f>
        <v>110</v>
      </c>
      <c r="E25" s="56">
        <f t="shared" si="1"/>
        <v>-14.5</v>
      </c>
      <c r="F25" s="372">
        <f t="shared" si="3"/>
        <v>2382.6</v>
      </c>
      <c r="H25" s="371" t="s">
        <v>941</v>
      </c>
      <c r="J25" s="363"/>
    </row>
    <row r="26" ht="15.75" customHeight="1">
      <c r="A26" s="379">
        <f t="shared" si="2"/>
        <v>138</v>
      </c>
      <c r="B26" s="380" t="s">
        <v>847</v>
      </c>
      <c r="C26" s="357">
        <f>'2. Power by Mode'!$E$15</f>
        <v>124.5</v>
      </c>
      <c r="D26" s="56">
        <f>'3. Mode Plot Data'!D26</f>
        <v>110</v>
      </c>
      <c r="E26" s="56">
        <f t="shared" si="1"/>
        <v>-14.5</v>
      </c>
      <c r="F26" s="372">
        <f t="shared" si="3"/>
        <v>2381.15</v>
      </c>
      <c r="H26" s="364" t="s">
        <v>943</v>
      </c>
      <c r="I26" s="365"/>
      <c r="J26" s="248"/>
    </row>
    <row r="27" ht="15.75" customHeight="1">
      <c r="A27" s="379">
        <f t="shared" si="2"/>
        <v>144</v>
      </c>
      <c r="B27" s="380" t="s">
        <v>847</v>
      </c>
      <c r="C27" s="357">
        <f>'2. Power by Mode'!$E$15</f>
        <v>124.5</v>
      </c>
      <c r="D27" s="56">
        <f>'3. Mode Plot Data'!D27</f>
        <v>110</v>
      </c>
      <c r="E27" s="56">
        <f t="shared" si="1"/>
        <v>-14.5</v>
      </c>
      <c r="F27" s="372">
        <f t="shared" si="3"/>
        <v>2379.7</v>
      </c>
    </row>
    <row r="28" ht="15.75" customHeight="1">
      <c r="A28" s="379">
        <f t="shared" si="2"/>
        <v>150</v>
      </c>
      <c r="B28" s="380" t="s">
        <v>847</v>
      </c>
      <c r="C28" s="357">
        <f>'2. Power by Mode'!$E$15</f>
        <v>124.5</v>
      </c>
      <c r="D28" s="56">
        <f>'3. Mode Plot Data'!D28</f>
        <v>110</v>
      </c>
      <c r="E28" s="56">
        <f t="shared" si="1"/>
        <v>-14.5</v>
      </c>
      <c r="F28" s="372">
        <f t="shared" si="3"/>
        <v>2378.25</v>
      </c>
      <c r="H28" s="407" t="s">
        <v>944</v>
      </c>
    </row>
    <row r="29" ht="15.75" customHeight="1">
      <c r="A29" s="379">
        <f t="shared" si="2"/>
        <v>156</v>
      </c>
      <c r="B29" s="380" t="s">
        <v>847</v>
      </c>
      <c r="C29" s="357">
        <f>'2. Power by Mode'!$E$15</f>
        <v>124.5</v>
      </c>
      <c r="D29" s="56">
        <f>'3. Mode Plot Data'!D29</f>
        <v>110</v>
      </c>
      <c r="E29" s="56">
        <f t="shared" si="1"/>
        <v>-14.5</v>
      </c>
      <c r="F29" s="372">
        <f t="shared" si="3"/>
        <v>2376.8</v>
      </c>
      <c r="H29" s="304" t="s">
        <v>878</v>
      </c>
    </row>
    <row r="30" ht="15.75" customHeight="1">
      <c r="A30" s="379">
        <f t="shared" si="2"/>
        <v>162</v>
      </c>
      <c r="B30" s="380" t="s">
        <v>847</v>
      </c>
      <c r="C30" s="357">
        <f>'2. Power by Mode'!$E$15</f>
        <v>124.5</v>
      </c>
      <c r="D30" s="56">
        <f>'3. Mode Plot Data'!D30</f>
        <v>110</v>
      </c>
      <c r="E30" s="56">
        <f t="shared" si="1"/>
        <v>-14.5</v>
      </c>
      <c r="F30" s="372">
        <f t="shared" si="3"/>
        <v>2375.35</v>
      </c>
      <c r="H30" s="304" t="s">
        <v>881</v>
      </c>
    </row>
    <row r="31" ht="15.75" customHeight="1">
      <c r="A31" s="379">
        <f t="shared" si="2"/>
        <v>168</v>
      </c>
      <c r="B31" s="380" t="s">
        <v>847</v>
      </c>
      <c r="C31" s="357">
        <f>'2. Power by Mode'!$E$15</f>
        <v>124.5</v>
      </c>
      <c r="D31" s="56">
        <f>'3. Mode Plot Data'!D31</f>
        <v>110</v>
      </c>
      <c r="E31" s="56">
        <f t="shared" si="1"/>
        <v>-14.5</v>
      </c>
      <c r="F31" s="372">
        <f t="shared" si="3"/>
        <v>2373.9</v>
      </c>
      <c r="H31" s="304" t="s">
        <v>945</v>
      </c>
    </row>
    <row r="32" ht="15.75" customHeight="1">
      <c r="A32" s="379">
        <f t="shared" si="2"/>
        <v>174</v>
      </c>
      <c r="B32" s="380" t="s">
        <v>847</v>
      </c>
      <c r="C32" s="357">
        <f>'2. Power by Mode'!$E$15</f>
        <v>124.5</v>
      </c>
      <c r="D32" s="56">
        <f>'3. Mode Plot Data'!D32</f>
        <v>110</v>
      </c>
      <c r="E32" s="56">
        <f t="shared" si="1"/>
        <v>-14.5</v>
      </c>
      <c r="F32" s="372">
        <f t="shared" si="3"/>
        <v>2372.45</v>
      </c>
      <c r="H32" s="304" t="s">
        <v>885</v>
      </c>
    </row>
    <row r="33" ht="15.75" customHeight="1">
      <c r="A33" s="379">
        <f t="shared" si="2"/>
        <v>180</v>
      </c>
      <c r="B33" s="380" t="s">
        <v>847</v>
      </c>
      <c r="C33" s="357">
        <f>'2. Power by Mode'!$E$15</f>
        <v>124.5</v>
      </c>
      <c r="D33" s="56">
        <f>'3. Mode Plot Data'!D33</f>
        <v>110</v>
      </c>
      <c r="E33" s="56">
        <f t="shared" si="1"/>
        <v>-14.5</v>
      </c>
      <c r="F33" s="372">
        <f t="shared" si="3"/>
        <v>2371</v>
      </c>
      <c r="H33" s="304" t="s">
        <v>887</v>
      </c>
    </row>
    <row r="34" ht="15.75" customHeight="1">
      <c r="A34" s="379">
        <f t="shared" si="2"/>
        <v>186</v>
      </c>
      <c r="B34" s="380" t="s">
        <v>847</v>
      </c>
      <c r="C34" s="357">
        <f>'2. Power by Mode'!$E$15</f>
        <v>124.5</v>
      </c>
      <c r="D34" s="56">
        <f>'3. Mode Plot Data'!D34</f>
        <v>110</v>
      </c>
      <c r="E34" s="56">
        <f t="shared" si="1"/>
        <v>-14.5</v>
      </c>
      <c r="F34" s="372">
        <f t="shared" si="3"/>
        <v>2369.55</v>
      </c>
      <c r="H34" s="304" t="s">
        <v>946</v>
      </c>
    </row>
    <row r="35" ht="15.75" customHeight="1">
      <c r="A35" s="379">
        <f t="shared" si="2"/>
        <v>192</v>
      </c>
      <c r="B35" s="380" t="s">
        <v>847</v>
      </c>
      <c r="C35" s="357">
        <f>'2. Power by Mode'!$E$15</f>
        <v>124.5</v>
      </c>
      <c r="D35" s="56">
        <f>'3. Mode Plot Data'!D35</f>
        <v>110</v>
      </c>
      <c r="E35" s="56">
        <f t="shared" si="1"/>
        <v>-14.5</v>
      </c>
      <c r="F35" s="372">
        <f t="shared" si="3"/>
        <v>2368.1</v>
      </c>
      <c r="H35" s="304" t="s">
        <v>947</v>
      </c>
    </row>
    <row r="36" ht="15.75" customHeight="1">
      <c r="A36" s="379">
        <f t="shared" si="2"/>
        <v>198</v>
      </c>
      <c r="B36" s="380" t="s">
        <v>847</v>
      </c>
      <c r="C36" s="357">
        <f>'2. Power by Mode'!$E$15</f>
        <v>124.5</v>
      </c>
      <c r="D36" s="56">
        <f>'3. Mode Plot Data'!D36</f>
        <v>110</v>
      </c>
      <c r="E36" s="56">
        <f t="shared" si="1"/>
        <v>-14.5</v>
      </c>
      <c r="F36" s="372">
        <f t="shared" si="3"/>
        <v>2366.65</v>
      </c>
    </row>
    <row r="37" ht="15.75" customHeight="1">
      <c r="A37" s="379">
        <f t="shared" si="2"/>
        <v>204</v>
      </c>
      <c r="B37" s="380" t="s">
        <v>847</v>
      </c>
      <c r="C37" s="357">
        <f>'2. Power by Mode'!$E$15</f>
        <v>124.5</v>
      </c>
      <c r="D37" s="56">
        <f>'3. Mode Plot Data'!D37</f>
        <v>110</v>
      </c>
      <c r="E37" s="56">
        <f t="shared" si="1"/>
        <v>-14.5</v>
      </c>
      <c r="F37" s="372">
        <f t="shared" si="3"/>
        <v>2365.2</v>
      </c>
      <c r="H37" s="361" t="s">
        <v>77</v>
      </c>
      <c r="I37" s="245"/>
      <c r="J37" s="245"/>
      <c r="K37" s="97"/>
    </row>
    <row r="38" ht="15.75" customHeight="1">
      <c r="A38" s="379">
        <f t="shared" si="2"/>
        <v>210</v>
      </c>
      <c r="B38" s="380" t="s">
        <v>847</v>
      </c>
      <c r="C38" s="357">
        <f>'2. Power by Mode'!$E$15</f>
        <v>124.5</v>
      </c>
      <c r="D38" s="56">
        <f>'3. Mode Plot Data'!D38</f>
        <v>110</v>
      </c>
      <c r="E38" s="56">
        <f t="shared" si="1"/>
        <v>-14.5</v>
      </c>
      <c r="F38" s="372">
        <f t="shared" si="3"/>
        <v>2363.75</v>
      </c>
      <c r="H38" s="371" t="s">
        <v>948</v>
      </c>
      <c r="K38" s="363"/>
    </row>
    <row r="39" ht="15.75" customHeight="1">
      <c r="A39" s="379">
        <f t="shared" si="2"/>
        <v>216</v>
      </c>
      <c r="B39" s="380" t="s">
        <v>847</v>
      </c>
      <c r="C39" s="357">
        <f>'2. Power by Mode'!$E$15</f>
        <v>124.5</v>
      </c>
      <c r="D39" s="56">
        <f>'3. Mode Plot Data'!D39</f>
        <v>110</v>
      </c>
      <c r="E39" s="56">
        <f t="shared" si="1"/>
        <v>-14.5</v>
      </c>
      <c r="F39" s="372">
        <f t="shared" si="3"/>
        <v>2362.3</v>
      </c>
      <c r="H39" s="371" t="s">
        <v>949</v>
      </c>
      <c r="K39" s="363"/>
    </row>
    <row r="40" ht="15.75" customHeight="1">
      <c r="A40" s="379">
        <f t="shared" si="2"/>
        <v>222</v>
      </c>
      <c r="B40" s="380" t="s">
        <v>847</v>
      </c>
      <c r="C40" s="357">
        <f>'2. Power by Mode'!$E$15</f>
        <v>124.5</v>
      </c>
      <c r="D40" s="56">
        <f>'3. Mode Plot Data'!D40</f>
        <v>110</v>
      </c>
      <c r="E40" s="56">
        <f t="shared" si="1"/>
        <v>-14.5</v>
      </c>
      <c r="F40" s="372">
        <f t="shared" si="3"/>
        <v>2360.85</v>
      </c>
      <c r="H40" s="371" t="s">
        <v>950</v>
      </c>
      <c r="K40" s="363"/>
    </row>
    <row r="41" ht="15.75" customHeight="1">
      <c r="A41" s="379">
        <f t="shared" si="2"/>
        <v>228</v>
      </c>
      <c r="B41" s="380" t="s">
        <v>847</v>
      </c>
      <c r="C41" s="357">
        <f>'2. Power by Mode'!$E$15</f>
        <v>124.5</v>
      </c>
      <c r="D41" s="56">
        <f>'3. Mode Plot Data'!D41</f>
        <v>110</v>
      </c>
      <c r="E41" s="56">
        <f t="shared" si="1"/>
        <v>-14.5</v>
      </c>
      <c r="F41" s="372">
        <f t="shared" si="3"/>
        <v>2359.4</v>
      </c>
      <c r="H41" s="371" t="s">
        <v>954</v>
      </c>
      <c r="K41" s="363"/>
    </row>
    <row r="42" ht="15.75" customHeight="1">
      <c r="A42" s="379">
        <f t="shared" si="2"/>
        <v>234</v>
      </c>
      <c r="B42" s="380" t="s">
        <v>847</v>
      </c>
      <c r="C42" s="357">
        <f>'2. Power by Mode'!$E$15</f>
        <v>124.5</v>
      </c>
      <c r="D42" s="56">
        <f>'3. Mode Plot Data'!D42</f>
        <v>110</v>
      </c>
      <c r="E42" s="56">
        <f t="shared" si="1"/>
        <v>-14.5</v>
      </c>
      <c r="F42" s="372">
        <f t="shared" si="3"/>
        <v>2357.95</v>
      </c>
      <c r="H42" s="371" t="s">
        <v>952</v>
      </c>
      <c r="K42" s="363"/>
    </row>
    <row r="43" ht="15.75" customHeight="1">
      <c r="A43" s="379">
        <f t="shared" si="2"/>
        <v>240</v>
      </c>
      <c r="B43" s="380" t="s">
        <v>847</v>
      </c>
      <c r="C43" s="357">
        <f>'2. Power by Mode'!$E$15</f>
        <v>124.5</v>
      </c>
      <c r="D43" s="56">
        <f>'3. Mode Plot Data'!D43</f>
        <v>110</v>
      </c>
      <c r="E43" s="56">
        <f t="shared" si="1"/>
        <v>-14.5</v>
      </c>
      <c r="F43" s="372">
        <f t="shared" si="3"/>
        <v>2356.5</v>
      </c>
      <c r="H43" s="364"/>
      <c r="I43" s="365"/>
      <c r="J43" s="365"/>
      <c r="K43" s="248"/>
    </row>
    <row r="44" ht="15.75" customHeight="1">
      <c r="A44" s="379">
        <f t="shared" si="2"/>
        <v>246</v>
      </c>
      <c r="B44" s="380" t="s">
        <v>847</v>
      </c>
      <c r="C44" s="357">
        <f>'2. Power by Mode'!$E$15</f>
        <v>124.5</v>
      </c>
      <c r="D44" s="56">
        <f>'3. Mode Plot Data'!D44</f>
        <v>110</v>
      </c>
      <c r="E44" s="56">
        <f t="shared" si="1"/>
        <v>-14.5</v>
      </c>
      <c r="F44" s="372">
        <f t="shared" si="3"/>
        <v>2355.05</v>
      </c>
    </row>
    <row r="45" ht="15.75" customHeight="1">
      <c r="A45" s="379">
        <f t="shared" si="2"/>
        <v>252</v>
      </c>
      <c r="B45" s="380" t="s">
        <v>847</v>
      </c>
      <c r="C45" s="357">
        <f>'2. Power by Mode'!$E$15</f>
        <v>124.5</v>
      </c>
      <c r="D45" s="56">
        <f>'3. Mode Plot Data'!D45</f>
        <v>110</v>
      </c>
      <c r="E45" s="56">
        <f t="shared" si="1"/>
        <v>-14.5</v>
      </c>
      <c r="F45" s="372">
        <f t="shared" si="3"/>
        <v>2353.6</v>
      </c>
    </row>
    <row r="46" ht="15.75" customHeight="1">
      <c r="A46" s="379">
        <f t="shared" si="2"/>
        <v>258</v>
      </c>
      <c r="B46" s="380" t="s">
        <v>847</v>
      </c>
      <c r="C46" s="357">
        <f>'2. Power by Mode'!$E$15</f>
        <v>124.5</v>
      </c>
      <c r="D46" s="56">
        <f>'3. Mode Plot Data'!D46</f>
        <v>110</v>
      </c>
      <c r="E46" s="56">
        <f t="shared" si="1"/>
        <v>-14.5</v>
      </c>
      <c r="F46" s="372">
        <f t="shared" si="3"/>
        <v>2352.15</v>
      </c>
    </row>
    <row r="47" ht="15.75" customHeight="1">
      <c r="A47" s="379">
        <f t="shared" si="2"/>
        <v>264</v>
      </c>
      <c r="B47" s="380" t="s">
        <v>847</v>
      </c>
      <c r="C47" s="357">
        <f>'2. Power by Mode'!$E$15</f>
        <v>124.5</v>
      </c>
      <c r="D47" s="56">
        <f>'3. Mode Plot Data'!D47</f>
        <v>110</v>
      </c>
      <c r="E47" s="56">
        <f t="shared" si="1"/>
        <v>-14.5</v>
      </c>
      <c r="F47" s="372">
        <f t="shared" si="3"/>
        <v>2350.7</v>
      </c>
    </row>
    <row r="48" ht="15.75" customHeight="1">
      <c r="A48" s="379">
        <f t="shared" si="2"/>
        <v>270</v>
      </c>
      <c r="B48" s="380" t="s">
        <v>847</v>
      </c>
      <c r="C48" s="357">
        <f>'2. Power by Mode'!$E$15</f>
        <v>124.5</v>
      </c>
      <c r="D48" s="56">
        <f>'3. Mode Plot Data'!D48</f>
        <v>110</v>
      </c>
      <c r="E48" s="56">
        <f t="shared" si="1"/>
        <v>-14.5</v>
      </c>
      <c r="F48" s="372">
        <f t="shared" si="3"/>
        <v>2349.25</v>
      </c>
    </row>
    <row r="49" ht="15.75" customHeight="1">
      <c r="A49" s="379">
        <f t="shared" si="2"/>
        <v>276</v>
      </c>
      <c r="B49" s="380" t="s">
        <v>847</v>
      </c>
      <c r="C49" s="357">
        <f>'2. Power by Mode'!$E$15</f>
        <v>124.5</v>
      </c>
      <c r="D49" s="56">
        <f>'3. Mode Plot Data'!D49</f>
        <v>110</v>
      </c>
      <c r="E49" s="56">
        <f t="shared" si="1"/>
        <v>-14.5</v>
      </c>
      <c r="F49" s="372">
        <f t="shared" si="3"/>
        <v>2347.8</v>
      </c>
    </row>
    <row r="50" ht="15.75" customHeight="1">
      <c r="A50" s="379">
        <f t="shared" si="2"/>
        <v>282</v>
      </c>
      <c r="B50" s="380" t="s">
        <v>847</v>
      </c>
      <c r="C50" s="357">
        <f>'2. Power by Mode'!$E$15</f>
        <v>124.5</v>
      </c>
      <c r="D50" s="56">
        <f>'3. Mode Plot Data'!D50</f>
        <v>110</v>
      </c>
      <c r="E50" s="56">
        <f t="shared" si="1"/>
        <v>-14.5</v>
      </c>
      <c r="F50" s="372">
        <f t="shared" si="3"/>
        <v>2346.35</v>
      </c>
    </row>
    <row r="51" ht="15.75" customHeight="1">
      <c r="A51" s="379">
        <f t="shared" si="2"/>
        <v>288</v>
      </c>
      <c r="B51" s="380" t="s">
        <v>847</v>
      </c>
      <c r="C51" s="357">
        <f>'2. Power by Mode'!$E$15</f>
        <v>124.5</v>
      </c>
      <c r="D51" s="56">
        <f>'3. Mode Plot Data'!D51</f>
        <v>110</v>
      </c>
      <c r="E51" s="56">
        <f t="shared" si="1"/>
        <v>-14.5</v>
      </c>
      <c r="F51" s="372">
        <f t="shared" si="3"/>
        <v>2344.9</v>
      </c>
    </row>
    <row r="52" ht="15.75" customHeight="1">
      <c r="A52" s="379">
        <f t="shared" si="2"/>
        <v>294</v>
      </c>
      <c r="B52" s="380" t="s">
        <v>847</v>
      </c>
      <c r="C52" s="357">
        <f>'2. Power by Mode'!$E$15</f>
        <v>124.5</v>
      </c>
      <c r="D52" s="56">
        <f>'3. Mode Plot Data'!D52</f>
        <v>110</v>
      </c>
      <c r="E52" s="56">
        <f t="shared" si="1"/>
        <v>-14.5</v>
      </c>
      <c r="F52" s="372">
        <f t="shared" si="3"/>
        <v>2343.45</v>
      </c>
    </row>
    <row r="53" ht="15.75" customHeight="1">
      <c r="A53" s="379">
        <f t="shared" si="2"/>
        <v>300</v>
      </c>
      <c r="B53" s="380" t="s">
        <v>851</v>
      </c>
      <c r="C53" s="357">
        <f>'2. Power by Mode'!$H$15</f>
        <v>81.5</v>
      </c>
      <c r="D53" s="56">
        <f>'3. Mode Plot Data'!D53</f>
        <v>110</v>
      </c>
      <c r="E53" s="56">
        <f t="shared" si="1"/>
        <v>28.5</v>
      </c>
      <c r="F53" s="372">
        <f t="shared" si="3"/>
        <v>2342</v>
      </c>
    </row>
    <row r="54" ht="15.75" customHeight="1">
      <c r="A54" s="379">
        <f t="shared" si="2"/>
        <v>306</v>
      </c>
      <c r="B54" s="380" t="s">
        <v>851</v>
      </c>
      <c r="C54" s="357">
        <f>'2. Power by Mode'!$H$15</f>
        <v>81.5</v>
      </c>
      <c r="D54" s="56">
        <f>'3. Mode Plot Data'!D54</f>
        <v>110</v>
      </c>
      <c r="E54" s="56">
        <f t="shared" si="1"/>
        <v>28.5</v>
      </c>
      <c r="F54" s="372">
        <f t="shared" si="3"/>
        <v>2344.85</v>
      </c>
    </row>
    <row r="55" ht="15.75" customHeight="1">
      <c r="A55" s="379">
        <f t="shared" si="2"/>
        <v>312</v>
      </c>
      <c r="B55" s="380" t="s">
        <v>851</v>
      </c>
      <c r="C55" s="357">
        <f>'2. Power by Mode'!$H$15</f>
        <v>81.5</v>
      </c>
      <c r="D55" s="56">
        <f>'3. Mode Plot Data'!D55</f>
        <v>110</v>
      </c>
      <c r="E55" s="56">
        <f t="shared" si="1"/>
        <v>28.5</v>
      </c>
      <c r="F55" s="372">
        <f t="shared" si="3"/>
        <v>2347.7</v>
      </c>
    </row>
    <row r="56" ht="15.75" customHeight="1">
      <c r="A56" s="379">
        <f t="shared" si="2"/>
        <v>318</v>
      </c>
      <c r="B56" s="380" t="s">
        <v>851</v>
      </c>
      <c r="C56" s="357">
        <f>'2. Power by Mode'!$H$15</f>
        <v>81.5</v>
      </c>
      <c r="D56" s="56">
        <f>'3. Mode Plot Data'!D56</f>
        <v>110</v>
      </c>
      <c r="E56" s="56">
        <f t="shared" si="1"/>
        <v>28.5</v>
      </c>
      <c r="F56" s="372">
        <f t="shared" si="3"/>
        <v>2350.55</v>
      </c>
    </row>
    <row r="57" ht="15.75" customHeight="1">
      <c r="A57" s="379">
        <f t="shared" si="2"/>
        <v>324</v>
      </c>
      <c r="B57" s="380" t="s">
        <v>851</v>
      </c>
      <c r="C57" s="357">
        <f>'2. Power by Mode'!$H$15</f>
        <v>81.5</v>
      </c>
      <c r="D57" s="56">
        <f>'3. Mode Plot Data'!D57</f>
        <v>110</v>
      </c>
      <c r="E57" s="56">
        <f t="shared" si="1"/>
        <v>28.5</v>
      </c>
      <c r="F57" s="372">
        <f t="shared" si="3"/>
        <v>2353.4</v>
      </c>
    </row>
    <row r="58" ht="15.75" customHeight="1">
      <c r="A58" s="379">
        <f t="shared" si="2"/>
        <v>330</v>
      </c>
      <c r="B58" s="380" t="s">
        <v>851</v>
      </c>
      <c r="C58" s="357">
        <f>'2. Power by Mode'!$H$15</f>
        <v>81.5</v>
      </c>
      <c r="D58" s="56">
        <f>'3. Mode Plot Data'!D58</f>
        <v>110</v>
      </c>
      <c r="E58" s="56">
        <f t="shared" si="1"/>
        <v>28.5</v>
      </c>
      <c r="F58" s="372">
        <f t="shared" si="3"/>
        <v>2356.25</v>
      </c>
    </row>
    <row r="59" ht="15.75" customHeight="1">
      <c r="A59" s="379">
        <f t="shared" si="2"/>
        <v>336</v>
      </c>
      <c r="B59" s="380" t="s">
        <v>851</v>
      </c>
      <c r="C59" s="357">
        <f>'2. Power by Mode'!$H$15</f>
        <v>81.5</v>
      </c>
      <c r="D59" s="56">
        <f>'3. Mode Plot Data'!D59</f>
        <v>110</v>
      </c>
      <c r="E59" s="56">
        <f t="shared" si="1"/>
        <v>28.5</v>
      </c>
      <c r="F59" s="372">
        <f t="shared" si="3"/>
        <v>2359.1</v>
      </c>
    </row>
    <row r="60" ht="15.75" customHeight="1">
      <c r="A60" s="379">
        <f t="shared" si="2"/>
        <v>342</v>
      </c>
      <c r="B60" s="380" t="s">
        <v>851</v>
      </c>
      <c r="C60" s="357">
        <f>'2. Power by Mode'!$H$15</f>
        <v>81.5</v>
      </c>
      <c r="D60" s="56">
        <f>'3. Mode Plot Data'!D60</f>
        <v>110</v>
      </c>
      <c r="E60" s="56">
        <f t="shared" si="1"/>
        <v>28.5</v>
      </c>
      <c r="F60" s="372">
        <f t="shared" si="3"/>
        <v>2361.95</v>
      </c>
    </row>
    <row r="61" ht="15.75" customHeight="1">
      <c r="A61" s="379">
        <f t="shared" si="2"/>
        <v>348</v>
      </c>
      <c r="B61" s="380" t="s">
        <v>851</v>
      </c>
      <c r="C61" s="357">
        <f>'2. Power by Mode'!$H$15</f>
        <v>81.5</v>
      </c>
      <c r="D61" s="56">
        <f>'3. Mode Plot Data'!D61</f>
        <v>110</v>
      </c>
      <c r="E61" s="56">
        <f t="shared" si="1"/>
        <v>28.5</v>
      </c>
      <c r="F61" s="372">
        <f t="shared" si="3"/>
        <v>2364.8</v>
      </c>
    </row>
    <row r="62" ht="15.75" customHeight="1">
      <c r="A62" s="379">
        <f t="shared" si="2"/>
        <v>354</v>
      </c>
      <c r="B62" s="380" t="s">
        <v>851</v>
      </c>
      <c r="C62" s="357">
        <f>'2. Power by Mode'!$H$15</f>
        <v>81.5</v>
      </c>
      <c r="D62" s="56">
        <f>'3. Mode Plot Data'!D62</f>
        <v>110</v>
      </c>
      <c r="E62" s="56">
        <f t="shared" si="1"/>
        <v>28.5</v>
      </c>
      <c r="F62" s="372">
        <f t="shared" si="3"/>
        <v>2367.65</v>
      </c>
    </row>
    <row r="63" ht="15.75" customHeight="1">
      <c r="A63" s="379">
        <f t="shared" si="2"/>
        <v>360</v>
      </c>
      <c r="B63" s="380" t="s">
        <v>851</v>
      </c>
      <c r="C63" s="357">
        <f>'2. Power by Mode'!$H$15</f>
        <v>81.5</v>
      </c>
      <c r="D63" s="56">
        <f>'3. Mode Plot Data'!D63</f>
        <v>110</v>
      </c>
      <c r="E63" s="56">
        <f t="shared" si="1"/>
        <v>28.5</v>
      </c>
      <c r="F63" s="372">
        <f t="shared" si="3"/>
        <v>2370.5</v>
      </c>
    </row>
    <row r="64" ht="15.75" customHeight="1">
      <c r="A64" s="379">
        <f t="shared" si="2"/>
        <v>366</v>
      </c>
      <c r="B64" s="380" t="s">
        <v>851</v>
      </c>
      <c r="C64" s="357">
        <f>'2. Power by Mode'!$H$15</f>
        <v>81.5</v>
      </c>
      <c r="D64" s="56">
        <f>'3. Mode Plot Data'!D64</f>
        <v>110</v>
      </c>
      <c r="E64" s="56">
        <f t="shared" si="1"/>
        <v>28.5</v>
      </c>
      <c r="F64" s="372">
        <f t="shared" si="3"/>
        <v>2373.35</v>
      </c>
    </row>
    <row r="65" ht="15.75" customHeight="1">
      <c r="A65" s="379">
        <f t="shared" si="2"/>
        <v>372</v>
      </c>
      <c r="B65" s="380" t="s">
        <v>851</v>
      </c>
      <c r="C65" s="357">
        <f>'2. Power by Mode'!$H$15</f>
        <v>81.5</v>
      </c>
      <c r="D65" s="56">
        <f>'3. Mode Plot Data'!D65</f>
        <v>110</v>
      </c>
      <c r="E65" s="56">
        <f t="shared" si="1"/>
        <v>28.5</v>
      </c>
      <c r="F65" s="372">
        <f t="shared" si="3"/>
        <v>2376.2</v>
      </c>
    </row>
    <row r="66" ht="15.75" customHeight="1">
      <c r="A66" s="379">
        <f t="shared" si="2"/>
        <v>378</v>
      </c>
      <c r="B66" s="380" t="s">
        <v>851</v>
      </c>
      <c r="C66" s="357">
        <f>'2. Power by Mode'!$H$15</f>
        <v>81.5</v>
      </c>
      <c r="D66" s="56">
        <f>'3. Mode Plot Data'!D66</f>
        <v>110</v>
      </c>
      <c r="E66" s="56">
        <f t="shared" si="1"/>
        <v>28.5</v>
      </c>
      <c r="F66" s="372">
        <f t="shared" si="3"/>
        <v>2379.05</v>
      </c>
    </row>
    <row r="67" ht="15.75" customHeight="1">
      <c r="A67" s="379">
        <f t="shared" si="2"/>
        <v>384</v>
      </c>
      <c r="B67" s="380" t="s">
        <v>851</v>
      </c>
      <c r="C67" s="357">
        <f>'2. Power by Mode'!$H$15</f>
        <v>81.5</v>
      </c>
      <c r="D67" s="56">
        <f>'3. Mode Plot Data'!D67</f>
        <v>110</v>
      </c>
      <c r="E67" s="56">
        <f t="shared" si="1"/>
        <v>28.5</v>
      </c>
      <c r="F67" s="372">
        <f t="shared" si="3"/>
        <v>2381.9</v>
      </c>
    </row>
    <row r="68" ht="15.75" customHeight="1">
      <c r="A68" s="379">
        <f t="shared" si="2"/>
        <v>390</v>
      </c>
      <c r="B68" s="380" t="s">
        <v>851</v>
      </c>
      <c r="C68" s="357">
        <f>'2. Power by Mode'!$H$15</f>
        <v>81.5</v>
      </c>
      <c r="D68" s="56">
        <f>'3. Mode Plot Data'!D68</f>
        <v>110</v>
      </c>
      <c r="E68" s="56">
        <f t="shared" si="1"/>
        <v>28.5</v>
      </c>
      <c r="F68" s="372">
        <f t="shared" si="3"/>
        <v>2384.75</v>
      </c>
    </row>
    <row r="69" ht="15.75" customHeight="1">
      <c r="A69" s="379">
        <f t="shared" si="2"/>
        <v>396</v>
      </c>
      <c r="B69" s="380" t="s">
        <v>851</v>
      </c>
      <c r="C69" s="357">
        <f>'2. Power by Mode'!$H$15</f>
        <v>81.5</v>
      </c>
      <c r="D69" s="56">
        <f>'3. Mode Plot Data'!D69</f>
        <v>110</v>
      </c>
      <c r="E69" s="56">
        <f t="shared" si="1"/>
        <v>28.5</v>
      </c>
      <c r="F69" s="372">
        <f t="shared" si="3"/>
        <v>2387.6</v>
      </c>
    </row>
    <row r="70" ht="15.75" customHeight="1">
      <c r="A70" s="379">
        <f t="shared" si="2"/>
        <v>402</v>
      </c>
      <c r="B70" s="380" t="s">
        <v>851</v>
      </c>
      <c r="C70" s="357">
        <f>'2. Power by Mode'!$H$15</f>
        <v>81.5</v>
      </c>
      <c r="D70" s="56">
        <f>'3. Mode Plot Data'!D70</f>
        <v>110</v>
      </c>
      <c r="E70" s="56">
        <f t="shared" si="1"/>
        <v>28.5</v>
      </c>
      <c r="F70" s="372">
        <f t="shared" si="3"/>
        <v>2390.45</v>
      </c>
    </row>
    <row r="71" ht="15.75" customHeight="1">
      <c r="A71" s="379">
        <f t="shared" si="2"/>
        <v>408</v>
      </c>
      <c r="B71" s="380" t="s">
        <v>851</v>
      </c>
      <c r="C71" s="357">
        <f>'2. Power by Mode'!$H$15</f>
        <v>81.5</v>
      </c>
      <c r="D71" s="56">
        <f>'3. Mode Plot Data'!D71</f>
        <v>110</v>
      </c>
      <c r="E71" s="56">
        <f t="shared" si="1"/>
        <v>28.5</v>
      </c>
      <c r="F71" s="372">
        <f t="shared" si="3"/>
        <v>2393.3</v>
      </c>
    </row>
    <row r="72" ht="15.75" customHeight="1">
      <c r="A72" s="379">
        <f t="shared" si="2"/>
        <v>414</v>
      </c>
      <c r="B72" s="380" t="s">
        <v>851</v>
      </c>
      <c r="C72" s="357">
        <f>'2. Power by Mode'!$H$15</f>
        <v>81.5</v>
      </c>
      <c r="D72" s="56">
        <f>'3. Mode Plot Data'!D72</f>
        <v>110</v>
      </c>
      <c r="E72" s="56">
        <f t="shared" si="1"/>
        <v>28.5</v>
      </c>
      <c r="F72" s="372">
        <f t="shared" si="3"/>
        <v>2396.15</v>
      </c>
    </row>
    <row r="73" ht="15.75" customHeight="1">
      <c r="A73" s="379">
        <f t="shared" si="2"/>
        <v>420</v>
      </c>
      <c r="B73" s="380" t="s">
        <v>851</v>
      </c>
      <c r="C73" s="357">
        <f>'2. Power by Mode'!$H$15</f>
        <v>81.5</v>
      </c>
      <c r="D73" s="56">
        <f>'3. Mode Plot Data'!D73</f>
        <v>110</v>
      </c>
      <c r="E73" s="56">
        <f t="shared" si="1"/>
        <v>28.5</v>
      </c>
      <c r="F73" s="372">
        <f t="shared" si="3"/>
        <v>2399</v>
      </c>
    </row>
    <row r="74" ht="15.75" customHeight="1">
      <c r="A74" s="379">
        <f t="shared" si="2"/>
        <v>426</v>
      </c>
      <c r="B74" s="380" t="s">
        <v>851</v>
      </c>
      <c r="C74" s="357">
        <f>'2. Power by Mode'!$H$15</f>
        <v>81.5</v>
      </c>
      <c r="D74" s="56">
        <f>'3. Mode Plot Data'!D74</f>
        <v>110</v>
      </c>
      <c r="E74" s="56">
        <f t="shared" si="1"/>
        <v>28.5</v>
      </c>
      <c r="F74" s="372">
        <f t="shared" si="3"/>
        <v>2400</v>
      </c>
    </row>
    <row r="75" ht="15.75" customHeight="1">
      <c r="A75" s="379">
        <f t="shared" si="2"/>
        <v>432</v>
      </c>
      <c r="B75" s="380" t="s">
        <v>851</v>
      </c>
      <c r="C75" s="357">
        <f>'2. Power by Mode'!$H$15</f>
        <v>81.5</v>
      </c>
      <c r="D75" s="56">
        <f>'3. Mode Plot Data'!D75</f>
        <v>110</v>
      </c>
      <c r="E75" s="56">
        <f t="shared" si="1"/>
        <v>28.5</v>
      </c>
      <c r="F75" s="372">
        <f t="shared" si="3"/>
        <v>2400</v>
      </c>
    </row>
    <row r="76" ht="15.75" customHeight="1">
      <c r="A76" s="379">
        <f t="shared" si="2"/>
        <v>438</v>
      </c>
      <c r="B76" s="380" t="s">
        <v>851</v>
      </c>
      <c r="C76" s="357">
        <f>'2. Power by Mode'!$H$15</f>
        <v>81.5</v>
      </c>
      <c r="D76" s="56">
        <f>'3. Mode Plot Data'!D76</f>
        <v>110</v>
      </c>
      <c r="E76" s="56">
        <f t="shared" si="1"/>
        <v>28.5</v>
      </c>
      <c r="F76" s="372">
        <f t="shared" si="3"/>
        <v>2400</v>
      </c>
    </row>
    <row r="77" ht="15.75" customHeight="1">
      <c r="A77" s="379">
        <f t="shared" si="2"/>
        <v>444</v>
      </c>
      <c r="B77" s="380" t="s">
        <v>851</v>
      </c>
      <c r="C77" s="357">
        <f>'2. Power by Mode'!$H$15</f>
        <v>81.5</v>
      </c>
      <c r="D77" s="56">
        <f>'3. Mode Plot Data'!D77</f>
        <v>110</v>
      </c>
      <c r="E77" s="56">
        <f t="shared" si="1"/>
        <v>28.5</v>
      </c>
      <c r="F77" s="372">
        <f t="shared" si="3"/>
        <v>2400</v>
      </c>
    </row>
    <row r="78" ht="15.75" customHeight="1">
      <c r="A78" s="379">
        <f t="shared" si="2"/>
        <v>450</v>
      </c>
      <c r="B78" s="380" t="s">
        <v>851</v>
      </c>
      <c r="C78" s="357">
        <f>'2. Power by Mode'!$H$15</f>
        <v>81.5</v>
      </c>
      <c r="D78" s="56">
        <f>'3. Mode Plot Data'!D78</f>
        <v>110</v>
      </c>
      <c r="E78" s="56">
        <f t="shared" si="1"/>
        <v>28.5</v>
      </c>
      <c r="F78" s="372">
        <f t="shared" si="3"/>
        <v>2400</v>
      </c>
    </row>
    <row r="79" ht="15.75" customHeight="1">
      <c r="A79" s="379">
        <f t="shared" si="2"/>
        <v>456</v>
      </c>
      <c r="B79" s="380" t="s">
        <v>851</v>
      </c>
      <c r="C79" s="357">
        <f>'2. Power by Mode'!$H$15</f>
        <v>81.5</v>
      </c>
      <c r="D79" s="56">
        <f>'3. Mode Plot Data'!D79</f>
        <v>110</v>
      </c>
      <c r="E79" s="56">
        <f t="shared" si="1"/>
        <v>28.5</v>
      </c>
      <c r="F79" s="372">
        <f t="shared" si="3"/>
        <v>2400</v>
      </c>
    </row>
    <row r="80" ht="15.75" customHeight="1">
      <c r="A80" s="379">
        <f t="shared" si="2"/>
        <v>462</v>
      </c>
      <c r="B80" s="380" t="s">
        <v>851</v>
      </c>
      <c r="C80" s="357">
        <f>'2. Power by Mode'!$H$15</f>
        <v>81.5</v>
      </c>
      <c r="D80" s="56">
        <f>'3. Mode Plot Data'!D80</f>
        <v>110</v>
      </c>
      <c r="E80" s="56">
        <f t="shared" si="1"/>
        <v>28.5</v>
      </c>
      <c r="F80" s="372">
        <f t="shared" si="3"/>
        <v>2400</v>
      </c>
    </row>
    <row r="81" ht="15.75" customHeight="1">
      <c r="A81" s="379">
        <f t="shared" si="2"/>
        <v>468</v>
      </c>
      <c r="B81" s="380" t="s">
        <v>851</v>
      </c>
      <c r="C81" s="357">
        <f>'2. Power by Mode'!$H$15</f>
        <v>81.5</v>
      </c>
      <c r="D81" s="56">
        <f>'3. Mode Plot Data'!D81</f>
        <v>110</v>
      </c>
      <c r="E81" s="56">
        <f t="shared" si="1"/>
        <v>28.5</v>
      </c>
      <c r="F81" s="372">
        <f t="shared" si="3"/>
        <v>2400</v>
      </c>
    </row>
    <row r="82" ht="15.75" customHeight="1">
      <c r="A82" s="379">
        <f t="shared" si="2"/>
        <v>474</v>
      </c>
      <c r="B82" s="380" t="s">
        <v>851</v>
      </c>
      <c r="C82" s="357">
        <f>'2. Power by Mode'!$H$15</f>
        <v>81.5</v>
      </c>
      <c r="D82" s="56">
        <f>'3. Mode Plot Data'!D82</f>
        <v>110</v>
      </c>
      <c r="E82" s="56">
        <f t="shared" si="1"/>
        <v>28.5</v>
      </c>
      <c r="F82" s="372">
        <f t="shared" si="3"/>
        <v>2400</v>
      </c>
    </row>
    <row r="83" ht="15.75" customHeight="1">
      <c r="A83" s="379">
        <f t="shared" si="2"/>
        <v>480</v>
      </c>
      <c r="B83" s="380" t="s">
        <v>851</v>
      </c>
      <c r="C83" s="357">
        <f>'2. Power by Mode'!$H$15</f>
        <v>81.5</v>
      </c>
      <c r="D83" s="56">
        <f>'3. Mode Plot Data'!D83</f>
        <v>110</v>
      </c>
      <c r="E83" s="56">
        <f t="shared" si="1"/>
        <v>28.5</v>
      </c>
      <c r="F83" s="372">
        <f t="shared" si="3"/>
        <v>2400</v>
      </c>
    </row>
    <row r="84" ht="15.75" customHeight="1">
      <c r="A84" s="379">
        <f t="shared" si="2"/>
        <v>486</v>
      </c>
      <c r="B84" s="380" t="s">
        <v>851</v>
      </c>
      <c r="C84" s="357">
        <f>'2. Power by Mode'!$H$15</f>
        <v>81.5</v>
      </c>
      <c r="D84" s="56">
        <f>'3. Mode Plot Data'!D84</f>
        <v>110</v>
      </c>
      <c r="E84" s="56">
        <f t="shared" si="1"/>
        <v>28.5</v>
      </c>
      <c r="F84" s="372">
        <f t="shared" si="3"/>
        <v>2400</v>
      </c>
    </row>
    <row r="85" ht="15.75" customHeight="1">
      <c r="A85" s="379">
        <f t="shared" si="2"/>
        <v>492</v>
      </c>
      <c r="B85" s="380" t="s">
        <v>851</v>
      </c>
      <c r="C85" s="357">
        <f>'2. Power by Mode'!$H$15</f>
        <v>81.5</v>
      </c>
      <c r="D85" s="56">
        <f>'3. Mode Plot Data'!D85</f>
        <v>110</v>
      </c>
      <c r="E85" s="56">
        <f t="shared" si="1"/>
        <v>28.5</v>
      </c>
      <c r="F85" s="372">
        <f t="shared" si="3"/>
        <v>2400</v>
      </c>
    </row>
    <row r="86" ht="15.75" customHeight="1">
      <c r="A86" s="379">
        <f t="shared" si="2"/>
        <v>498</v>
      </c>
      <c r="B86" s="380" t="s">
        <v>851</v>
      </c>
      <c r="C86" s="357">
        <f>'2. Power by Mode'!$H$15</f>
        <v>81.5</v>
      </c>
      <c r="D86" s="56">
        <f>'3. Mode Plot Data'!D86</f>
        <v>110</v>
      </c>
      <c r="E86" s="56">
        <f t="shared" si="1"/>
        <v>28.5</v>
      </c>
      <c r="F86" s="372">
        <f t="shared" si="3"/>
        <v>2400</v>
      </c>
    </row>
    <row r="87" ht="15.75" customHeight="1">
      <c r="A87" s="379">
        <f t="shared" si="2"/>
        <v>504</v>
      </c>
      <c r="B87" s="380" t="s">
        <v>851</v>
      </c>
      <c r="C87" s="357">
        <f>'2. Power by Mode'!$H$15</f>
        <v>81.5</v>
      </c>
      <c r="D87" s="56">
        <f>'3. Mode Plot Data'!D87</f>
        <v>110</v>
      </c>
      <c r="E87" s="56">
        <f t="shared" si="1"/>
        <v>28.5</v>
      </c>
      <c r="F87" s="372">
        <f t="shared" si="3"/>
        <v>2400</v>
      </c>
    </row>
    <row r="88" ht="15.75" customHeight="1">
      <c r="A88" s="379">
        <f t="shared" si="2"/>
        <v>510</v>
      </c>
      <c r="B88" s="380" t="s">
        <v>851</v>
      </c>
      <c r="C88" s="357">
        <f>'2. Power by Mode'!$H$15</f>
        <v>81.5</v>
      </c>
      <c r="D88" s="56">
        <f>'3. Mode Plot Data'!D88</f>
        <v>110</v>
      </c>
      <c r="E88" s="56">
        <f t="shared" si="1"/>
        <v>28.5</v>
      </c>
      <c r="F88" s="372">
        <f t="shared" si="3"/>
        <v>2400</v>
      </c>
    </row>
    <row r="89" ht="15.75" customHeight="1">
      <c r="A89" s="379">
        <f t="shared" si="2"/>
        <v>516</v>
      </c>
      <c r="B89" s="380" t="s">
        <v>851</v>
      </c>
      <c r="C89" s="357">
        <f>'2. Power by Mode'!$H$15</f>
        <v>81.5</v>
      </c>
      <c r="D89" s="56">
        <f>'3. Mode Plot Data'!D89</f>
        <v>110</v>
      </c>
      <c r="E89" s="56">
        <f t="shared" si="1"/>
        <v>28.5</v>
      </c>
      <c r="F89" s="372">
        <f t="shared" si="3"/>
        <v>2400</v>
      </c>
    </row>
    <row r="90" ht="15.75" customHeight="1">
      <c r="A90" s="379">
        <f t="shared" si="2"/>
        <v>522</v>
      </c>
      <c r="B90" s="380" t="s">
        <v>851</v>
      </c>
      <c r="C90" s="357">
        <f>'2. Power by Mode'!$H$15</f>
        <v>81.5</v>
      </c>
      <c r="D90" s="56">
        <f>'3. Mode Plot Data'!D90</f>
        <v>110</v>
      </c>
      <c r="E90" s="56">
        <f t="shared" si="1"/>
        <v>28.5</v>
      </c>
      <c r="F90" s="372">
        <f t="shared" si="3"/>
        <v>2400</v>
      </c>
    </row>
    <row r="91" ht="15.75" customHeight="1">
      <c r="A91" s="379">
        <f t="shared" si="2"/>
        <v>528</v>
      </c>
      <c r="B91" s="380" t="s">
        <v>851</v>
      </c>
      <c r="C91" s="357">
        <f>'2. Power by Mode'!$H$15</f>
        <v>81.5</v>
      </c>
      <c r="D91" s="56">
        <f>'3. Mode Plot Data'!D91</f>
        <v>110</v>
      </c>
      <c r="E91" s="56">
        <f t="shared" si="1"/>
        <v>28.5</v>
      </c>
      <c r="F91" s="372">
        <f t="shared" si="3"/>
        <v>2400</v>
      </c>
    </row>
    <row r="92" ht="15.75" customHeight="1">
      <c r="A92" s="379">
        <f t="shared" si="2"/>
        <v>534</v>
      </c>
      <c r="B92" s="380" t="s">
        <v>851</v>
      </c>
      <c r="C92" s="357">
        <f>'2. Power by Mode'!$H$15</f>
        <v>81.5</v>
      </c>
      <c r="D92" s="56">
        <f>'3. Mode Plot Data'!D92</f>
        <v>110</v>
      </c>
      <c r="E92" s="408">
        <f t="shared" si="1"/>
        <v>28.5</v>
      </c>
      <c r="F92" s="372">
        <f t="shared" si="3"/>
        <v>2400</v>
      </c>
    </row>
    <row r="93" ht="15.75" customHeight="1">
      <c r="A93" s="379">
        <f t="shared" si="2"/>
        <v>540</v>
      </c>
      <c r="B93" s="380" t="s">
        <v>851</v>
      </c>
      <c r="C93" s="357">
        <f>'2. Power by Mode'!$H$15</f>
        <v>81.5</v>
      </c>
      <c r="D93" s="56">
        <f>'3. Mode Plot Data'!D93</f>
        <v>110</v>
      </c>
      <c r="E93" s="56">
        <f t="shared" si="1"/>
        <v>28.5</v>
      </c>
      <c r="F93" s="409">
        <f t="shared" si="3"/>
        <v>2400</v>
      </c>
    </row>
    <row r="94" ht="15.75" customHeight="1">
      <c r="A94" s="379">
        <f t="shared" si="2"/>
        <v>546</v>
      </c>
      <c r="B94" s="380" t="s">
        <v>851</v>
      </c>
      <c r="C94" s="357">
        <f>'2. Power by Mode'!$H$15</f>
        <v>81.5</v>
      </c>
      <c r="D94" s="56">
        <f>'3. Mode Plot Data'!D94</f>
        <v>110</v>
      </c>
      <c r="E94" s="56">
        <f t="shared" si="1"/>
        <v>28.5</v>
      </c>
      <c r="F94" s="372">
        <f t="shared" si="3"/>
        <v>2400</v>
      </c>
    </row>
    <row r="95" ht="15.75" customHeight="1">
      <c r="A95" s="379">
        <f t="shared" si="2"/>
        <v>552</v>
      </c>
      <c r="B95" s="380" t="s">
        <v>851</v>
      </c>
      <c r="C95" s="357">
        <f>'2. Power by Mode'!$H$15</f>
        <v>81.5</v>
      </c>
      <c r="D95" s="56">
        <f>'3. Mode Plot Data'!D95</f>
        <v>110</v>
      </c>
      <c r="E95" s="56">
        <f t="shared" si="1"/>
        <v>28.5</v>
      </c>
      <c r="F95" s="372">
        <f t="shared" si="3"/>
        <v>2400</v>
      </c>
    </row>
    <row r="96" ht="15.75" customHeight="1">
      <c r="A96" s="379">
        <f t="shared" si="2"/>
        <v>558</v>
      </c>
      <c r="B96" s="380" t="s">
        <v>851</v>
      </c>
      <c r="C96" s="357">
        <f>'2. Power by Mode'!$H$15</f>
        <v>81.5</v>
      </c>
      <c r="D96" s="56">
        <f>'3. Mode Plot Data'!D96</f>
        <v>110</v>
      </c>
      <c r="E96" s="56">
        <f t="shared" si="1"/>
        <v>28.5</v>
      </c>
      <c r="F96" s="372">
        <f t="shared" si="3"/>
        <v>2400</v>
      </c>
    </row>
    <row r="97" ht="15.75" customHeight="1">
      <c r="A97" s="379">
        <f t="shared" si="2"/>
        <v>564</v>
      </c>
      <c r="B97" s="380" t="s">
        <v>851</v>
      </c>
      <c r="C97" s="357">
        <f>'2. Power by Mode'!$H$15</f>
        <v>81.5</v>
      </c>
      <c r="D97" s="56">
        <f>'3. Mode Plot Data'!D97</f>
        <v>110</v>
      </c>
      <c r="E97" s="56">
        <f t="shared" si="1"/>
        <v>28.5</v>
      </c>
      <c r="F97" s="372">
        <f t="shared" si="3"/>
        <v>2400</v>
      </c>
    </row>
    <row r="98" ht="15.75" customHeight="1">
      <c r="A98" s="379">
        <f t="shared" si="2"/>
        <v>570</v>
      </c>
      <c r="B98" s="380" t="s">
        <v>851</v>
      </c>
      <c r="C98" s="357">
        <f>'2. Power by Mode'!$H$15</f>
        <v>81.5</v>
      </c>
      <c r="D98" s="56">
        <f>'3. Mode Plot Data'!D98</f>
        <v>110</v>
      </c>
      <c r="E98" s="56">
        <f t="shared" si="1"/>
        <v>28.5</v>
      </c>
      <c r="F98" s="372">
        <f t="shared" si="3"/>
        <v>2400</v>
      </c>
    </row>
    <row r="99" ht="15.75" customHeight="1">
      <c r="A99" s="379">
        <f t="shared" si="2"/>
        <v>576</v>
      </c>
      <c r="B99" s="380" t="s">
        <v>851</v>
      </c>
      <c r="C99" s="357">
        <f>'2. Power by Mode'!$H$15</f>
        <v>81.5</v>
      </c>
      <c r="D99" s="56">
        <f>'3. Mode Plot Data'!D99</f>
        <v>110</v>
      </c>
      <c r="E99" s="56">
        <f t="shared" si="1"/>
        <v>28.5</v>
      </c>
      <c r="F99" s="372">
        <f t="shared" si="3"/>
        <v>2400</v>
      </c>
    </row>
    <row r="100" ht="15.75" customHeight="1">
      <c r="A100" s="379">
        <f t="shared" si="2"/>
        <v>582</v>
      </c>
      <c r="B100" s="380" t="s">
        <v>851</v>
      </c>
      <c r="C100" s="357">
        <f>'2. Power by Mode'!$H$15</f>
        <v>81.5</v>
      </c>
      <c r="D100" s="56">
        <f>'3. Mode Plot Data'!D100</f>
        <v>110</v>
      </c>
      <c r="E100" s="56">
        <f t="shared" si="1"/>
        <v>28.5</v>
      </c>
      <c r="F100" s="372">
        <f t="shared" si="3"/>
        <v>2400</v>
      </c>
    </row>
    <row r="101" ht="15.75" customHeight="1">
      <c r="A101" s="379">
        <f t="shared" si="2"/>
        <v>588</v>
      </c>
      <c r="B101" s="380" t="s">
        <v>851</v>
      </c>
      <c r="C101" s="357">
        <f>'2. Power by Mode'!$H$15</f>
        <v>81.5</v>
      </c>
      <c r="D101" s="56">
        <f>'3. Mode Plot Data'!D101</f>
        <v>110</v>
      </c>
      <c r="E101" s="56">
        <f t="shared" si="1"/>
        <v>28.5</v>
      </c>
      <c r="F101" s="372">
        <f t="shared" si="3"/>
        <v>2400</v>
      </c>
    </row>
    <row r="102" ht="15.75" customHeight="1">
      <c r="A102" s="379">
        <f t="shared" si="2"/>
        <v>594</v>
      </c>
      <c r="B102" s="380" t="s">
        <v>851</v>
      </c>
      <c r="C102" s="357">
        <f>'2. Power by Mode'!$H$15</f>
        <v>81.5</v>
      </c>
      <c r="D102" s="56">
        <f>'3. Mode Plot Data'!D102</f>
        <v>110</v>
      </c>
      <c r="E102" s="56">
        <f t="shared" si="1"/>
        <v>28.5</v>
      </c>
      <c r="F102" s="372">
        <f t="shared" si="3"/>
        <v>2400</v>
      </c>
    </row>
    <row r="103" ht="15.75" customHeight="1">
      <c r="A103" s="379">
        <f t="shared" si="2"/>
        <v>600</v>
      </c>
      <c r="B103" s="380" t="s">
        <v>853</v>
      </c>
      <c r="C103" s="357">
        <f>'2. Power by Mode'!$K$15</f>
        <v>116.5</v>
      </c>
      <c r="D103" s="56">
        <f>'3. Mode Plot Data'!D103</f>
        <v>110</v>
      </c>
      <c r="E103" s="56">
        <f t="shared" si="1"/>
        <v>-6.5</v>
      </c>
      <c r="F103" s="372">
        <f t="shared" si="3"/>
        <v>2400</v>
      </c>
    </row>
    <row r="104" ht="15.75" customHeight="1">
      <c r="A104" s="379">
        <f t="shared" si="2"/>
        <v>606</v>
      </c>
      <c r="B104" s="380" t="s">
        <v>853</v>
      </c>
      <c r="C104" s="357">
        <f>'2. Power by Mode'!$K$15</f>
        <v>116.5</v>
      </c>
      <c r="D104" s="56">
        <f>'3. Mode Plot Data'!D104</f>
        <v>110</v>
      </c>
      <c r="E104" s="56">
        <f t="shared" si="1"/>
        <v>-6.5</v>
      </c>
      <c r="F104" s="372">
        <f t="shared" si="3"/>
        <v>2399.35</v>
      </c>
    </row>
    <row r="105" ht="15.75" customHeight="1">
      <c r="A105" s="379">
        <f t="shared" si="2"/>
        <v>612</v>
      </c>
      <c r="B105" s="380" t="s">
        <v>853</v>
      </c>
      <c r="C105" s="357">
        <f>'2. Power by Mode'!$K$15</f>
        <v>116.5</v>
      </c>
      <c r="D105" s="56">
        <f>'3. Mode Plot Data'!D105</f>
        <v>110</v>
      </c>
      <c r="E105" s="56">
        <f t="shared" si="1"/>
        <v>-6.5</v>
      </c>
      <c r="F105" s="372">
        <f t="shared" si="3"/>
        <v>2398.7</v>
      </c>
    </row>
    <row r="106" ht="15.75" customHeight="1">
      <c r="A106" s="379">
        <f t="shared" si="2"/>
        <v>618</v>
      </c>
      <c r="B106" s="380" t="s">
        <v>853</v>
      </c>
      <c r="C106" s="357">
        <f>'2. Power by Mode'!$K$15</f>
        <v>116.5</v>
      </c>
      <c r="D106" s="56">
        <f>'3. Mode Plot Data'!D106</f>
        <v>110</v>
      </c>
      <c r="E106" s="56">
        <f t="shared" si="1"/>
        <v>-6.5</v>
      </c>
      <c r="F106" s="372">
        <f t="shared" si="3"/>
        <v>2398.05</v>
      </c>
    </row>
    <row r="107" ht="15.75" customHeight="1">
      <c r="A107" s="379">
        <f t="shared" si="2"/>
        <v>624</v>
      </c>
      <c r="B107" s="380" t="s">
        <v>853</v>
      </c>
      <c r="C107" s="357">
        <f>'2. Power by Mode'!$K$15</f>
        <v>116.5</v>
      </c>
      <c r="D107" s="56">
        <f>'3. Mode Plot Data'!D107</f>
        <v>110</v>
      </c>
      <c r="E107" s="56">
        <f t="shared" si="1"/>
        <v>-6.5</v>
      </c>
      <c r="F107" s="372">
        <f t="shared" si="3"/>
        <v>2397.4</v>
      </c>
    </row>
    <row r="108" ht="15.75" customHeight="1">
      <c r="A108" s="379">
        <f t="shared" si="2"/>
        <v>630</v>
      </c>
      <c r="B108" s="380" t="s">
        <v>853</v>
      </c>
      <c r="C108" s="357">
        <f>'2. Power by Mode'!$K$15</f>
        <v>116.5</v>
      </c>
      <c r="D108" s="56">
        <f>'3. Mode Plot Data'!D108</f>
        <v>110</v>
      </c>
      <c r="E108" s="56">
        <f t="shared" si="1"/>
        <v>-6.5</v>
      </c>
      <c r="F108" s="372">
        <f t="shared" si="3"/>
        <v>2396.75</v>
      </c>
    </row>
    <row r="109" ht="15.75" customHeight="1">
      <c r="A109" s="379">
        <f t="shared" si="2"/>
        <v>636</v>
      </c>
      <c r="B109" s="380" t="s">
        <v>853</v>
      </c>
      <c r="C109" s="357">
        <f>'2. Power by Mode'!$K$15</f>
        <v>116.5</v>
      </c>
      <c r="D109" s="56">
        <f>'3. Mode Plot Data'!D109</f>
        <v>110</v>
      </c>
      <c r="E109" s="56">
        <f t="shared" si="1"/>
        <v>-6.5</v>
      </c>
      <c r="F109" s="372">
        <f t="shared" si="3"/>
        <v>2396.1</v>
      </c>
    </row>
    <row r="110" ht="15.75" customHeight="1">
      <c r="A110" s="379">
        <f t="shared" si="2"/>
        <v>642</v>
      </c>
      <c r="B110" s="380" t="s">
        <v>853</v>
      </c>
      <c r="C110" s="357">
        <f>'2. Power by Mode'!$K$15</f>
        <v>116.5</v>
      </c>
      <c r="D110" s="56">
        <f>'3. Mode Plot Data'!D110</f>
        <v>110</v>
      </c>
      <c r="E110" s="56">
        <f t="shared" si="1"/>
        <v>-6.5</v>
      </c>
      <c r="F110" s="372">
        <f t="shared" si="3"/>
        <v>2395.45</v>
      </c>
    </row>
    <row r="111" ht="15.75" customHeight="1">
      <c r="A111" s="379">
        <f t="shared" si="2"/>
        <v>648</v>
      </c>
      <c r="B111" s="380" t="s">
        <v>853</v>
      </c>
      <c r="C111" s="357">
        <f>'2. Power by Mode'!$K$15</f>
        <v>116.5</v>
      </c>
      <c r="D111" s="56">
        <f>'3. Mode Plot Data'!D111</f>
        <v>110</v>
      </c>
      <c r="E111" s="56">
        <f t="shared" si="1"/>
        <v>-6.5</v>
      </c>
      <c r="F111" s="372">
        <f t="shared" si="3"/>
        <v>2394.8</v>
      </c>
    </row>
    <row r="112" ht="15.75" customHeight="1">
      <c r="A112" s="379">
        <f t="shared" si="2"/>
        <v>654</v>
      </c>
      <c r="B112" s="380" t="s">
        <v>853</v>
      </c>
      <c r="C112" s="357">
        <f>'2. Power by Mode'!$K$15</f>
        <v>116.5</v>
      </c>
      <c r="D112" s="56">
        <f>'3. Mode Plot Data'!D112</f>
        <v>110</v>
      </c>
      <c r="E112" s="56">
        <f t="shared" si="1"/>
        <v>-6.5</v>
      </c>
      <c r="F112" s="372">
        <f t="shared" si="3"/>
        <v>2394.15</v>
      </c>
    </row>
    <row r="113" ht="15.75" customHeight="1">
      <c r="A113" s="379">
        <f t="shared" si="2"/>
        <v>660</v>
      </c>
      <c r="B113" s="380" t="s">
        <v>853</v>
      </c>
      <c r="C113" s="357">
        <f>'2. Power by Mode'!$K$15</f>
        <v>116.5</v>
      </c>
      <c r="D113" s="56">
        <f>'3. Mode Plot Data'!D113</f>
        <v>110</v>
      </c>
      <c r="E113" s="56">
        <f t="shared" si="1"/>
        <v>-6.5</v>
      </c>
      <c r="F113" s="372">
        <f t="shared" si="3"/>
        <v>2393.5</v>
      </c>
    </row>
    <row r="114" ht="15.75" customHeight="1">
      <c r="A114" s="379">
        <f t="shared" si="2"/>
        <v>666</v>
      </c>
      <c r="B114" s="380" t="s">
        <v>853</v>
      </c>
      <c r="C114" s="357">
        <f>'2. Power by Mode'!$K$15</f>
        <v>116.5</v>
      </c>
      <c r="D114" s="56">
        <f>'3. Mode Plot Data'!D114</f>
        <v>110</v>
      </c>
      <c r="E114" s="56">
        <f t="shared" si="1"/>
        <v>-6.5</v>
      </c>
      <c r="F114" s="372">
        <f t="shared" si="3"/>
        <v>2392.85</v>
      </c>
    </row>
    <row r="115" ht="15.75" customHeight="1">
      <c r="A115" s="379">
        <f t="shared" si="2"/>
        <v>672</v>
      </c>
      <c r="B115" s="380" t="s">
        <v>853</v>
      </c>
      <c r="C115" s="357">
        <f>'2. Power by Mode'!$K$15</f>
        <v>116.5</v>
      </c>
      <c r="D115" s="56">
        <f>'3. Mode Plot Data'!D115</f>
        <v>110</v>
      </c>
      <c r="E115" s="56">
        <f t="shared" si="1"/>
        <v>-6.5</v>
      </c>
      <c r="F115" s="372">
        <f t="shared" si="3"/>
        <v>2392.2</v>
      </c>
    </row>
    <row r="116" ht="15.75" customHeight="1">
      <c r="A116" s="379">
        <f t="shared" si="2"/>
        <v>678</v>
      </c>
      <c r="B116" s="380" t="s">
        <v>853</v>
      </c>
      <c r="C116" s="357">
        <f>'2. Power by Mode'!$K$15</f>
        <v>116.5</v>
      </c>
      <c r="D116" s="56">
        <f>'3. Mode Plot Data'!D116</f>
        <v>110</v>
      </c>
      <c r="E116" s="56">
        <f t="shared" si="1"/>
        <v>-6.5</v>
      </c>
      <c r="F116" s="372">
        <f t="shared" si="3"/>
        <v>2391.55</v>
      </c>
    </row>
    <row r="117" ht="15.75" customHeight="1">
      <c r="A117" s="379">
        <f t="shared" si="2"/>
        <v>684</v>
      </c>
      <c r="B117" s="380" t="s">
        <v>853</v>
      </c>
      <c r="C117" s="357">
        <f>'2. Power by Mode'!$K$15</f>
        <v>116.5</v>
      </c>
      <c r="D117" s="56">
        <f>'3. Mode Plot Data'!D117</f>
        <v>110</v>
      </c>
      <c r="E117" s="56">
        <f t="shared" si="1"/>
        <v>-6.5</v>
      </c>
      <c r="F117" s="372">
        <f t="shared" si="3"/>
        <v>2390.9</v>
      </c>
    </row>
    <row r="118" ht="15.75" customHeight="1">
      <c r="A118" s="379">
        <f t="shared" si="2"/>
        <v>690</v>
      </c>
      <c r="B118" s="380" t="s">
        <v>852</v>
      </c>
      <c r="C118" s="357">
        <f>'2. Power by Mode'!$I$15</f>
        <v>71.5</v>
      </c>
      <c r="D118" s="56">
        <f>'3. Mode Plot Data'!D118</f>
        <v>110</v>
      </c>
      <c r="E118" s="56">
        <f t="shared" si="1"/>
        <v>38.5</v>
      </c>
      <c r="F118" s="372">
        <f t="shared" si="3"/>
        <v>2390.25</v>
      </c>
    </row>
    <row r="119" ht="15.75" customHeight="1">
      <c r="A119" s="379">
        <f t="shared" si="2"/>
        <v>696</v>
      </c>
      <c r="B119" s="380" t="s">
        <v>852</v>
      </c>
      <c r="C119" s="357">
        <f>'2. Power by Mode'!$I$15</f>
        <v>71.5</v>
      </c>
      <c r="D119" s="56">
        <f>'3. Mode Plot Data'!D119</f>
        <v>110</v>
      </c>
      <c r="E119" s="56">
        <f t="shared" si="1"/>
        <v>38.5</v>
      </c>
      <c r="F119" s="372">
        <f t="shared" si="3"/>
        <v>2394.1</v>
      </c>
    </row>
    <row r="120" ht="15.75" customHeight="1">
      <c r="A120" s="379">
        <f t="shared" si="2"/>
        <v>702</v>
      </c>
      <c r="B120" s="380" t="s">
        <v>852</v>
      </c>
      <c r="C120" s="357">
        <f>'2. Power by Mode'!$I$15</f>
        <v>71.5</v>
      </c>
      <c r="D120" s="56">
        <f>'3. Mode Plot Data'!D120</f>
        <v>110</v>
      </c>
      <c r="E120" s="56">
        <f t="shared" si="1"/>
        <v>38.5</v>
      </c>
      <c r="F120" s="372">
        <f t="shared" si="3"/>
        <v>2397.95</v>
      </c>
    </row>
    <row r="121" ht="15.75" customHeight="1">
      <c r="A121" s="379">
        <f t="shared" si="2"/>
        <v>708</v>
      </c>
      <c r="B121" s="380" t="s">
        <v>852</v>
      </c>
      <c r="C121" s="357">
        <f>'2. Power by Mode'!$I$15</f>
        <v>71.5</v>
      </c>
      <c r="D121" s="56">
        <f>'3. Mode Plot Data'!D121</f>
        <v>110</v>
      </c>
      <c r="E121" s="56">
        <f t="shared" si="1"/>
        <v>38.5</v>
      </c>
      <c r="F121" s="372">
        <f t="shared" si="3"/>
        <v>2400</v>
      </c>
    </row>
    <row r="122" ht="15.75" customHeight="1">
      <c r="A122" s="379">
        <f t="shared" si="2"/>
        <v>714</v>
      </c>
      <c r="B122" s="380" t="s">
        <v>852</v>
      </c>
      <c r="C122" s="357">
        <f>'2. Power by Mode'!$I$15</f>
        <v>71.5</v>
      </c>
      <c r="D122" s="56">
        <f>'3. Mode Plot Data'!D122</f>
        <v>110</v>
      </c>
      <c r="E122" s="56">
        <f t="shared" si="1"/>
        <v>38.5</v>
      </c>
      <c r="F122" s="372">
        <f t="shared" si="3"/>
        <v>2400</v>
      </c>
    </row>
    <row r="123" ht="15.75" customHeight="1">
      <c r="A123" s="379">
        <f t="shared" si="2"/>
        <v>720</v>
      </c>
      <c r="B123" s="380" t="s">
        <v>852</v>
      </c>
      <c r="C123" s="357">
        <f>'2. Power by Mode'!$I$15</f>
        <v>71.5</v>
      </c>
      <c r="D123" s="56">
        <f>'3. Mode Plot Data'!D123</f>
        <v>110</v>
      </c>
      <c r="E123" s="56">
        <f t="shared" si="1"/>
        <v>38.5</v>
      </c>
      <c r="F123" s="372">
        <f t="shared" si="3"/>
        <v>2400</v>
      </c>
    </row>
    <row r="124" ht="15.75" customHeight="1">
      <c r="A124" s="379">
        <f t="shared" si="2"/>
        <v>726</v>
      </c>
      <c r="B124" s="380" t="s">
        <v>852</v>
      </c>
      <c r="C124" s="357">
        <f>'2. Power by Mode'!$I$15</f>
        <v>71.5</v>
      </c>
      <c r="D124" s="56">
        <f>'3. Mode Plot Data'!D124</f>
        <v>110</v>
      </c>
      <c r="E124" s="56">
        <f t="shared" si="1"/>
        <v>38.5</v>
      </c>
      <c r="F124" s="372">
        <f t="shared" si="3"/>
        <v>2400</v>
      </c>
    </row>
    <row r="125" ht="15.75" customHeight="1">
      <c r="A125" s="379">
        <f t="shared" si="2"/>
        <v>732</v>
      </c>
      <c r="B125" s="380" t="s">
        <v>852</v>
      </c>
      <c r="C125" s="357">
        <f>'2. Power by Mode'!$I$15</f>
        <v>71.5</v>
      </c>
      <c r="D125" s="56">
        <f>'3. Mode Plot Data'!D125</f>
        <v>110</v>
      </c>
      <c r="E125" s="56">
        <f t="shared" si="1"/>
        <v>38.5</v>
      </c>
      <c r="F125" s="372">
        <f t="shared" si="3"/>
        <v>2400</v>
      </c>
    </row>
    <row r="126" ht="15.75" customHeight="1">
      <c r="A126" s="379">
        <f t="shared" si="2"/>
        <v>738</v>
      </c>
      <c r="B126" s="380" t="s">
        <v>852</v>
      </c>
      <c r="C126" s="357">
        <f>'2. Power by Mode'!$I$15</f>
        <v>71.5</v>
      </c>
      <c r="D126" s="56">
        <f>'3. Mode Plot Data'!D126</f>
        <v>110</v>
      </c>
      <c r="E126" s="56">
        <f t="shared" si="1"/>
        <v>38.5</v>
      </c>
      <c r="F126" s="372">
        <f t="shared" si="3"/>
        <v>2400</v>
      </c>
    </row>
    <row r="127" ht="15.75" customHeight="1">
      <c r="A127" s="379">
        <f t="shared" si="2"/>
        <v>744</v>
      </c>
      <c r="B127" s="380" t="s">
        <v>852</v>
      </c>
      <c r="C127" s="357">
        <f>'2. Power by Mode'!$I$15</f>
        <v>71.5</v>
      </c>
      <c r="D127" s="56">
        <f>'3. Mode Plot Data'!D127</f>
        <v>110</v>
      </c>
      <c r="E127" s="56">
        <f t="shared" si="1"/>
        <v>38.5</v>
      </c>
      <c r="F127" s="372">
        <f t="shared" si="3"/>
        <v>2400</v>
      </c>
    </row>
    <row r="128" ht="15.75" customHeight="1">
      <c r="A128" s="379">
        <f t="shared" si="2"/>
        <v>750</v>
      </c>
      <c r="B128" s="380" t="s">
        <v>852</v>
      </c>
      <c r="C128" s="357">
        <f>'2. Power by Mode'!$I$15</f>
        <v>71.5</v>
      </c>
      <c r="D128" s="56">
        <f>'3. Mode Plot Data'!D128</f>
        <v>110</v>
      </c>
      <c r="E128" s="56">
        <f t="shared" si="1"/>
        <v>38.5</v>
      </c>
      <c r="F128" s="372">
        <f t="shared" si="3"/>
        <v>2400</v>
      </c>
    </row>
    <row r="129" ht="15.75" customHeight="1">
      <c r="A129" s="379">
        <f t="shared" si="2"/>
        <v>756</v>
      </c>
      <c r="B129" s="380" t="s">
        <v>852</v>
      </c>
      <c r="C129" s="357">
        <f>'2. Power by Mode'!$I$15</f>
        <v>71.5</v>
      </c>
      <c r="D129" s="56">
        <f>'3. Mode Plot Data'!D129</f>
        <v>110</v>
      </c>
      <c r="E129" s="56">
        <f t="shared" si="1"/>
        <v>38.5</v>
      </c>
      <c r="F129" s="372">
        <f t="shared" si="3"/>
        <v>2400</v>
      </c>
    </row>
    <row r="130" ht="15.75" customHeight="1">
      <c r="A130" s="379">
        <f t="shared" si="2"/>
        <v>762</v>
      </c>
      <c r="B130" s="380" t="s">
        <v>852</v>
      </c>
      <c r="C130" s="357">
        <f>'2. Power by Mode'!$I$15</f>
        <v>71.5</v>
      </c>
      <c r="D130" s="56">
        <f>'3. Mode Plot Data'!D130</f>
        <v>110</v>
      </c>
      <c r="E130" s="56">
        <f t="shared" si="1"/>
        <v>38.5</v>
      </c>
      <c r="F130" s="372">
        <f t="shared" si="3"/>
        <v>2400</v>
      </c>
    </row>
    <row r="131" ht="15.75" customHeight="1">
      <c r="A131" s="379">
        <f t="shared" si="2"/>
        <v>768</v>
      </c>
      <c r="B131" s="380" t="s">
        <v>852</v>
      </c>
      <c r="C131" s="357">
        <f>'2. Power by Mode'!$I$15</f>
        <v>71.5</v>
      </c>
      <c r="D131" s="56">
        <f>'3. Mode Plot Data'!D131</f>
        <v>110</v>
      </c>
      <c r="E131" s="56">
        <f t="shared" si="1"/>
        <v>38.5</v>
      </c>
      <c r="F131" s="372">
        <f t="shared" si="3"/>
        <v>2400</v>
      </c>
    </row>
    <row r="132" ht="15.75" customHeight="1">
      <c r="A132" s="379">
        <f t="shared" si="2"/>
        <v>774</v>
      </c>
      <c r="B132" s="380" t="s">
        <v>852</v>
      </c>
      <c r="C132" s="357">
        <f>'2. Power by Mode'!$I$15</f>
        <v>71.5</v>
      </c>
      <c r="D132" s="56">
        <f>'3. Mode Plot Data'!D132</f>
        <v>110</v>
      </c>
      <c r="E132" s="56">
        <f t="shared" si="1"/>
        <v>38.5</v>
      </c>
      <c r="F132" s="372">
        <f t="shared" si="3"/>
        <v>2400</v>
      </c>
    </row>
    <row r="133" ht="15.75" customHeight="1">
      <c r="A133" s="379">
        <f t="shared" si="2"/>
        <v>780</v>
      </c>
      <c r="B133" s="380" t="s">
        <v>852</v>
      </c>
      <c r="C133" s="357">
        <f>'2. Power by Mode'!$I$15</f>
        <v>71.5</v>
      </c>
      <c r="D133" s="56">
        <f>'3. Mode Plot Data'!D133</f>
        <v>110</v>
      </c>
      <c r="E133" s="56">
        <f t="shared" si="1"/>
        <v>38.5</v>
      </c>
      <c r="F133" s="372">
        <f t="shared" si="3"/>
        <v>2400</v>
      </c>
    </row>
    <row r="134" ht="15.75" customHeight="1">
      <c r="A134" s="379">
        <f t="shared" si="2"/>
        <v>786</v>
      </c>
      <c r="B134" s="380" t="s">
        <v>852</v>
      </c>
      <c r="C134" s="357">
        <f>'2. Power by Mode'!$I$15</f>
        <v>71.5</v>
      </c>
      <c r="D134" s="56">
        <f>'3. Mode Plot Data'!D134</f>
        <v>110</v>
      </c>
      <c r="E134" s="56">
        <f t="shared" si="1"/>
        <v>38.5</v>
      </c>
      <c r="F134" s="372">
        <f t="shared" si="3"/>
        <v>2400</v>
      </c>
    </row>
    <row r="135" ht="15.75" customHeight="1">
      <c r="A135" s="379">
        <f t="shared" si="2"/>
        <v>792</v>
      </c>
      <c r="B135" s="380" t="s">
        <v>852</v>
      </c>
      <c r="C135" s="357">
        <f>'2. Power by Mode'!$I$15</f>
        <v>71.5</v>
      </c>
      <c r="D135" s="56">
        <f>'3. Mode Plot Data'!D135</f>
        <v>110</v>
      </c>
      <c r="E135" s="56">
        <f t="shared" si="1"/>
        <v>38.5</v>
      </c>
      <c r="F135" s="372">
        <f t="shared" si="3"/>
        <v>2400</v>
      </c>
    </row>
    <row r="136" ht="15.75" customHeight="1">
      <c r="A136" s="379">
        <f t="shared" si="2"/>
        <v>798</v>
      </c>
      <c r="B136" s="380" t="s">
        <v>852</v>
      </c>
      <c r="C136" s="357">
        <f>'2. Power by Mode'!$I$15</f>
        <v>71.5</v>
      </c>
      <c r="D136" s="56">
        <f>'3. Mode Plot Data'!D136</f>
        <v>110</v>
      </c>
      <c r="E136" s="56">
        <f t="shared" si="1"/>
        <v>38.5</v>
      </c>
      <c r="F136" s="372">
        <f t="shared" si="3"/>
        <v>2400</v>
      </c>
    </row>
    <row r="137" ht="15.75" customHeight="1">
      <c r="A137" s="379">
        <f t="shared" si="2"/>
        <v>804</v>
      </c>
      <c r="B137" s="380" t="s">
        <v>852</v>
      </c>
      <c r="C137" s="357">
        <f>'2. Power by Mode'!$I$15</f>
        <v>71.5</v>
      </c>
      <c r="D137" s="56">
        <f>'3. Mode Plot Data'!D137</f>
        <v>110</v>
      </c>
      <c r="E137" s="56">
        <f t="shared" si="1"/>
        <v>38.5</v>
      </c>
      <c r="F137" s="372">
        <f t="shared" si="3"/>
        <v>2400</v>
      </c>
    </row>
    <row r="138" ht="15.75" customHeight="1">
      <c r="A138" s="379">
        <f t="shared" si="2"/>
        <v>810</v>
      </c>
      <c r="B138" s="380" t="s">
        <v>852</v>
      </c>
      <c r="C138" s="357">
        <f>'2. Power by Mode'!$I$15</f>
        <v>71.5</v>
      </c>
      <c r="D138" s="56">
        <f>'3. Mode Plot Data'!D138</f>
        <v>110</v>
      </c>
      <c r="E138" s="56">
        <f t="shared" si="1"/>
        <v>38.5</v>
      </c>
      <c r="F138" s="372">
        <f t="shared" si="3"/>
        <v>2400</v>
      </c>
    </row>
    <row r="139" ht="15.75" customHeight="1">
      <c r="A139" s="379">
        <f t="shared" si="2"/>
        <v>816</v>
      </c>
      <c r="B139" s="380" t="s">
        <v>852</v>
      </c>
      <c r="C139" s="357">
        <f>'2. Power by Mode'!$I$15</f>
        <v>71.5</v>
      </c>
      <c r="D139" s="56">
        <f>'3. Mode Plot Data'!D139</f>
        <v>110</v>
      </c>
      <c r="E139" s="56">
        <f t="shared" si="1"/>
        <v>38.5</v>
      </c>
      <c r="F139" s="372">
        <f t="shared" si="3"/>
        <v>2400</v>
      </c>
    </row>
    <row r="140" ht="15.75" customHeight="1">
      <c r="A140" s="379">
        <f t="shared" si="2"/>
        <v>822</v>
      </c>
      <c r="B140" s="380" t="s">
        <v>852</v>
      </c>
      <c r="C140" s="357">
        <f>'2. Power by Mode'!$I$15</f>
        <v>71.5</v>
      </c>
      <c r="D140" s="56">
        <f>'3. Mode Plot Data'!D140</f>
        <v>110</v>
      </c>
      <c r="E140" s="56">
        <f t="shared" si="1"/>
        <v>38.5</v>
      </c>
      <c r="F140" s="372">
        <f t="shared" si="3"/>
        <v>2400</v>
      </c>
    </row>
    <row r="141" ht="15.75" customHeight="1">
      <c r="A141" s="379">
        <f t="shared" si="2"/>
        <v>828</v>
      </c>
      <c r="B141" s="380" t="s">
        <v>852</v>
      </c>
      <c r="C141" s="357">
        <f>'2. Power by Mode'!$I$15</f>
        <v>71.5</v>
      </c>
      <c r="D141" s="56">
        <f>'3. Mode Plot Data'!D141</f>
        <v>110</v>
      </c>
      <c r="E141" s="56">
        <f t="shared" si="1"/>
        <v>38.5</v>
      </c>
      <c r="F141" s="372">
        <f t="shared" si="3"/>
        <v>2400</v>
      </c>
    </row>
    <row r="142" ht="15.75" customHeight="1">
      <c r="A142" s="379">
        <f t="shared" si="2"/>
        <v>834</v>
      </c>
      <c r="B142" s="380" t="s">
        <v>852</v>
      </c>
      <c r="C142" s="357">
        <f>'2. Power by Mode'!$I$15</f>
        <v>71.5</v>
      </c>
      <c r="D142" s="56">
        <f>'3. Mode Plot Data'!D142</f>
        <v>110</v>
      </c>
      <c r="E142" s="56">
        <f t="shared" si="1"/>
        <v>38.5</v>
      </c>
      <c r="F142" s="372">
        <f t="shared" si="3"/>
        <v>2400</v>
      </c>
    </row>
    <row r="143" ht="15.75" customHeight="1">
      <c r="A143" s="379">
        <f t="shared" si="2"/>
        <v>840</v>
      </c>
      <c r="B143" s="380" t="s">
        <v>852</v>
      </c>
      <c r="C143" s="357">
        <f>'2. Power by Mode'!$I$15</f>
        <v>71.5</v>
      </c>
      <c r="D143" s="56">
        <f>'3. Mode Plot Data'!D143</f>
        <v>110</v>
      </c>
      <c r="E143" s="56">
        <f t="shared" si="1"/>
        <v>38.5</v>
      </c>
      <c r="F143" s="372">
        <f t="shared" si="3"/>
        <v>2400</v>
      </c>
    </row>
    <row r="144" ht="15.75" customHeight="1">
      <c r="A144" s="379">
        <f t="shared" si="2"/>
        <v>846</v>
      </c>
      <c r="B144" s="380" t="s">
        <v>852</v>
      </c>
      <c r="C144" s="357">
        <f>'2. Power by Mode'!$I$15</f>
        <v>71.5</v>
      </c>
      <c r="D144" s="56">
        <f>'3. Mode Plot Data'!D144</f>
        <v>110</v>
      </c>
      <c r="E144" s="56">
        <f t="shared" si="1"/>
        <v>38.5</v>
      </c>
      <c r="F144" s="372">
        <f t="shared" si="3"/>
        <v>2400</v>
      </c>
    </row>
    <row r="145" ht="15.75" customHeight="1">
      <c r="A145" s="379">
        <f t="shared" si="2"/>
        <v>852</v>
      </c>
      <c r="B145" s="380" t="s">
        <v>852</v>
      </c>
      <c r="C145" s="357">
        <f>'2. Power by Mode'!$I$15</f>
        <v>71.5</v>
      </c>
      <c r="D145" s="56">
        <f>'3. Mode Plot Data'!D145</f>
        <v>110</v>
      </c>
      <c r="E145" s="56">
        <f t="shared" si="1"/>
        <v>38.5</v>
      </c>
      <c r="F145" s="372">
        <f t="shared" si="3"/>
        <v>2400</v>
      </c>
    </row>
    <row r="146" ht="15.75" customHeight="1">
      <c r="A146" s="379">
        <f t="shared" si="2"/>
        <v>858</v>
      </c>
      <c r="B146" s="380" t="s">
        <v>852</v>
      </c>
      <c r="C146" s="357">
        <f>'2. Power by Mode'!$I$15</f>
        <v>71.5</v>
      </c>
      <c r="D146" s="56">
        <f>'3. Mode Plot Data'!D146</f>
        <v>110</v>
      </c>
      <c r="E146" s="56">
        <f t="shared" si="1"/>
        <v>38.5</v>
      </c>
      <c r="F146" s="372">
        <f t="shared" si="3"/>
        <v>2400</v>
      </c>
    </row>
    <row r="147" ht="15.75" customHeight="1">
      <c r="A147" s="379">
        <f t="shared" si="2"/>
        <v>864</v>
      </c>
      <c r="B147" s="380" t="s">
        <v>852</v>
      </c>
      <c r="C147" s="357">
        <f>'2. Power by Mode'!$I$15</f>
        <v>71.5</v>
      </c>
      <c r="D147" s="56">
        <f>'3. Mode Plot Data'!D147</f>
        <v>110</v>
      </c>
      <c r="E147" s="56">
        <f t="shared" si="1"/>
        <v>38.5</v>
      </c>
      <c r="F147" s="372">
        <f t="shared" si="3"/>
        <v>2400</v>
      </c>
    </row>
    <row r="148" ht="15.75" customHeight="1">
      <c r="A148" s="379">
        <f t="shared" si="2"/>
        <v>870</v>
      </c>
      <c r="B148" s="380" t="s">
        <v>852</v>
      </c>
      <c r="C148" s="357">
        <f>'2. Power by Mode'!$I$15</f>
        <v>71.5</v>
      </c>
      <c r="D148" s="56">
        <f>'3. Mode Plot Data'!D148</f>
        <v>110</v>
      </c>
      <c r="E148" s="56">
        <f t="shared" si="1"/>
        <v>38.5</v>
      </c>
      <c r="F148" s="372">
        <f t="shared" si="3"/>
        <v>2400</v>
      </c>
    </row>
    <row r="149" ht="15.75" customHeight="1">
      <c r="A149" s="379">
        <f t="shared" si="2"/>
        <v>876</v>
      </c>
      <c r="B149" s="380" t="s">
        <v>852</v>
      </c>
      <c r="C149" s="357">
        <f>'2. Power by Mode'!$I$15</f>
        <v>71.5</v>
      </c>
      <c r="D149" s="56">
        <f>'3. Mode Plot Data'!D149</f>
        <v>110</v>
      </c>
      <c r="E149" s="56">
        <f t="shared" si="1"/>
        <v>38.5</v>
      </c>
      <c r="F149" s="372">
        <f t="shared" si="3"/>
        <v>2400</v>
      </c>
    </row>
    <row r="150" ht="15.75" customHeight="1">
      <c r="A150" s="379">
        <f t="shared" si="2"/>
        <v>882</v>
      </c>
      <c r="B150" s="380" t="s">
        <v>852</v>
      </c>
      <c r="C150" s="357">
        <f>'2. Power by Mode'!$I$15</f>
        <v>71.5</v>
      </c>
      <c r="D150" s="56">
        <f>'3. Mode Plot Data'!D150</f>
        <v>110</v>
      </c>
      <c r="E150" s="56">
        <f t="shared" si="1"/>
        <v>38.5</v>
      </c>
      <c r="F150" s="372">
        <f t="shared" si="3"/>
        <v>2400</v>
      </c>
    </row>
    <row r="151" ht="15.75" customHeight="1">
      <c r="A151" s="379">
        <f t="shared" si="2"/>
        <v>888</v>
      </c>
      <c r="B151" s="380" t="s">
        <v>852</v>
      </c>
      <c r="C151" s="357">
        <f>'2. Power by Mode'!$I$15</f>
        <v>71.5</v>
      </c>
      <c r="D151" s="56">
        <f>'3. Mode Plot Data'!D151</f>
        <v>110</v>
      </c>
      <c r="E151" s="56">
        <f t="shared" si="1"/>
        <v>38.5</v>
      </c>
      <c r="F151" s="372">
        <f t="shared" si="3"/>
        <v>2400</v>
      </c>
    </row>
    <row r="152" ht="15.75" customHeight="1">
      <c r="A152" s="379">
        <f t="shared" si="2"/>
        <v>894</v>
      </c>
      <c r="B152" s="380" t="s">
        <v>852</v>
      </c>
      <c r="C152" s="357">
        <f>'2. Power by Mode'!$I$15</f>
        <v>71.5</v>
      </c>
      <c r="D152" s="56">
        <f>'3. Mode Plot Data'!D152</f>
        <v>110</v>
      </c>
      <c r="E152" s="56">
        <f t="shared" si="1"/>
        <v>38.5</v>
      </c>
      <c r="F152" s="372">
        <f t="shared" si="3"/>
        <v>2400</v>
      </c>
    </row>
    <row r="153" ht="15.75" customHeight="1">
      <c r="A153" s="379">
        <f t="shared" si="2"/>
        <v>900</v>
      </c>
      <c r="B153" s="380" t="s">
        <v>852</v>
      </c>
      <c r="C153" s="357">
        <f>'2. Power by Mode'!$I$15</f>
        <v>71.5</v>
      </c>
      <c r="D153" s="56">
        <f>'3. Mode Plot Data'!D153</f>
        <v>110</v>
      </c>
      <c r="E153" s="56">
        <f t="shared" si="1"/>
        <v>38.5</v>
      </c>
      <c r="F153" s="372">
        <f t="shared" si="3"/>
        <v>2400</v>
      </c>
    </row>
    <row r="154" ht="15.75" customHeight="1">
      <c r="A154" s="379">
        <f t="shared" si="2"/>
        <v>906</v>
      </c>
      <c r="B154" s="380" t="s">
        <v>852</v>
      </c>
      <c r="C154" s="357">
        <f>'2. Power by Mode'!$I$15</f>
        <v>71.5</v>
      </c>
      <c r="D154" s="56">
        <f>'3. Mode Plot Data'!D154</f>
        <v>110</v>
      </c>
      <c r="E154" s="56">
        <f t="shared" si="1"/>
        <v>38.5</v>
      </c>
      <c r="F154" s="372">
        <f t="shared" si="3"/>
        <v>2400</v>
      </c>
    </row>
    <row r="155" ht="15.75" customHeight="1">
      <c r="A155" s="379">
        <f t="shared" si="2"/>
        <v>912</v>
      </c>
      <c r="B155" s="380" t="s">
        <v>852</v>
      </c>
      <c r="C155" s="357">
        <f>'2. Power by Mode'!$I$15</f>
        <v>71.5</v>
      </c>
      <c r="D155" s="56">
        <f>'3. Mode Plot Data'!D155</f>
        <v>110</v>
      </c>
      <c r="E155" s="56">
        <f t="shared" si="1"/>
        <v>38.5</v>
      </c>
      <c r="F155" s="372">
        <f t="shared" si="3"/>
        <v>2400</v>
      </c>
    </row>
    <row r="156" ht="15.75" customHeight="1">
      <c r="A156" s="379">
        <f t="shared" si="2"/>
        <v>918</v>
      </c>
      <c r="B156" s="380" t="s">
        <v>852</v>
      </c>
      <c r="C156" s="357">
        <f>'2. Power by Mode'!$I$15</f>
        <v>71.5</v>
      </c>
      <c r="D156" s="56">
        <f>'3. Mode Plot Data'!D156</f>
        <v>110</v>
      </c>
      <c r="E156" s="56">
        <f t="shared" si="1"/>
        <v>38.5</v>
      </c>
      <c r="F156" s="372">
        <f t="shared" si="3"/>
        <v>2400</v>
      </c>
    </row>
    <row r="157" ht="15.75" customHeight="1">
      <c r="A157" s="379">
        <f t="shared" si="2"/>
        <v>924</v>
      </c>
      <c r="B157" s="380" t="s">
        <v>852</v>
      </c>
      <c r="C157" s="357">
        <f>'2. Power by Mode'!$I$15</f>
        <v>71.5</v>
      </c>
      <c r="D157" s="56">
        <f>'3. Mode Plot Data'!D157</f>
        <v>110</v>
      </c>
      <c r="E157" s="56">
        <f t="shared" si="1"/>
        <v>38.5</v>
      </c>
      <c r="F157" s="372">
        <f t="shared" si="3"/>
        <v>2400</v>
      </c>
    </row>
    <row r="158" ht="15.75" customHeight="1">
      <c r="A158" s="379">
        <f t="shared" si="2"/>
        <v>930</v>
      </c>
      <c r="B158" s="380" t="s">
        <v>852</v>
      </c>
      <c r="C158" s="357">
        <f>'2. Power by Mode'!$I$15</f>
        <v>71.5</v>
      </c>
      <c r="D158" s="56">
        <f>'3. Mode Plot Data'!D158</f>
        <v>110</v>
      </c>
      <c r="E158" s="56">
        <f t="shared" si="1"/>
        <v>38.5</v>
      </c>
      <c r="F158" s="372">
        <f t="shared" si="3"/>
        <v>2400</v>
      </c>
    </row>
    <row r="159" ht="15.75" customHeight="1">
      <c r="A159" s="379">
        <f t="shared" si="2"/>
        <v>936</v>
      </c>
      <c r="B159" s="380" t="s">
        <v>852</v>
      </c>
      <c r="C159" s="357">
        <f>'2. Power by Mode'!$I$15</f>
        <v>71.5</v>
      </c>
      <c r="D159" s="56">
        <f>'3. Mode Plot Data'!D159</f>
        <v>110</v>
      </c>
      <c r="E159" s="56">
        <f t="shared" si="1"/>
        <v>38.5</v>
      </c>
      <c r="F159" s="372">
        <f t="shared" si="3"/>
        <v>2400</v>
      </c>
    </row>
    <row r="160" ht="15.75" customHeight="1">
      <c r="A160" s="379">
        <f t="shared" si="2"/>
        <v>942</v>
      </c>
      <c r="B160" s="380" t="s">
        <v>852</v>
      </c>
      <c r="C160" s="357">
        <f>'2. Power by Mode'!$I$15</f>
        <v>71.5</v>
      </c>
      <c r="D160" s="56">
        <f>'3. Mode Plot Data'!D160</f>
        <v>110</v>
      </c>
      <c r="E160" s="56">
        <f t="shared" si="1"/>
        <v>38.5</v>
      </c>
      <c r="F160" s="372">
        <f t="shared" si="3"/>
        <v>2400</v>
      </c>
    </row>
    <row r="161" ht="15.75" customHeight="1">
      <c r="A161" s="379">
        <f t="shared" si="2"/>
        <v>948</v>
      </c>
      <c r="B161" s="380" t="s">
        <v>852</v>
      </c>
      <c r="C161" s="357">
        <f>'2. Power by Mode'!$I$15</f>
        <v>71.5</v>
      </c>
      <c r="D161" s="56">
        <f>'3. Mode Plot Data'!D161</f>
        <v>110</v>
      </c>
      <c r="E161" s="56">
        <f t="shared" si="1"/>
        <v>38.5</v>
      </c>
      <c r="F161" s="372">
        <f t="shared" si="3"/>
        <v>2400</v>
      </c>
    </row>
    <row r="162" ht="15.75" customHeight="1">
      <c r="A162" s="379">
        <f t="shared" si="2"/>
        <v>954</v>
      </c>
      <c r="B162" s="380" t="s">
        <v>852</v>
      </c>
      <c r="C162" s="357">
        <f>'2. Power by Mode'!$I$15</f>
        <v>71.5</v>
      </c>
      <c r="D162" s="56">
        <f>'3. Mode Plot Data'!D162</f>
        <v>110</v>
      </c>
      <c r="E162" s="56">
        <f t="shared" si="1"/>
        <v>38.5</v>
      </c>
      <c r="F162" s="372">
        <f t="shared" si="3"/>
        <v>2400</v>
      </c>
    </row>
    <row r="163" ht="15.75" customHeight="1">
      <c r="A163" s="379">
        <f t="shared" si="2"/>
        <v>960</v>
      </c>
      <c r="B163" s="380" t="s">
        <v>849</v>
      </c>
      <c r="C163" s="357">
        <f>'2. Power by Mode'!$F$15</f>
        <v>70.5</v>
      </c>
      <c r="D163" s="56">
        <f>'3. Mode Plot Data'!D163</f>
        <v>110</v>
      </c>
      <c r="E163" s="56">
        <f t="shared" si="1"/>
        <v>39.5</v>
      </c>
      <c r="F163" s="372">
        <f t="shared" si="3"/>
        <v>2400</v>
      </c>
    </row>
    <row r="164" ht="15.75" customHeight="1">
      <c r="A164" s="379">
        <f t="shared" si="2"/>
        <v>966</v>
      </c>
      <c r="B164" s="380" t="s">
        <v>849</v>
      </c>
      <c r="C164" s="357">
        <f>'2. Power by Mode'!$F$15</f>
        <v>70.5</v>
      </c>
      <c r="D164" s="56">
        <f>'3. Mode Plot Data'!D164</f>
        <v>110</v>
      </c>
      <c r="E164" s="56">
        <f t="shared" si="1"/>
        <v>39.5</v>
      </c>
      <c r="F164" s="372">
        <f t="shared" si="3"/>
        <v>2400</v>
      </c>
    </row>
    <row r="165" ht="15.75" customHeight="1">
      <c r="A165" s="379">
        <f t="shared" si="2"/>
        <v>972</v>
      </c>
      <c r="B165" s="380" t="s">
        <v>849</v>
      </c>
      <c r="C165" s="357">
        <f>'2. Power by Mode'!$F$15</f>
        <v>70.5</v>
      </c>
      <c r="D165" s="56">
        <f>'3. Mode Plot Data'!D165</f>
        <v>110</v>
      </c>
      <c r="E165" s="56">
        <f t="shared" si="1"/>
        <v>39.5</v>
      </c>
      <c r="F165" s="372">
        <f t="shared" si="3"/>
        <v>2400</v>
      </c>
    </row>
    <row r="166" ht="15.75" customHeight="1">
      <c r="A166" s="379">
        <f t="shared" si="2"/>
        <v>978</v>
      </c>
      <c r="B166" s="380" t="s">
        <v>849</v>
      </c>
      <c r="C166" s="357">
        <f>'2. Power by Mode'!$F$15</f>
        <v>70.5</v>
      </c>
      <c r="D166" s="56">
        <f>'3. Mode Plot Data'!D166</f>
        <v>110</v>
      </c>
      <c r="E166" s="56">
        <f t="shared" si="1"/>
        <v>39.5</v>
      </c>
      <c r="F166" s="372">
        <f t="shared" si="3"/>
        <v>2400</v>
      </c>
    </row>
    <row r="167" ht="15.75" customHeight="1">
      <c r="A167" s="379">
        <f t="shared" si="2"/>
        <v>984</v>
      </c>
      <c r="B167" s="380" t="s">
        <v>849</v>
      </c>
      <c r="C167" s="357">
        <f>'2. Power by Mode'!$F$15</f>
        <v>70.5</v>
      </c>
      <c r="D167" s="56">
        <f>'3. Mode Plot Data'!D167</f>
        <v>110</v>
      </c>
      <c r="E167" s="56">
        <f t="shared" si="1"/>
        <v>39.5</v>
      </c>
      <c r="F167" s="372">
        <f t="shared" si="3"/>
        <v>2400</v>
      </c>
    </row>
    <row r="168" ht="15.75" customHeight="1">
      <c r="A168" s="379">
        <f t="shared" si="2"/>
        <v>990</v>
      </c>
      <c r="B168" s="380" t="s">
        <v>849</v>
      </c>
      <c r="C168" s="357">
        <f>'2. Power by Mode'!$F$15</f>
        <v>70.5</v>
      </c>
      <c r="D168" s="56">
        <f>'3. Mode Plot Data'!D168</f>
        <v>110</v>
      </c>
      <c r="E168" s="56">
        <f t="shared" si="1"/>
        <v>39.5</v>
      </c>
      <c r="F168" s="372">
        <f t="shared" si="3"/>
        <v>2400</v>
      </c>
    </row>
    <row r="169" ht="15.75" customHeight="1">
      <c r="A169" s="379">
        <f t="shared" si="2"/>
        <v>996</v>
      </c>
      <c r="B169" s="380" t="s">
        <v>849</v>
      </c>
      <c r="C169" s="357">
        <f>'2. Power by Mode'!$F$15</f>
        <v>70.5</v>
      </c>
      <c r="D169" s="56">
        <f>'3. Mode Plot Data'!D169</f>
        <v>110</v>
      </c>
      <c r="E169" s="56">
        <f t="shared" si="1"/>
        <v>39.5</v>
      </c>
      <c r="F169" s="372">
        <f t="shared" si="3"/>
        <v>2400</v>
      </c>
    </row>
    <row r="170" ht="15.75" customHeight="1">
      <c r="A170" s="379">
        <f t="shared" si="2"/>
        <v>1002</v>
      </c>
      <c r="B170" s="380" t="s">
        <v>849</v>
      </c>
      <c r="C170" s="357">
        <f>'2. Power by Mode'!$F$15</f>
        <v>70.5</v>
      </c>
      <c r="D170" s="56">
        <f>'3. Mode Plot Data'!D170</f>
        <v>110</v>
      </c>
      <c r="E170" s="56">
        <f t="shared" si="1"/>
        <v>39.5</v>
      </c>
      <c r="F170" s="372">
        <f t="shared" si="3"/>
        <v>2400</v>
      </c>
    </row>
    <row r="171" ht="15.75" customHeight="1">
      <c r="A171" s="379">
        <f t="shared" si="2"/>
        <v>1008</v>
      </c>
      <c r="B171" s="380" t="s">
        <v>849</v>
      </c>
      <c r="C171" s="357">
        <f>'2. Power by Mode'!$F$15</f>
        <v>70.5</v>
      </c>
      <c r="D171" s="56">
        <f>'3. Mode Plot Data'!D171</f>
        <v>110</v>
      </c>
      <c r="E171" s="56">
        <f t="shared" si="1"/>
        <v>39.5</v>
      </c>
      <c r="F171" s="372">
        <f t="shared" si="3"/>
        <v>2400</v>
      </c>
    </row>
    <row r="172" ht="15.75" customHeight="1">
      <c r="A172" s="379">
        <f t="shared" si="2"/>
        <v>1014</v>
      </c>
      <c r="B172" s="380" t="s">
        <v>849</v>
      </c>
      <c r="C172" s="357">
        <f>'2. Power by Mode'!$F$15</f>
        <v>70.5</v>
      </c>
      <c r="D172" s="56">
        <f>'3. Mode Plot Data'!D172</f>
        <v>110</v>
      </c>
      <c r="E172" s="56">
        <f t="shared" si="1"/>
        <v>39.5</v>
      </c>
      <c r="F172" s="372">
        <f t="shared" si="3"/>
        <v>2400</v>
      </c>
    </row>
    <row r="173" ht="15.75" customHeight="1">
      <c r="A173" s="379">
        <f t="shared" si="2"/>
        <v>1020</v>
      </c>
      <c r="B173" s="380" t="s">
        <v>849</v>
      </c>
      <c r="C173" s="357">
        <f>'2. Power by Mode'!$F$15</f>
        <v>70.5</v>
      </c>
      <c r="D173" s="56">
        <f>'3. Mode Plot Data'!D173</f>
        <v>110</v>
      </c>
      <c r="E173" s="56">
        <f t="shared" si="1"/>
        <v>39.5</v>
      </c>
      <c r="F173" s="372">
        <f t="shared" si="3"/>
        <v>2400</v>
      </c>
    </row>
    <row r="174" ht="15.75" customHeight="1">
      <c r="A174" s="379">
        <f t="shared" si="2"/>
        <v>1026</v>
      </c>
      <c r="B174" s="380" t="s">
        <v>849</v>
      </c>
      <c r="C174" s="357">
        <f>'2. Power by Mode'!$F$15</f>
        <v>70.5</v>
      </c>
      <c r="D174" s="56">
        <f>'3. Mode Plot Data'!D174</f>
        <v>110</v>
      </c>
      <c r="E174" s="56">
        <f t="shared" si="1"/>
        <v>39.5</v>
      </c>
      <c r="F174" s="372">
        <f t="shared" si="3"/>
        <v>2400</v>
      </c>
    </row>
    <row r="175" ht="15.75" customHeight="1">
      <c r="A175" s="379">
        <f t="shared" si="2"/>
        <v>1032</v>
      </c>
      <c r="B175" s="380" t="s">
        <v>849</v>
      </c>
      <c r="C175" s="357">
        <f>'2. Power by Mode'!$F$15</f>
        <v>70.5</v>
      </c>
      <c r="D175" s="56">
        <f>'3. Mode Plot Data'!D175</f>
        <v>110</v>
      </c>
      <c r="E175" s="56">
        <f t="shared" si="1"/>
        <v>39.5</v>
      </c>
      <c r="F175" s="372">
        <f t="shared" si="3"/>
        <v>2400</v>
      </c>
    </row>
    <row r="176" ht="15.75" customHeight="1">
      <c r="A176" s="379">
        <f t="shared" si="2"/>
        <v>1038</v>
      </c>
      <c r="B176" s="380" t="s">
        <v>849</v>
      </c>
      <c r="C176" s="357">
        <f>'2. Power by Mode'!$F$15</f>
        <v>70.5</v>
      </c>
      <c r="D176" s="56">
        <f>'3. Mode Plot Data'!D176</f>
        <v>110</v>
      </c>
      <c r="E176" s="56">
        <f t="shared" si="1"/>
        <v>39.5</v>
      </c>
      <c r="F176" s="372">
        <f t="shared" si="3"/>
        <v>2400</v>
      </c>
    </row>
    <row r="177" ht="15.75" customHeight="1">
      <c r="A177" s="379">
        <f t="shared" si="2"/>
        <v>1044</v>
      </c>
      <c r="B177" s="380" t="s">
        <v>849</v>
      </c>
      <c r="C177" s="357">
        <f>'2. Power by Mode'!$F$15</f>
        <v>70.5</v>
      </c>
      <c r="D177" s="56">
        <f>'3. Mode Plot Data'!D177</f>
        <v>110</v>
      </c>
      <c r="E177" s="56">
        <f t="shared" si="1"/>
        <v>39.5</v>
      </c>
      <c r="F177" s="372">
        <f t="shared" si="3"/>
        <v>2400</v>
      </c>
    </row>
    <row r="178" ht="15.75" customHeight="1">
      <c r="A178" s="379">
        <f t="shared" si="2"/>
        <v>1050</v>
      </c>
      <c r="B178" s="380" t="s">
        <v>849</v>
      </c>
      <c r="C178" s="357">
        <f>'2. Power by Mode'!$F$15</f>
        <v>70.5</v>
      </c>
      <c r="D178" s="56">
        <f>'3. Mode Plot Data'!D178</f>
        <v>110</v>
      </c>
      <c r="E178" s="56">
        <f t="shared" si="1"/>
        <v>39.5</v>
      </c>
      <c r="F178" s="372">
        <f t="shared" si="3"/>
        <v>2400</v>
      </c>
    </row>
    <row r="179" ht="15.75" customHeight="1">
      <c r="A179" s="379">
        <f t="shared" si="2"/>
        <v>1056</v>
      </c>
      <c r="B179" s="380" t="s">
        <v>849</v>
      </c>
      <c r="C179" s="357">
        <f>'2. Power by Mode'!$F$15</f>
        <v>70.5</v>
      </c>
      <c r="D179" s="56">
        <f>'3. Mode Plot Data'!D179</f>
        <v>110</v>
      </c>
      <c r="E179" s="56">
        <f t="shared" si="1"/>
        <v>39.5</v>
      </c>
      <c r="F179" s="372">
        <f t="shared" si="3"/>
        <v>2400</v>
      </c>
    </row>
    <row r="180" ht="15.75" customHeight="1">
      <c r="A180" s="379">
        <f t="shared" si="2"/>
        <v>1062</v>
      </c>
      <c r="B180" s="380" t="s">
        <v>849</v>
      </c>
      <c r="C180" s="357">
        <f>'2. Power by Mode'!$F$15</f>
        <v>70.5</v>
      </c>
      <c r="D180" s="56">
        <f>'3. Mode Plot Data'!D180</f>
        <v>110</v>
      </c>
      <c r="E180" s="56">
        <f t="shared" si="1"/>
        <v>39.5</v>
      </c>
      <c r="F180" s="372">
        <f t="shared" si="3"/>
        <v>2400</v>
      </c>
    </row>
    <row r="181" ht="15.75" customHeight="1">
      <c r="A181" s="379">
        <f t="shared" si="2"/>
        <v>1068</v>
      </c>
      <c r="B181" s="380" t="s">
        <v>849</v>
      </c>
      <c r="C181" s="357">
        <f>'2. Power by Mode'!$F$15</f>
        <v>70.5</v>
      </c>
      <c r="D181" s="56">
        <f>'3. Mode Plot Data'!D181</f>
        <v>110</v>
      </c>
      <c r="E181" s="56">
        <f t="shared" si="1"/>
        <v>39.5</v>
      </c>
      <c r="F181" s="372">
        <f t="shared" si="3"/>
        <v>2400</v>
      </c>
    </row>
    <row r="182" ht="15.75" customHeight="1">
      <c r="A182" s="379">
        <f t="shared" si="2"/>
        <v>1074</v>
      </c>
      <c r="B182" s="380" t="s">
        <v>849</v>
      </c>
      <c r="C182" s="357">
        <f>'2. Power by Mode'!$F$15</f>
        <v>70.5</v>
      </c>
      <c r="D182" s="56">
        <f>'3. Mode Plot Data'!D182</f>
        <v>110</v>
      </c>
      <c r="E182" s="408">
        <f t="shared" si="1"/>
        <v>39.5</v>
      </c>
      <c r="F182" s="373">
        <f t="shared" si="3"/>
        <v>2400</v>
      </c>
    </row>
    <row r="183" ht="15.75" customHeight="1">
      <c r="A183" s="379">
        <f t="shared" si="2"/>
        <v>1080</v>
      </c>
      <c r="B183" s="380" t="s">
        <v>849</v>
      </c>
      <c r="C183" s="357">
        <f>'2. Power by Mode'!$F$15</f>
        <v>70.5</v>
      </c>
      <c r="D183" s="56">
        <f>'3. Mode Plot Data'!D183</f>
        <v>110</v>
      </c>
      <c r="E183" s="56">
        <f t="shared" si="1"/>
        <v>39.5</v>
      </c>
      <c r="F183" s="409">
        <f t="shared" si="3"/>
        <v>2400</v>
      </c>
    </row>
    <row r="184" ht="15.75" customHeight="1">
      <c r="A184" s="379">
        <f t="shared" si="2"/>
        <v>1086</v>
      </c>
      <c r="B184" s="380" t="s">
        <v>849</v>
      </c>
      <c r="C184" s="357">
        <f>'2. Power by Mode'!$F$15</f>
        <v>70.5</v>
      </c>
      <c r="D184" s="56">
        <f>'3. Mode Plot Data'!D184</f>
        <v>110</v>
      </c>
      <c r="E184" s="56">
        <f t="shared" si="1"/>
        <v>39.5</v>
      </c>
      <c r="F184" s="372">
        <f t="shared" si="3"/>
        <v>2400</v>
      </c>
    </row>
    <row r="185" ht="15.75" customHeight="1">
      <c r="A185" s="379">
        <f t="shared" si="2"/>
        <v>1092</v>
      </c>
      <c r="B185" s="380" t="s">
        <v>849</v>
      </c>
      <c r="C185" s="357">
        <f>'2. Power by Mode'!$F$15</f>
        <v>70.5</v>
      </c>
      <c r="D185" s="56">
        <f>'3. Mode Plot Data'!D185</f>
        <v>110</v>
      </c>
      <c r="E185" s="56">
        <f t="shared" si="1"/>
        <v>39.5</v>
      </c>
      <c r="F185" s="372">
        <f t="shared" si="3"/>
        <v>2400</v>
      </c>
    </row>
    <row r="186" ht="15.75" customHeight="1">
      <c r="A186" s="379">
        <f t="shared" si="2"/>
        <v>1098</v>
      </c>
      <c r="B186" s="380" t="s">
        <v>849</v>
      </c>
      <c r="C186" s="357">
        <f>'2. Power by Mode'!$F$15</f>
        <v>70.5</v>
      </c>
      <c r="D186" s="56">
        <f>'3. Mode Plot Data'!D186</f>
        <v>110</v>
      </c>
      <c r="E186" s="56">
        <f t="shared" si="1"/>
        <v>39.5</v>
      </c>
      <c r="F186" s="372">
        <f t="shared" si="3"/>
        <v>2400</v>
      </c>
    </row>
    <row r="187" ht="15.75" customHeight="1">
      <c r="A187" s="379">
        <f t="shared" si="2"/>
        <v>1104</v>
      </c>
      <c r="B187" s="380" t="s">
        <v>849</v>
      </c>
      <c r="C187" s="357">
        <f>'2. Power by Mode'!$F$15</f>
        <v>70.5</v>
      </c>
      <c r="D187" s="56">
        <f>'3. Mode Plot Data'!D187</f>
        <v>110</v>
      </c>
      <c r="E187" s="56">
        <f t="shared" si="1"/>
        <v>39.5</v>
      </c>
      <c r="F187" s="372">
        <f t="shared" si="3"/>
        <v>2400</v>
      </c>
    </row>
    <row r="188" ht="15.75" customHeight="1">
      <c r="A188" s="379">
        <f t="shared" si="2"/>
        <v>1110</v>
      </c>
      <c r="B188" s="380" t="s">
        <v>849</v>
      </c>
      <c r="C188" s="357">
        <f>'2. Power by Mode'!$F$15</f>
        <v>70.5</v>
      </c>
      <c r="D188" s="56">
        <f>'3. Mode Plot Data'!D188</f>
        <v>110</v>
      </c>
      <c r="E188" s="56">
        <f t="shared" si="1"/>
        <v>39.5</v>
      </c>
      <c r="F188" s="372">
        <f t="shared" si="3"/>
        <v>2400</v>
      </c>
    </row>
    <row r="189" ht="15.75" customHeight="1">
      <c r="A189" s="379">
        <f t="shared" si="2"/>
        <v>1116</v>
      </c>
      <c r="B189" s="380" t="s">
        <v>849</v>
      </c>
      <c r="C189" s="357">
        <f>'2. Power by Mode'!$F$15</f>
        <v>70.5</v>
      </c>
      <c r="D189" s="56">
        <f>'3. Mode Plot Data'!D189</f>
        <v>110</v>
      </c>
      <c r="E189" s="56">
        <f t="shared" si="1"/>
        <v>39.5</v>
      </c>
      <c r="F189" s="372">
        <f t="shared" si="3"/>
        <v>2400</v>
      </c>
    </row>
    <row r="190" ht="15.75" customHeight="1">
      <c r="A190" s="379">
        <f t="shared" si="2"/>
        <v>1122</v>
      </c>
      <c r="B190" s="380" t="s">
        <v>849</v>
      </c>
      <c r="C190" s="357">
        <f>'2. Power by Mode'!$F$15</f>
        <v>70.5</v>
      </c>
      <c r="D190" s="56">
        <f>'3. Mode Plot Data'!D190</f>
        <v>110</v>
      </c>
      <c r="E190" s="56">
        <f t="shared" si="1"/>
        <v>39.5</v>
      </c>
      <c r="F190" s="372">
        <f t="shared" si="3"/>
        <v>2400</v>
      </c>
    </row>
    <row r="191" ht="15.75" customHeight="1">
      <c r="A191" s="379">
        <f t="shared" si="2"/>
        <v>1128</v>
      </c>
      <c r="B191" s="380" t="s">
        <v>849</v>
      </c>
      <c r="C191" s="357">
        <f>'2. Power by Mode'!$F$15</f>
        <v>70.5</v>
      </c>
      <c r="D191" s="56">
        <f>'3. Mode Plot Data'!D191</f>
        <v>110</v>
      </c>
      <c r="E191" s="56">
        <f t="shared" si="1"/>
        <v>39.5</v>
      </c>
      <c r="F191" s="372">
        <f t="shared" si="3"/>
        <v>2400</v>
      </c>
    </row>
    <row r="192" ht="15.75" customHeight="1">
      <c r="A192" s="379">
        <f t="shared" si="2"/>
        <v>1134</v>
      </c>
      <c r="B192" s="380" t="s">
        <v>849</v>
      </c>
      <c r="C192" s="357">
        <f>'2. Power by Mode'!$F$15</f>
        <v>70.5</v>
      </c>
      <c r="D192" s="56">
        <f>'3. Mode Plot Data'!D192</f>
        <v>110</v>
      </c>
      <c r="E192" s="56">
        <f t="shared" si="1"/>
        <v>39.5</v>
      </c>
      <c r="F192" s="372">
        <f t="shared" si="3"/>
        <v>2400</v>
      </c>
    </row>
    <row r="193" ht="15.75" customHeight="1">
      <c r="A193" s="379">
        <f t="shared" si="2"/>
        <v>1140</v>
      </c>
      <c r="B193" s="380" t="s">
        <v>849</v>
      </c>
      <c r="C193" s="357">
        <f>'2. Power by Mode'!$F$15</f>
        <v>70.5</v>
      </c>
      <c r="D193" s="56">
        <f>'3. Mode Plot Data'!D193</f>
        <v>110</v>
      </c>
      <c r="E193" s="56">
        <f t="shared" si="1"/>
        <v>39.5</v>
      </c>
      <c r="F193" s="372">
        <f t="shared" si="3"/>
        <v>2400</v>
      </c>
    </row>
    <row r="194" ht="15.75" customHeight="1">
      <c r="A194" s="379">
        <f t="shared" si="2"/>
        <v>1146</v>
      </c>
      <c r="B194" s="380" t="s">
        <v>849</v>
      </c>
      <c r="C194" s="357">
        <f>'2. Power by Mode'!$F$15</f>
        <v>70.5</v>
      </c>
      <c r="D194" s="56">
        <f>'3. Mode Plot Data'!D194</f>
        <v>110</v>
      </c>
      <c r="E194" s="56">
        <f t="shared" si="1"/>
        <v>39.5</v>
      </c>
      <c r="F194" s="372">
        <f t="shared" si="3"/>
        <v>2400</v>
      </c>
    </row>
    <row r="195" ht="15.75" customHeight="1">
      <c r="A195" s="379">
        <f t="shared" si="2"/>
        <v>1152</v>
      </c>
      <c r="B195" s="380" t="s">
        <v>849</v>
      </c>
      <c r="C195" s="357">
        <f>'2. Power by Mode'!$F$15</f>
        <v>70.5</v>
      </c>
      <c r="D195" s="56">
        <f>'3. Mode Plot Data'!D195</f>
        <v>110</v>
      </c>
      <c r="E195" s="56">
        <f t="shared" si="1"/>
        <v>39.5</v>
      </c>
      <c r="F195" s="372">
        <f t="shared" si="3"/>
        <v>2400</v>
      </c>
    </row>
    <row r="196" ht="15.75" customHeight="1">
      <c r="A196" s="379">
        <f t="shared" si="2"/>
        <v>1158</v>
      </c>
      <c r="B196" s="380" t="s">
        <v>849</v>
      </c>
      <c r="C196" s="357">
        <f>'2. Power by Mode'!$F$15</f>
        <v>70.5</v>
      </c>
      <c r="D196" s="56">
        <f>'3. Mode Plot Data'!D196</f>
        <v>110</v>
      </c>
      <c r="E196" s="56">
        <f t="shared" si="1"/>
        <v>39.5</v>
      </c>
      <c r="F196" s="372">
        <f t="shared" si="3"/>
        <v>2400</v>
      </c>
    </row>
    <row r="197" ht="15.75" customHeight="1">
      <c r="A197" s="379">
        <f t="shared" si="2"/>
        <v>1164</v>
      </c>
      <c r="B197" s="380" t="s">
        <v>849</v>
      </c>
      <c r="C197" s="357">
        <f>'2. Power by Mode'!$F$15</f>
        <v>70.5</v>
      </c>
      <c r="D197" s="56">
        <f>'3. Mode Plot Data'!D197</f>
        <v>110</v>
      </c>
      <c r="E197" s="56">
        <f t="shared" si="1"/>
        <v>39.5</v>
      </c>
      <c r="F197" s="372">
        <f t="shared" si="3"/>
        <v>2400</v>
      </c>
    </row>
    <row r="198" ht="15.75" customHeight="1">
      <c r="A198" s="379">
        <f t="shared" si="2"/>
        <v>1170</v>
      </c>
      <c r="B198" s="380" t="s">
        <v>849</v>
      </c>
      <c r="C198" s="357">
        <f>'2. Power by Mode'!$F$15</f>
        <v>70.5</v>
      </c>
      <c r="D198" s="56">
        <f>'3. Mode Plot Data'!D198</f>
        <v>110</v>
      </c>
      <c r="E198" s="56">
        <f t="shared" si="1"/>
        <v>39.5</v>
      </c>
      <c r="F198" s="372">
        <f t="shared" si="3"/>
        <v>2400</v>
      </c>
    </row>
    <row r="199" ht="15.75" customHeight="1">
      <c r="A199" s="379">
        <f t="shared" si="2"/>
        <v>1176</v>
      </c>
      <c r="B199" s="380" t="s">
        <v>849</v>
      </c>
      <c r="C199" s="357">
        <f>'2. Power by Mode'!$F$15</f>
        <v>70.5</v>
      </c>
      <c r="D199" s="56">
        <f>'3. Mode Plot Data'!D199</f>
        <v>110</v>
      </c>
      <c r="E199" s="56">
        <f t="shared" si="1"/>
        <v>39.5</v>
      </c>
      <c r="F199" s="372">
        <f t="shared" si="3"/>
        <v>2400</v>
      </c>
    </row>
    <row r="200" ht="15.75" customHeight="1">
      <c r="A200" s="379">
        <f t="shared" si="2"/>
        <v>1182</v>
      </c>
      <c r="B200" s="380" t="s">
        <v>849</v>
      </c>
      <c r="C200" s="357">
        <f>'2. Power by Mode'!$F$15</f>
        <v>70.5</v>
      </c>
      <c r="D200" s="56">
        <f>'3. Mode Plot Data'!D200</f>
        <v>110</v>
      </c>
      <c r="E200" s="56">
        <f t="shared" si="1"/>
        <v>39.5</v>
      </c>
      <c r="F200" s="372">
        <f t="shared" si="3"/>
        <v>2400</v>
      </c>
    </row>
    <row r="201" ht="15.75" customHeight="1">
      <c r="A201" s="379">
        <f t="shared" si="2"/>
        <v>1188</v>
      </c>
      <c r="B201" s="380" t="s">
        <v>849</v>
      </c>
      <c r="C201" s="357">
        <f>'2. Power by Mode'!$F$15</f>
        <v>70.5</v>
      </c>
      <c r="D201" s="56">
        <f>'3. Mode Plot Data'!D201</f>
        <v>110</v>
      </c>
      <c r="E201" s="56">
        <f t="shared" si="1"/>
        <v>39.5</v>
      </c>
      <c r="F201" s="372">
        <f t="shared" si="3"/>
        <v>2400</v>
      </c>
    </row>
    <row r="202" ht="15.75" customHeight="1">
      <c r="A202" s="379">
        <f t="shared" si="2"/>
        <v>1194</v>
      </c>
      <c r="B202" s="380" t="s">
        <v>849</v>
      </c>
      <c r="C202" s="357">
        <f>'2. Power by Mode'!$F$15</f>
        <v>70.5</v>
      </c>
      <c r="D202" s="56">
        <f>'3. Mode Plot Data'!D202</f>
        <v>110</v>
      </c>
      <c r="E202" s="56">
        <f t="shared" si="1"/>
        <v>39.5</v>
      </c>
      <c r="F202" s="372">
        <f t="shared" si="3"/>
        <v>2400</v>
      </c>
    </row>
    <row r="203" ht="15.75" customHeight="1">
      <c r="A203" s="379">
        <f t="shared" si="2"/>
        <v>1200</v>
      </c>
      <c r="B203" s="380" t="s">
        <v>849</v>
      </c>
      <c r="C203" s="357">
        <f>'2. Power by Mode'!$F$15</f>
        <v>70.5</v>
      </c>
      <c r="D203" s="56">
        <f>'3. Mode Plot Data'!D203</f>
        <v>110</v>
      </c>
      <c r="E203" s="56">
        <f t="shared" si="1"/>
        <v>39.5</v>
      </c>
      <c r="F203" s="372">
        <f t="shared" si="3"/>
        <v>2400</v>
      </c>
    </row>
    <row r="204" ht="15.75" customHeight="1">
      <c r="A204" s="379">
        <f t="shared" si="2"/>
        <v>1206</v>
      </c>
      <c r="B204" s="380" t="s">
        <v>849</v>
      </c>
      <c r="C204" s="357">
        <f>'2. Power by Mode'!$F$15</f>
        <v>70.5</v>
      </c>
      <c r="D204" s="56">
        <f>'3. Mode Plot Data'!D204</f>
        <v>110</v>
      </c>
      <c r="E204" s="56">
        <f t="shared" si="1"/>
        <v>39.5</v>
      </c>
      <c r="F204" s="372">
        <f t="shared" si="3"/>
        <v>2400</v>
      </c>
    </row>
    <row r="205" ht="15.75" customHeight="1">
      <c r="A205" s="379">
        <f t="shared" si="2"/>
        <v>1212</v>
      </c>
      <c r="B205" s="380" t="s">
        <v>849</v>
      </c>
      <c r="C205" s="357">
        <f>'2. Power by Mode'!$F$15</f>
        <v>70.5</v>
      </c>
      <c r="D205" s="56">
        <f>'3. Mode Plot Data'!D205</f>
        <v>110</v>
      </c>
      <c r="E205" s="56">
        <f t="shared" si="1"/>
        <v>39.5</v>
      </c>
      <c r="F205" s="372">
        <f t="shared" si="3"/>
        <v>2400</v>
      </c>
    </row>
    <row r="206" ht="15.75" customHeight="1">
      <c r="A206" s="379">
        <f t="shared" si="2"/>
        <v>1218</v>
      </c>
      <c r="B206" s="380" t="s">
        <v>849</v>
      </c>
      <c r="C206" s="357">
        <f>'2. Power by Mode'!$F$15</f>
        <v>70.5</v>
      </c>
      <c r="D206" s="56">
        <f>'3. Mode Plot Data'!D206</f>
        <v>110</v>
      </c>
      <c r="E206" s="56">
        <f t="shared" si="1"/>
        <v>39.5</v>
      </c>
      <c r="F206" s="372">
        <f t="shared" si="3"/>
        <v>2400</v>
      </c>
    </row>
    <row r="207" ht="15.75" customHeight="1">
      <c r="A207" s="379">
        <f t="shared" si="2"/>
        <v>1224</v>
      </c>
      <c r="B207" s="380" t="s">
        <v>849</v>
      </c>
      <c r="C207" s="357">
        <f>'2. Power by Mode'!$F$15</f>
        <v>70.5</v>
      </c>
      <c r="D207" s="56">
        <f>'3. Mode Plot Data'!D207</f>
        <v>110</v>
      </c>
      <c r="E207" s="56">
        <f t="shared" si="1"/>
        <v>39.5</v>
      </c>
      <c r="F207" s="372">
        <f t="shared" si="3"/>
        <v>2400</v>
      </c>
    </row>
    <row r="208" ht="15.75" customHeight="1">
      <c r="A208" s="379">
        <f t="shared" si="2"/>
        <v>1230</v>
      </c>
      <c r="B208" s="380" t="s">
        <v>849</v>
      </c>
      <c r="C208" s="357">
        <f>'2. Power by Mode'!$F$15</f>
        <v>70.5</v>
      </c>
      <c r="D208" s="56">
        <f>'3. Mode Plot Data'!D208</f>
        <v>110</v>
      </c>
      <c r="E208" s="56">
        <f t="shared" si="1"/>
        <v>39.5</v>
      </c>
      <c r="F208" s="372">
        <f t="shared" si="3"/>
        <v>2400</v>
      </c>
    </row>
    <row r="209" ht="15.75" customHeight="1">
      <c r="A209" s="379">
        <f t="shared" si="2"/>
        <v>1236</v>
      </c>
      <c r="B209" s="380" t="s">
        <v>849</v>
      </c>
      <c r="C209" s="357">
        <f>'2. Power by Mode'!$F$15</f>
        <v>70.5</v>
      </c>
      <c r="D209" s="56">
        <f>'3. Mode Plot Data'!D209</f>
        <v>110</v>
      </c>
      <c r="E209" s="56">
        <f t="shared" si="1"/>
        <v>39.5</v>
      </c>
      <c r="F209" s="372">
        <f t="shared" si="3"/>
        <v>2400</v>
      </c>
    </row>
    <row r="210" ht="15.75" customHeight="1">
      <c r="A210" s="379">
        <f t="shared" si="2"/>
        <v>1242</v>
      </c>
      <c r="B210" s="380" t="s">
        <v>849</v>
      </c>
      <c r="C210" s="357">
        <f>'2. Power by Mode'!$F$15</f>
        <v>70.5</v>
      </c>
      <c r="D210" s="56">
        <f>'3. Mode Plot Data'!D210</f>
        <v>110</v>
      </c>
      <c r="E210" s="56">
        <f t="shared" si="1"/>
        <v>39.5</v>
      </c>
      <c r="F210" s="372">
        <f t="shared" si="3"/>
        <v>2400</v>
      </c>
    </row>
    <row r="211" ht="15.75" customHeight="1">
      <c r="A211" s="379">
        <f t="shared" si="2"/>
        <v>1248</v>
      </c>
      <c r="B211" s="380" t="s">
        <v>849</v>
      </c>
      <c r="C211" s="357">
        <f>'2. Power by Mode'!$F$15</f>
        <v>70.5</v>
      </c>
      <c r="D211" s="56">
        <f>'3. Mode Plot Data'!D211</f>
        <v>110</v>
      </c>
      <c r="E211" s="56">
        <f t="shared" si="1"/>
        <v>39.5</v>
      </c>
      <c r="F211" s="372">
        <f t="shared" si="3"/>
        <v>2400</v>
      </c>
    </row>
    <row r="212" ht="15.75" customHeight="1">
      <c r="A212" s="379">
        <f t="shared" si="2"/>
        <v>1254</v>
      </c>
      <c r="B212" s="380" t="s">
        <v>849</v>
      </c>
      <c r="C212" s="357">
        <f>'2. Power by Mode'!$F$15</f>
        <v>70.5</v>
      </c>
      <c r="D212" s="56">
        <f>'3. Mode Plot Data'!D212</f>
        <v>110</v>
      </c>
      <c r="E212" s="56">
        <f t="shared" si="1"/>
        <v>39.5</v>
      </c>
      <c r="F212" s="372">
        <f t="shared" si="3"/>
        <v>2400</v>
      </c>
    </row>
    <row r="213" ht="15.75" customHeight="1">
      <c r="A213" s="379">
        <f t="shared" si="2"/>
        <v>1260</v>
      </c>
      <c r="B213" s="380" t="s">
        <v>849</v>
      </c>
      <c r="C213" s="357">
        <f>'2. Power by Mode'!$F$15</f>
        <v>70.5</v>
      </c>
      <c r="D213" s="56">
        <f>'3. Mode Plot Data'!D213</f>
        <v>110</v>
      </c>
      <c r="E213" s="56">
        <f t="shared" si="1"/>
        <v>39.5</v>
      </c>
      <c r="F213" s="372">
        <f t="shared" si="3"/>
        <v>2400</v>
      </c>
    </row>
    <row r="214" ht="15.75" customHeight="1">
      <c r="A214" s="379">
        <f t="shared" si="2"/>
        <v>1266</v>
      </c>
      <c r="B214" s="380" t="s">
        <v>849</v>
      </c>
      <c r="C214" s="357">
        <f>'2. Power by Mode'!$F$15</f>
        <v>70.5</v>
      </c>
      <c r="D214" s="56">
        <f>'3. Mode Plot Data'!D214</f>
        <v>110</v>
      </c>
      <c r="E214" s="56">
        <f t="shared" si="1"/>
        <v>39.5</v>
      </c>
      <c r="F214" s="372">
        <f t="shared" si="3"/>
        <v>2400</v>
      </c>
    </row>
    <row r="215" ht="15.75" customHeight="1">
      <c r="A215" s="379">
        <f t="shared" si="2"/>
        <v>1272</v>
      </c>
      <c r="B215" s="380" t="s">
        <v>849</v>
      </c>
      <c r="C215" s="357">
        <f>'2. Power by Mode'!$F$15</f>
        <v>70.5</v>
      </c>
      <c r="D215" s="56">
        <f>'3. Mode Plot Data'!D215</f>
        <v>110</v>
      </c>
      <c r="E215" s="56">
        <f t="shared" si="1"/>
        <v>39.5</v>
      </c>
      <c r="F215" s="372">
        <f t="shared" si="3"/>
        <v>2400</v>
      </c>
    </row>
    <row r="216" ht="15.75" customHeight="1">
      <c r="A216" s="379">
        <f t="shared" si="2"/>
        <v>1278</v>
      </c>
      <c r="B216" s="380" t="s">
        <v>849</v>
      </c>
      <c r="C216" s="357">
        <f>'2. Power by Mode'!$F$15</f>
        <v>70.5</v>
      </c>
      <c r="D216" s="56">
        <f>'3. Mode Plot Data'!D216</f>
        <v>110</v>
      </c>
      <c r="E216" s="56">
        <f t="shared" si="1"/>
        <v>39.5</v>
      </c>
      <c r="F216" s="372">
        <f t="shared" si="3"/>
        <v>2400</v>
      </c>
    </row>
    <row r="217" ht="15.75" customHeight="1">
      <c r="A217" s="379">
        <f t="shared" si="2"/>
        <v>1284</v>
      </c>
      <c r="B217" s="380" t="s">
        <v>849</v>
      </c>
      <c r="C217" s="357">
        <f>'2. Power by Mode'!$F$15</f>
        <v>70.5</v>
      </c>
      <c r="D217" s="56">
        <f>'3. Mode Plot Data'!D217</f>
        <v>110</v>
      </c>
      <c r="E217" s="56">
        <f t="shared" si="1"/>
        <v>39.5</v>
      </c>
      <c r="F217" s="372">
        <f t="shared" si="3"/>
        <v>2400</v>
      </c>
    </row>
    <row r="218" ht="15.75" customHeight="1">
      <c r="A218" s="379">
        <f t="shared" si="2"/>
        <v>1290</v>
      </c>
      <c r="B218" s="380" t="s">
        <v>849</v>
      </c>
      <c r="C218" s="357">
        <f>'2. Power by Mode'!$F$15</f>
        <v>70.5</v>
      </c>
      <c r="D218" s="56">
        <f>'3. Mode Plot Data'!D218</f>
        <v>110</v>
      </c>
      <c r="E218" s="56">
        <f t="shared" si="1"/>
        <v>39.5</v>
      </c>
      <c r="F218" s="372">
        <f t="shared" si="3"/>
        <v>2400</v>
      </c>
    </row>
    <row r="219" ht="15.75" customHeight="1">
      <c r="A219" s="379">
        <f t="shared" si="2"/>
        <v>1296</v>
      </c>
      <c r="B219" s="380" t="s">
        <v>849</v>
      </c>
      <c r="C219" s="357">
        <f>'2. Power by Mode'!$F$15</f>
        <v>70.5</v>
      </c>
      <c r="D219" s="56">
        <f>'3. Mode Plot Data'!D219</f>
        <v>110</v>
      </c>
      <c r="E219" s="56">
        <f t="shared" si="1"/>
        <v>39.5</v>
      </c>
      <c r="F219" s="372">
        <f t="shared" si="3"/>
        <v>2400</v>
      </c>
    </row>
    <row r="220" ht="15.75" customHeight="1">
      <c r="A220" s="379">
        <f t="shared" si="2"/>
        <v>1302</v>
      </c>
      <c r="B220" s="380" t="s">
        <v>849</v>
      </c>
      <c r="C220" s="357">
        <f>'2. Power by Mode'!$F$15</f>
        <v>70.5</v>
      </c>
      <c r="D220" s="56">
        <f>'3. Mode Plot Data'!D220</f>
        <v>110</v>
      </c>
      <c r="E220" s="56">
        <f t="shared" si="1"/>
        <v>39.5</v>
      </c>
      <c r="F220" s="372">
        <f t="shared" si="3"/>
        <v>2400</v>
      </c>
    </row>
    <row r="221" ht="15.75" customHeight="1">
      <c r="A221" s="379">
        <f t="shared" si="2"/>
        <v>1308</v>
      </c>
      <c r="B221" s="380" t="s">
        <v>849</v>
      </c>
      <c r="C221" s="357">
        <f>'2. Power by Mode'!$F$15</f>
        <v>70.5</v>
      </c>
      <c r="D221" s="56">
        <f>'3. Mode Plot Data'!D221</f>
        <v>110</v>
      </c>
      <c r="E221" s="56">
        <f t="shared" si="1"/>
        <v>39.5</v>
      </c>
      <c r="F221" s="372">
        <f t="shared" si="3"/>
        <v>2400</v>
      </c>
    </row>
    <row r="222" ht="15.75" customHeight="1">
      <c r="A222" s="379">
        <f t="shared" si="2"/>
        <v>1314</v>
      </c>
      <c r="B222" s="380" t="s">
        <v>849</v>
      </c>
      <c r="C222" s="357">
        <f>'2. Power by Mode'!$F$15</f>
        <v>70.5</v>
      </c>
      <c r="D222" s="56">
        <f>'3. Mode Plot Data'!D222</f>
        <v>110</v>
      </c>
      <c r="E222" s="56">
        <f t="shared" si="1"/>
        <v>39.5</v>
      </c>
      <c r="F222" s="372">
        <f t="shared" si="3"/>
        <v>2400</v>
      </c>
    </row>
    <row r="223" ht="15.75" customHeight="1">
      <c r="A223" s="379">
        <f t="shared" si="2"/>
        <v>1320</v>
      </c>
      <c r="B223" s="380" t="s">
        <v>849</v>
      </c>
      <c r="C223" s="357">
        <f>'2. Power by Mode'!$F$15</f>
        <v>70.5</v>
      </c>
      <c r="D223" s="56">
        <f>'3. Mode Plot Data'!D223</f>
        <v>110</v>
      </c>
      <c r="E223" s="56">
        <f t="shared" si="1"/>
        <v>39.5</v>
      </c>
      <c r="F223" s="372">
        <f t="shared" si="3"/>
        <v>2400</v>
      </c>
    </row>
    <row r="224" ht="15.75" customHeight="1">
      <c r="A224" s="379">
        <f t="shared" si="2"/>
        <v>1326</v>
      </c>
      <c r="B224" s="380" t="s">
        <v>849</v>
      </c>
      <c r="C224" s="357">
        <f>'2. Power by Mode'!$F$15</f>
        <v>70.5</v>
      </c>
      <c r="D224" s="56">
        <f>'3. Mode Plot Data'!D224</f>
        <v>110</v>
      </c>
      <c r="E224" s="56">
        <f t="shared" si="1"/>
        <v>39.5</v>
      </c>
      <c r="F224" s="372">
        <f t="shared" si="3"/>
        <v>2400</v>
      </c>
    </row>
    <row r="225" ht="15.75" customHeight="1">
      <c r="A225" s="379">
        <f t="shared" si="2"/>
        <v>1332</v>
      </c>
      <c r="B225" s="380" t="s">
        <v>849</v>
      </c>
      <c r="C225" s="357">
        <f>'2. Power by Mode'!$F$15</f>
        <v>70.5</v>
      </c>
      <c r="D225" s="56">
        <f>'3. Mode Plot Data'!D225</f>
        <v>110</v>
      </c>
      <c r="E225" s="56">
        <f t="shared" si="1"/>
        <v>39.5</v>
      </c>
      <c r="F225" s="372">
        <f t="shared" si="3"/>
        <v>2400</v>
      </c>
    </row>
    <row r="226" ht="15.75" customHeight="1">
      <c r="A226" s="379">
        <f t="shared" si="2"/>
        <v>1338</v>
      </c>
      <c r="B226" s="380" t="s">
        <v>849</v>
      </c>
      <c r="C226" s="357">
        <f>'2. Power by Mode'!$F$15</f>
        <v>70.5</v>
      </c>
      <c r="D226" s="56">
        <f>'3. Mode Plot Data'!D226</f>
        <v>110</v>
      </c>
      <c r="E226" s="56">
        <f t="shared" si="1"/>
        <v>39.5</v>
      </c>
      <c r="F226" s="372">
        <f t="shared" si="3"/>
        <v>2400</v>
      </c>
    </row>
    <row r="227" ht="15.75" customHeight="1">
      <c r="A227" s="379">
        <f t="shared" si="2"/>
        <v>1344</v>
      </c>
      <c r="B227" s="380" t="s">
        <v>849</v>
      </c>
      <c r="C227" s="357">
        <f>'2. Power by Mode'!$F$15</f>
        <v>70.5</v>
      </c>
      <c r="D227" s="56">
        <f>'3. Mode Plot Data'!D227</f>
        <v>110</v>
      </c>
      <c r="E227" s="56">
        <f t="shared" si="1"/>
        <v>39.5</v>
      </c>
      <c r="F227" s="372">
        <f t="shared" si="3"/>
        <v>2400</v>
      </c>
    </row>
    <row r="228" ht="15.75" customHeight="1">
      <c r="A228" s="379">
        <f t="shared" si="2"/>
        <v>1350</v>
      </c>
      <c r="B228" s="380" t="s">
        <v>849</v>
      </c>
      <c r="C228" s="357">
        <f>'2. Power by Mode'!$F$15</f>
        <v>70.5</v>
      </c>
      <c r="D228" s="56">
        <f>'3. Mode Plot Data'!D228</f>
        <v>110</v>
      </c>
      <c r="E228" s="56">
        <f t="shared" si="1"/>
        <v>39.5</v>
      </c>
      <c r="F228" s="372">
        <f t="shared" si="3"/>
        <v>2400</v>
      </c>
    </row>
    <row r="229" ht="15.75" customHeight="1">
      <c r="A229" s="379">
        <f t="shared" si="2"/>
        <v>1356</v>
      </c>
      <c r="B229" s="380" t="s">
        <v>849</v>
      </c>
      <c r="C229" s="357">
        <f>'2. Power by Mode'!$F$15</f>
        <v>70.5</v>
      </c>
      <c r="D229" s="56">
        <f>'3. Mode Plot Data'!D229</f>
        <v>110</v>
      </c>
      <c r="E229" s="56">
        <f t="shared" si="1"/>
        <v>39.5</v>
      </c>
      <c r="F229" s="372">
        <f t="shared" si="3"/>
        <v>2400</v>
      </c>
    </row>
    <row r="230" ht="15.75" customHeight="1">
      <c r="A230" s="379">
        <f t="shared" si="2"/>
        <v>1362</v>
      </c>
      <c r="B230" s="380" t="s">
        <v>849</v>
      </c>
      <c r="C230" s="357">
        <f>'2. Power by Mode'!$F$15</f>
        <v>70.5</v>
      </c>
      <c r="D230" s="56">
        <f>'3. Mode Plot Data'!D230</f>
        <v>110</v>
      </c>
      <c r="E230" s="56">
        <f t="shared" si="1"/>
        <v>39.5</v>
      </c>
      <c r="F230" s="372">
        <f t="shared" si="3"/>
        <v>2400</v>
      </c>
    </row>
    <row r="231" ht="15.75" customHeight="1">
      <c r="A231" s="379">
        <f t="shared" si="2"/>
        <v>1368</v>
      </c>
      <c r="B231" s="380" t="s">
        <v>849</v>
      </c>
      <c r="C231" s="357">
        <f>'2. Power by Mode'!$F$15</f>
        <v>70.5</v>
      </c>
      <c r="D231" s="56">
        <f>'3. Mode Plot Data'!D231</f>
        <v>110</v>
      </c>
      <c r="E231" s="56">
        <f t="shared" si="1"/>
        <v>39.5</v>
      </c>
      <c r="F231" s="372">
        <f t="shared" si="3"/>
        <v>2400</v>
      </c>
    </row>
    <row r="232" ht="15.75" customHeight="1">
      <c r="A232" s="379">
        <f t="shared" si="2"/>
        <v>1374</v>
      </c>
      <c r="B232" s="380" t="s">
        <v>849</v>
      </c>
      <c r="C232" s="357">
        <f>'2. Power by Mode'!$F$15</f>
        <v>70.5</v>
      </c>
      <c r="D232" s="56">
        <f>'3. Mode Plot Data'!D232</f>
        <v>110</v>
      </c>
      <c r="E232" s="56">
        <f t="shared" si="1"/>
        <v>39.5</v>
      </c>
      <c r="F232" s="372">
        <f t="shared" si="3"/>
        <v>2400</v>
      </c>
    </row>
    <row r="233" ht="15.75" customHeight="1">
      <c r="A233" s="379">
        <f t="shared" si="2"/>
        <v>1380</v>
      </c>
      <c r="B233" s="380" t="s">
        <v>849</v>
      </c>
      <c r="C233" s="357">
        <f>'2. Power by Mode'!$F$15</f>
        <v>70.5</v>
      </c>
      <c r="D233" s="56">
        <f>'3. Mode Plot Data'!D233</f>
        <v>110</v>
      </c>
      <c r="E233" s="56">
        <f t="shared" si="1"/>
        <v>39.5</v>
      </c>
      <c r="F233" s="372">
        <f t="shared" si="3"/>
        <v>2400</v>
      </c>
    </row>
    <row r="234" ht="15.75" customHeight="1">
      <c r="A234" s="379">
        <f t="shared" si="2"/>
        <v>1386</v>
      </c>
      <c r="B234" s="380" t="s">
        <v>849</v>
      </c>
      <c r="C234" s="357">
        <f>'2. Power by Mode'!$F$15</f>
        <v>70.5</v>
      </c>
      <c r="D234" s="56">
        <f>'3. Mode Plot Data'!D234</f>
        <v>110</v>
      </c>
      <c r="E234" s="56">
        <f t="shared" si="1"/>
        <v>39.5</v>
      </c>
      <c r="F234" s="372">
        <f t="shared" si="3"/>
        <v>2400</v>
      </c>
    </row>
    <row r="235" ht="15.75" customHeight="1">
      <c r="A235" s="379">
        <f t="shared" si="2"/>
        <v>1392</v>
      </c>
      <c r="B235" s="380" t="s">
        <v>849</v>
      </c>
      <c r="C235" s="357">
        <f>'2. Power by Mode'!$F$15</f>
        <v>70.5</v>
      </c>
      <c r="D235" s="56">
        <f>'3. Mode Plot Data'!D235</f>
        <v>110</v>
      </c>
      <c r="E235" s="56">
        <f t="shared" si="1"/>
        <v>39.5</v>
      </c>
      <c r="F235" s="372">
        <f t="shared" si="3"/>
        <v>2400</v>
      </c>
    </row>
    <row r="236" ht="15.75" customHeight="1">
      <c r="A236" s="379">
        <f t="shared" si="2"/>
        <v>1398</v>
      </c>
      <c r="B236" s="380" t="s">
        <v>849</v>
      </c>
      <c r="C236" s="357">
        <f>'2. Power by Mode'!$F$15</f>
        <v>70.5</v>
      </c>
      <c r="D236" s="56">
        <f>'3. Mode Plot Data'!D236</f>
        <v>110</v>
      </c>
      <c r="E236" s="56">
        <f t="shared" si="1"/>
        <v>39.5</v>
      </c>
      <c r="F236" s="372">
        <f t="shared" si="3"/>
        <v>2400</v>
      </c>
    </row>
    <row r="237" ht="15.75" customHeight="1">
      <c r="A237" s="56"/>
    </row>
    <row r="238" ht="15.75" customHeight="1">
      <c r="A238" s="56"/>
    </row>
    <row r="239" ht="15.75" customHeight="1">
      <c r="A239" s="56"/>
    </row>
    <row r="240" ht="15.75" customHeight="1">
      <c r="A240" s="56"/>
    </row>
    <row r="241" ht="15.75" customHeight="1">
      <c r="A241" s="56"/>
    </row>
    <row r="242" ht="15.75" customHeight="1">
      <c r="A242" s="56"/>
    </row>
    <row r="243" ht="15.75" customHeight="1">
      <c r="A243" s="56"/>
    </row>
    <row r="244" ht="15.75" customHeight="1">
      <c r="A244" s="56"/>
    </row>
    <row r="245" ht="15.75" customHeight="1">
      <c r="A245" s="56"/>
    </row>
    <row r="246" ht="15.75" customHeight="1">
      <c r="A246" s="56"/>
    </row>
    <row r="247" ht="15.75" customHeight="1">
      <c r="A247" s="56"/>
    </row>
    <row r="248" ht="15.75" customHeight="1">
      <c r="A248" s="56"/>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H37:K37"/>
    <mergeCell ref="H38:K38"/>
    <mergeCell ref="H39:K39"/>
    <mergeCell ref="H40:K40"/>
    <mergeCell ref="H41:K41"/>
    <mergeCell ref="H42:K42"/>
    <mergeCell ref="H43:K43"/>
    <mergeCell ref="H3:I3"/>
    <mergeCell ref="H11:I11"/>
    <mergeCell ref="K11:L11"/>
    <mergeCell ref="H23:J23"/>
    <mergeCell ref="H24:J24"/>
    <mergeCell ref="H25:J25"/>
    <mergeCell ref="H26:J26"/>
  </mergeCells>
  <conditionalFormatting sqref="B3:B236">
    <cfRule type="expression" dxfId="5" priority="1">
      <formula>NOT(OR(EQ($B3,"Power Generation"), EQ($B3, "Nominal")))</formula>
    </cfRule>
  </conditionalFormatting>
  <conditionalFormatting sqref="F3:F236">
    <cfRule type="cellIs" dxfId="3" priority="2" operator="lessThan">
      <formula>$I$8</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14.38"/>
    <col customWidth="1" min="3" max="3" width="18.88"/>
    <col customWidth="1" min="4" max="4" width="18.13"/>
    <col customWidth="1" min="5" max="5" width="23.0"/>
    <col customWidth="1" min="6" max="6" width="20.0"/>
    <col customWidth="1" min="7" max="7" width="20.25"/>
    <col customWidth="1" min="8" max="8" width="14.38"/>
    <col customWidth="1" min="9" max="9" width="26.75"/>
    <col customWidth="1" min="10" max="10" width="12.88"/>
    <col customWidth="1" min="11" max="11" width="18.0"/>
    <col customWidth="1" min="12" max="12" width="22.0"/>
    <col customWidth="1" min="13" max="22" width="14.38"/>
  </cols>
  <sheetData>
    <row r="1" ht="15.75" customHeight="1"/>
    <row r="2" ht="15.75" customHeight="1">
      <c r="A2" s="367" t="s">
        <v>908</v>
      </c>
      <c r="B2" s="369" t="s">
        <v>900</v>
      </c>
      <c r="C2" s="366" t="s">
        <v>909</v>
      </c>
      <c r="D2" s="366" t="s">
        <v>910</v>
      </c>
      <c r="E2" s="374" t="s">
        <v>911</v>
      </c>
      <c r="F2" s="366" t="s">
        <v>912</v>
      </c>
      <c r="G2" s="369" t="s">
        <v>913</v>
      </c>
    </row>
    <row r="3" ht="15.75" customHeight="1">
      <c r="A3" s="377">
        <f t="shared" ref="A3:A236" si="1">CEILING((B3+1)/90,1)</f>
        <v>1</v>
      </c>
      <c r="B3" s="379">
        <v>0.0</v>
      </c>
      <c r="C3" s="380" t="s">
        <v>277</v>
      </c>
      <c r="D3" s="56">
        <f>'3a. Typical Mode Sequence (Powe'!C3*$J$8/60</f>
        <v>4.05</v>
      </c>
      <c r="E3" s="56">
        <f>'3. Mode Plot Data'!D3*$J$8/60</f>
        <v>11</v>
      </c>
      <c r="F3" s="56">
        <f t="shared" ref="F3:F236" si="2">E3-D3</f>
        <v>6.95</v>
      </c>
      <c r="G3" s="372">
        <f>J5</f>
        <v>2400</v>
      </c>
      <c r="I3" s="312" t="s">
        <v>843</v>
      </c>
      <c r="J3" s="242"/>
    </row>
    <row r="4" ht="15.75" customHeight="1">
      <c r="A4" s="377">
        <f t="shared" si="1"/>
        <v>1</v>
      </c>
      <c r="B4" s="379">
        <f t="shared" ref="B4:B236" si="3">B3+$J$8</f>
        <v>6</v>
      </c>
      <c r="C4" s="380" t="s">
        <v>277</v>
      </c>
      <c r="D4" s="56">
        <f>'3a. Typical Mode Sequence (Powe'!C4*$J$8/60</f>
        <v>4.05</v>
      </c>
      <c r="E4" s="56">
        <f>'3. Mode Plot Data'!D4*$J$8/60</f>
        <v>11</v>
      </c>
      <c r="F4" s="56">
        <f t="shared" si="2"/>
        <v>6.95</v>
      </c>
      <c r="G4" s="372">
        <f t="shared" ref="G4:G236" si="4">MAX(MIN(G3+F4,$J$5),$J$6)</f>
        <v>2400</v>
      </c>
      <c r="I4" s="382" t="s">
        <v>921</v>
      </c>
      <c r="J4" s="383" t="s">
        <v>859</v>
      </c>
    </row>
    <row r="5" ht="15.75" customHeight="1">
      <c r="A5" s="377">
        <f t="shared" si="1"/>
        <v>1</v>
      </c>
      <c r="B5" s="379">
        <f t="shared" si="3"/>
        <v>12</v>
      </c>
      <c r="C5" s="380" t="s">
        <v>277</v>
      </c>
      <c r="D5" s="56">
        <f>'3a. Typical Mode Sequence (Powe'!C5*$J$8/60</f>
        <v>4.05</v>
      </c>
      <c r="E5" s="56">
        <f>'3. Mode Plot Data'!D5*$J$8/60</f>
        <v>11</v>
      </c>
      <c r="F5" s="56">
        <f t="shared" si="2"/>
        <v>6.95</v>
      </c>
      <c r="G5" s="372">
        <f t="shared" si="4"/>
        <v>2400</v>
      </c>
      <c r="I5" s="385" t="s">
        <v>924</v>
      </c>
      <c r="J5" s="379">
        <v>2400.0</v>
      </c>
    </row>
    <row r="6" ht="15.75" customHeight="1">
      <c r="A6" s="377">
        <f t="shared" si="1"/>
        <v>1</v>
      </c>
      <c r="B6" s="379">
        <f t="shared" si="3"/>
        <v>18</v>
      </c>
      <c r="C6" s="380" t="s">
        <v>277</v>
      </c>
      <c r="D6" s="56">
        <f>'3a. Typical Mode Sequence (Powe'!C6*$J$8/60</f>
        <v>4.05</v>
      </c>
      <c r="E6" s="56">
        <f>'3. Mode Plot Data'!D6*$J$8/60</f>
        <v>11</v>
      </c>
      <c r="F6" s="56">
        <f t="shared" si="2"/>
        <v>6.95</v>
      </c>
      <c r="G6" s="372">
        <f t="shared" si="4"/>
        <v>2400</v>
      </c>
      <c r="I6" s="385" t="s">
        <v>926</v>
      </c>
      <c r="J6" s="388">
        <v>0.0</v>
      </c>
      <c r="M6" s="359"/>
      <c r="N6" s="359"/>
      <c r="O6" s="359"/>
      <c r="P6" s="359"/>
      <c r="Q6" s="359"/>
      <c r="R6" s="359"/>
      <c r="S6" s="359"/>
      <c r="T6" s="359"/>
      <c r="U6" s="359"/>
      <c r="V6" s="360"/>
    </row>
    <row r="7" ht="15.75" customHeight="1">
      <c r="A7" s="377">
        <f t="shared" si="1"/>
        <v>1</v>
      </c>
      <c r="B7" s="379">
        <f t="shared" si="3"/>
        <v>24</v>
      </c>
      <c r="C7" s="380" t="s">
        <v>277</v>
      </c>
      <c r="D7" s="56">
        <f>'3a. Typical Mode Sequence (Powe'!C7*$J$8/60</f>
        <v>4.05</v>
      </c>
      <c r="E7" s="56">
        <f>'3. Mode Plot Data'!D7*$J$8/60</f>
        <v>11</v>
      </c>
      <c r="F7" s="56">
        <f t="shared" si="2"/>
        <v>6.95</v>
      </c>
      <c r="G7" s="372">
        <f t="shared" si="4"/>
        <v>2400</v>
      </c>
      <c r="I7" s="385" t="s">
        <v>927</v>
      </c>
      <c r="J7" s="379">
        <v>480.0</v>
      </c>
    </row>
    <row r="8" ht="15.75" customHeight="1">
      <c r="A8" s="377">
        <f t="shared" si="1"/>
        <v>1</v>
      </c>
      <c r="B8" s="379">
        <f t="shared" si="3"/>
        <v>30</v>
      </c>
      <c r="C8" s="380" t="s">
        <v>277</v>
      </c>
      <c r="D8" s="56">
        <f>'3a. Typical Mode Sequence (Powe'!C8*$J$8/60</f>
        <v>4.05</v>
      </c>
      <c r="E8" s="56">
        <f>'3. Mode Plot Data'!D8*$J$8/60</f>
        <v>11</v>
      </c>
      <c r="F8" s="56">
        <f t="shared" si="2"/>
        <v>6.95</v>
      </c>
      <c r="G8" s="372">
        <f t="shared" si="4"/>
        <v>2400</v>
      </c>
      <c r="I8" s="390" t="s">
        <v>925</v>
      </c>
      <c r="J8" s="391">
        <v>6.0</v>
      </c>
    </row>
    <row r="9" ht="15.75" customHeight="1">
      <c r="A9" s="377">
        <f t="shared" si="1"/>
        <v>1</v>
      </c>
      <c r="B9" s="379">
        <f t="shared" si="3"/>
        <v>36</v>
      </c>
      <c r="C9" s="380" t="s">
        <v>277</v>
      </c>
      <c r="D9" s="56">
        <f>'3a. Typical Mode Sequence (Powe'!C9*$J$8/60</f>
        <v>4.05</v>
      </c>
      <c r="E9" s="56">
        <f>'3. Mode Plot Data'!D9*$J$8/60</f>
        <v>11</v>
      </c>
      <c r="F9" s="56">
        <f t="shared" si="2"/>
        <v>6.95</v>
      </c>
      <c r="G9" s="372">
        <f t="shared" si="4"/>
        <v>2400</v>
      </c>
    </row>
    <row r="10" ht="15.75" customHeight="1">
      <c r="A10" s="377">
        <f t="shared" si="1"/>
        <v>1</v>
      </c>
      <c r="B10" s="379">
        <f t="shared" si="3"/>
        <v>42</v>
      </c>
      <c r="C10" s="380" t="s">
        <v>277</v>
      </c>
      <c r="D10" s="56">
        <f>'3a. Typical Mode Sequence (Powe'!C10*$J$8/60</f>
        <v>4.05</v>
      </c>
      <c r="E10" s="56">
        <f>'3. Mode Plot Data'!D10*$J$8/60</f>
        <v>11</v>
      </c>
      <c r="F10" s="56">
        <f t="shared" si="2"/>
        <v>6.95</v>
      </c>
      <c r="G10" s="372">
        <f t="shared" si="4"/>
        <v>2400</v>
      </c>
      <c r="I10" s="312" t="s">
        <v>929</v>
      </c>
      <c r="J10" s="394"/>
      <c r="K10" s="242"/>
    </row>
    <row r="11" ht="15.75" customHeight="1">
      <c r="A11" s="359">
        <f t="shared" si="1"/>
        <v>1</v>
      </c>
      <c r="B11" s="379">
        <f t="shared" si="3"/>
        <v>48</v>
      </c>
      <c r="C11" s="380" t="s">
        <v>277</v>
      </c>
      <c r="D11" s="56">
        <f>'3a. Typical Mode Sequence (Powe'!C11*$J$8/60</f>
        <v>4.05</v>
      </c>
      <c r="E11" s="56">
        <f>'3. Mode Plot Data'!D11*$J$8/60</f>
        <v>11</v>
      </c>
      <c r="F11" s="56">
        <f t="shared" si="2"/>
        <v>6.95</v>
      </c>
      <c r="G11" s="372">
        <f t="shared" si="4"/>
        <v>2400</v>
      </c>
      <c r="I11" s="382" t="s">
        <v>921</v>
      </c>
      <c r="J11" s="375" t="s">
        <v>859</v>
      </c>
      <c r="K11" s="383" t="s">
        <v>932</v>
      </c>
    </row>
    <row r="12" ht="15.75" customHeight="1">
      <c r="A12" s="359">
        <f t="shared" si="1"/>
        <v>1</v>
      </c>
      <c r="B12" s="379">
        <f t="shared" si="3"/>
        <v>54</v>
      </c>
      <c r="C12" s="380" t="s">
        <v>277</v>
      </c>
      <c r="D12" s="56">
        <f>'3a. Typical Mode Sequence (Powe'!C12*$J$8/60</f>
        <v>4.05</v>
      </c>
      <c r="E12" s="56">
        <f>'3. Mode Plot Data'!D12*$J$8/60</f>
        <v>11</v>
      </c>
      <c r="F12" s="56">
        <f t="shared" si="2"/>
        <v>6.95</v>
      </c>
      <c r="G12" s="372">
        <f t="shared" si="4"/>
        <v>2400</v>
      </c>
      <c r="I12" s="386" t="s">
        <v>933</v>
      </c>
      <c r="J12" s="395">
        <f>MIN(G3:G236)</f>
        <v>2342</v>
      </c>
      <c r="K12" s="397">
        <f t="shared" ref="K12:K14" si="5">J12/$J$5*100</f>
        <v>97.58333333</v>
      </c>
    </row>
    <row r="13" ht="15.75" customHeight="1">
      <c r="A13" s="359">
        <f t="shared" si="1"/>
        <v>1</v>
      </c>
      <c r="B13" s="379">
        <f t="shared" si="3"/>
        <v>60</v>
      </c>
      <c r="C13" s="380" t="s">
        <v>847</v>
      </c>
      <c r="D13" s="56">
        <f>'3a. Typical Mode Sequence (Powe'!C13*$J$8/60</f>
        <v>12.45</v>
      </c>
      <c r="E13" s="56">
        <f>'3. Mode Plot Data'!D13*$J$8/60</f>
        <v>11</v>
      </c>
      <c r="F13" s="56">
        <f t="shared" si="2"/>
        <v>-1.45</v>
      </c>
      <c r="G13" s="372">
        <f t="shared" si="4"/>
        <v>2398.55</v>
      </c>
      <c r="I13" s="385" t="s">
        <v>934</v>
      </c>
      <c r="J13" s="402">
        <f>MAX(G3:G236)</f>
        <v>2400</v>
      </c>
      <c r="K13" s="403">
        <f t="shared" si="5"/>
        <v>100</v>
      </c>
    </row>
    <row r="14" ht="15.75" customHeight="1">
      <c r="A14" s="359">
        <f t="shared" si="1"/>
        <v>1</v>
      </c>
      <c r="B14" s="379">
        <f t="shared" si="3"/>
        <v>66</v>
      </c>
      <c r="C14" s="380" t="s">
        <v>847</v>
      </c>
      <c r="D14" s="56">
        <f>'3a. Typical Mode Sequence (Powe'!C14*$J$8/60</f>
        <v>12.45</v>
      </c>
      <c r="E14" s="56">
        <f>'3. Mode Plot Data'!D14*$J$8/60</f>
        <v>11</v>
      </c>
      <c r="F14" s="56">
        <f t="shared" si="2"/>
        <v>-1.45</v>
      </c>
      <c r="G14" s="372">
        <f t="shared" si="4"/>
        <v>2397.1</v>
      </c>
      <c r="I14" s="385" t="s">
        <v>935</v>
      </c>
      <c r="J14" s="402">
        <f>AVERAGE(G3:G236)</f>
        <v>2392.151923</v>
      </c>
      <c r="K14" s="403">
        <f t="shared" si="5"/>
        <v>99.67299679</v>
      </c>
    </row>
    <row r="15" ht="15.75" customHeight="1">
      <c r="A15" s="359">
        <f t="shared" si="1"/>
        <v>1</v>
      </c>
      <c r="B15" s="379">
        <f t="shared" si="3"/>
        <v>72</v>
      </c>
      <c r="C15" s="380" t="s">
        <v>847</v>
      </c>
      <c r="D15" s="56">
        <f>'3a. Typical Mode Sequence (Powe'!C15*$J$8/60</f>
        <v>12.45</v>
      </c>
      <c r="E15" s="56">
        <f>'3. Mode Plot Data'!D15*$J$8/60</f>
        <v>11</v>
      </c>
      <c r="F15" s="56">
        <f t="shared" si="2"/>
        <v>-1.45</v>
      </c>
      <c r="G15" s="372">
        <f t="shared" si="4"/>
        <v>2395.65</v>
      </c>
      <c r="I15" s="364" t="s">
        <v>936</v>
      </c>
      <c r="J15" s="404">
        <f>ABS(MIN(0,MIN(F3:F236)))/($J$8/60)</f>
        <v>14.5</v>
      </c>
      <c r="K15" s="393" t="s">
        <v>154</v>
      </c>
    </row>
    <row r="16" ht="15.75" customHeight="1">
      <c r="A16" s="359">
        <f t="shared" si="1"/>
        <v>1</v>
      </c>
      <c r="B16" s="379">
        <f t="shared" si="3"/>
        <v>78</v>
      </c>
      <c r="C16" s="380" t="s">
        <v>847</v>
      </c>
      <c r="D16" s="56">
        <f>'3a. Typical Mode Sequence (Powe'!C16*$J$8/60</f>
        <v>12.45</v>
      </c>
      <c r="E16" s="56">
        <f>'3. Mode Plot Data'!D16*$J$8/60</f>
        <v>11</v>
      </c>
      <c r="F16" s="56">
        <f t="shared" si="2"/>
        <v>-1.45</v>
      </c>
      <c r="G16" s="372">
        <f t="shared" si="4"/>
        <v>2394.2</v>
      </c>
    </row>
    <row r="17" ht="15.75" customHeight="1">
      <c r="A17" s="359">
        <f t="shared" si="1"/>
        <v>1</v>
      </c>
      <c r="B17" s="379">
        <f t="shared" si="3"/>
        <v>84</v>
      </c>
      <c r="C17" s="380" t="s">
        <v>847</v>
      </c>
      <c r="D17" s="56">
        <f>'3a. Typical Mode Sequence (Powe'!C17*$J$8/60</f>
        <v>12.45</v>
      </c>
      <c r="E17" s="56">
        <f>'3. Mode Plot Data'!D17*$J$8/60</f>
        <v>11</v>
      </c>
      <c r="F17" s="56">
        <f t="shared" si="2"/>
        <v>-1.45</v>
      </c>
      <c r="G17" s="372">
        <f t="shared" si="4"/>
        <v>2392.75</v>
      </c>
      <c r="I17" s="361" t="s">
        <v>938</v>
      </c>
      <c r="J17" s="245"/>
      <c r="K17" s="97"/>
    </row>
    <row r="18" ht="15.75" customHeight="1">
      <c r="A18" s="359">
        <f t="shared" si="1"/>
        <v>2</v>
      </c>
      <c r="B18" s="379">
        <f t="shared" si="3"/>
        <v>90</v>
      </c>
      <c r="C18" s="380" t="s">
        <v>847</v>
      </c>
      <c r="D18" s="56">
        <f>'3a. Typical Mode Sequence (Powe'!C18*$J$8/60</f>
        <v>12.45</v>
      </c>
      <c r="E18" s="56">
        <f>'3. Mode Plot Data'!D18*$J$8/60</f>
        <v>11</v>
      </c>
      <c r="F18" s="56">
        <f t="shared" si="2"/>
        <v>-1.45</v>
      </c>
      <c r="G18" s="372">
        <f t="shared" si="4"/>
        <v>2391.3</v>
      </c>
      <c r="I18" s="371" t="s">
        <v>940</v>
      </c>
      <c r="K18" s="363"/>
    </row>
    <row r="19" ht="15.75" customHeight="1">
      <c r="A19" s="359">
        <f t="shared" si="1"/>
        <v>2</v>
      </c>
      <c r="B19" s="379">
        <f t="shared" si="3"/>
        <v>96</v>
      </c>
      <c r="C19" s="380" t="s">
        <v>847</v>
      </c>
      <c r="D19" s="56">
        <f>'3a. Typical Mode Sequence (Powe'!C19*$J$8/60</f>
        <v>12.45</v>
      </c>
      <c r="E19" s="56">
        <f>'3. Mode Plot Data'!D19*$J$8/60</f>
        <v>11</v>
      </c>
      <c r="F19" s="56">
        <f t="shared" si="2"/>
        <v>-1.45</v>
      </c>
      <c r="G19" s="372">
        <f t="shared" si="4"/>
        <v>2389.85</v>
      </c>
      <c r="I19" s="371" t="s">
        <v>941</v>
      </c>
      <c r="K19" s="363"/>
    </row>
    <row r="20" ht="15.75" customHeight="1">
      <c r="A20" s="359">
        <f t="shared" si="1"/>
        <v>2</v>
      </c>
      <c r="B20" s="379">
        <f t="shared" si="3"/>
        <v>102</v>
      </c>
      <c r="C20" s="380" t="s">
        <v>847</v>
      </c>
      <c r="D20" s="56">
        <f>'3a. Typical Mode Sequence (Powe'!C20*$J$8/60</f>
        <v>12.45</v>
      </c>
      <c r="E20" s="56">
        <f>'3. Mode Plot Data'!D20*$J$8/60</f>
        <v>11</v>
      </c>
      <c r="F20" s="56">
        <f t="shared" si="2"/>
        <v>-1.45</v>
      </c>
      <c r="G20" s="372">
        <f t="shared" si="4"/>
        <v>2388.4</v>
      </c>
      <c r="I20" s="364" t="s">
        <v>943</v>
      </c>
      <c r="J20" s="365"/>
      <c r="K20" s="248"/>
    </row>
    <row r="21" ht="15.75" customHeight="1">
      <c r="A21" s="359">
        <f t="shared" si="1"/>
        <v>2</v>
      </c>
      <c r="B21" s="379">
        <f t="shared" si="3"/>
        <v>108</v>
      </c>
      <c r="C21" s="380" t="s">
        <v>847</v>
      </c>
      <c r="D21" s="56">
        <f>'3a. Typical Mode Sequence (Powe'!C21*$J$8/60</f>
        <v>12.45</v>
      </c>
      <c r="E21" s="56">
        <f>'3. Mode Plot Data'!D21*$J$8/60</f>
        <v>11</v>
      </c>
      <c r="F21" s="56">
        <f t="shared" si="2"/>
        <v>-1.45</v>
      </c>
      <c r="G21" s="372">
        <f t="shared" si="4"/>
        <v>2386.95</v>
      </c>
    </row>
    <row r="22" ht="15.75" customHeight="1">
      <c r="A22" s="359">
        <f t="shared" si="1"/>
        <v>2</v>
      </c>
      <c r="B22" s="379">
        <f t="shared" si="3"/>
        <v>114</v>
      </c>
      <c r="C22" s="380" t="s">
        <v>847</v>
      </c>
      <c r="D22" s="56">
        <f>'3a. Typical Mode Sequence (Powe'!C22*$J$8/60</f>
        <v>12.45</v>
      </c>
      <c r="E22" s="56">
        <f>'3. Mode Plot Data'!D22*$J$8/60</f>
        <v>11</v>
      </c>
      <c r="F22" s="56">
        <f t="shared" si="2"/>
        <v>-1.45</v>
      </c>
      <c r="G22" s="372">
        <f t="shared" si="4"/>
        <v>2385.5</v>
      </c>
      <c r="I22" s="407" t="s">
        <v>944</v>
      </c>
      <c r="K22" s="56"/>
    </row>
    <row r="23" ht="15.75" customHeight="1">
      <c r="A23" s="359">
        <f t="shared" si="1"/>
        <v>2</v>
      </c>
      <c r="B23" s="379">
        <f t="shared" si="3"/>
        <v>120</v>
      </c>
      <c r="C23" s="380" t="s">
        <v>847</v>
      </c>
      <c r="D23" s="56">
        <f>'3a. Typical Mode Sequence (Powe'!C23*$J$8/60</f>
        <v>12.45</v>
      </c>
      <c r="E23" s="56">
        <f>'3. Mode Plot Data'!D23*$J$8/60</f>
        <v>11</v>
      </c>
      <c r="F23" s="56">
        <f t="shared" si="2"/>
        <v>-1.45</v>
      </c>
      <c r="G23" s="372">
        <f t="shared" si="4"/>
        <v>2384.05</v>
      </c>
      <c r="I23" s="304" t="s">
        <v>878</v>
      </c>
      <c r="K23" s="56"/>
    </row>
    <row r="24" ht="15.75" customHeight="1">
      <c r="A24" s="359">
        <f t="shared" si="1"/>
        <v>2</v>
      </c>
      <c r="B24" s="379">
        <f t="shared" si="3"/>
        <v>126</v>
      </c>
      <c r="C24" s="380" t="s">
        <v>847</v>
      </c>
      <c r="D24" s="56">
        <f>'3a. Typical Mode Sequence (Powe'!C24*$J$8/60</f>
        <v>12.45</v>
      </c>
      <c r="E24" s="56">
        <f>'3. Mode Plot Data'!D24*$J$8/60</f>
        <v>11</v>
      </c>
      <c r="F24" s="56">
        <f t="shared" si="2"/>
        <v>-1.45</v>
      </c>
      <c r="G24" s="372">
        <f t="shared" si="4"/>
        <v>2382.6</v>
      </c>
      <c r="I24" s="304" t="s">
        <v>881</v>
      </c>
    </row>
    <row r="25" ht="15.75" customHeight="1">
      <c r="A25" s="359">
        <f t="shared" si="1"/>
        <v>2</v>
      </c>
      <c r="B25" s="379">
        <f t="shared" si="3"/>
        <v>132</v>
      </c>
      <c r="C25" s="380" t="s">
        <v>847</v>
      </c>
      <c r="D25" s="56">
        <f>'3a. Typical Mode Sequence (Powe'!C25*$J$8/60</f>
        <v>12.45</v>
      </c>
      <c r="E25" s="56">
        <f>'3. Mode Plot Data'!D25*$J$8/60</f>
        <v>11</v>
      </c>
      <c r="F25" s="56">
        <f t="shared" si="2"/>
        <v>-1.45</v>
      </c>
      <c r="G25" s="372">
        <f t="shared" si="4"/>
        <v>2381.15</v>
      </c>
      <c r="I25" s="304" t="s">
        <v>945</v>
      </c>
    </row>
    <row r="26" ht="15.75" customHeight="1">
      <c r="A26" s="359">
        <f t="shared" si="1"/>
        <v>2</v>
      </c>
      <c r="B26" s="379">
        <f t="shared" si="3"/>
        <v>138</v>
      </c>
      <c r="C26" s="380" t="s">
        <v>847</v>
      </c>
      <c r="D26" s="56">
        <f>'3a. Typical Mode Sequence (Powe'!C26*$J$8/60</f>
        <v>12.45</v>
      </c>
      <c r="E26" s="56">
        <f>'3. Mode Plot Data'!D26*$J$8/60</f>
        <v>11</v>
      </c>
      <c r="F26" s="56">
        <f t="shared" si="2"/>
        <v>-1.45</v>
      </c>
      <c r="G26" s="372">
        <f t="shared" si="4"/>
        <v>2379.7</v>
      </c>
      <c r="I26" s="304" t="s">
        <v>885</v>
      </c>
    </row>
    <row r="27" ht="15.75" customHeight="1">
      <c r="A27" s="359">
        <f t="shared" si="1"/>
        <v>2</v>
      </c>
      <c r="B27" s="379">
        <f t="shared" si="3"/>
        <v>144</v>
      </c>
      <c r="C27" s="380" t="s">
        <v>847</v>
      </c>
      <c r="D27" s="56">
        <f>'3a. Typical Mode Sequence (Powe'!C27*$J$8/60</f>
        <v>12.45</v>
      </c>
      <c r="E27" s="56">
        <f>'3. Mode Plot Data'!D27*$J$8/60</f>
        <v>11</v>
      </c>
      <c r="F27" s="56">
        <f t="shared" si="2"/>
        <v>-1.45</v>
      </c>
      <c r="G27" s="372">
        <f t="shared" si="4"/>
        <v>2378.25</v>
      </c>
      <c r="I27" s="304" t="s">
        <v>887</v>
      </c>
    </row>
    <row r="28" ht="15.75" customHeight="1">
      <c r="A28" s="359">
        <f t="shared" si="1"/>
        <v>2</v>
      </c>
      <c r="B28" s="379">
        <f t="shared" si="3"/>
        <v>150</v>
      </c>
      <c r="C28" s="380" t="s">
        <v>847</v>
      </c>
      <c r="D28" s="56">
        <f>'3a. Typical Mode Sequence (Powe'!C28*$J$8/60</f>
        <v>12.45</v>
      </c>
      <c r="E28" s="56">
        <f>'3. Mode Plot Data'!D28*$J$8/60</f>
        <v>11</v>
      </c>
      <c r="F28" s="56">
        <f t="shared" si="2"/>
        <v>-1.45</v>
      </c>
      <c r="G28" s="372">
        <f t="shared" si="4"/>
        <v>2376.8</v>
      </c>
      <c r="I28" s="304" t="s">
        <v>946</v>
      </c>
    </row>
    <row r="29" ht="15.75" customHeight="1">
      <c r="A29" s="359">
        <f t="shared" si="1"/>
        <v>2</v>
      </c>
      <c r="B29" s="379">
        <f t="shared" si="3"/>
        <v>156</v>
      </c>
      <c r="C29" s="380" t="s">
        <v>847</v>
      </c>
      <c r="D29" s="56">
        <f>'3a. Typical Mode Sequence (Powe'!C29*$J$8/60</f>
        <v>12.45</v>
      </c>
      <c r="E29" s="56">
        <f>'3. Mode Plot Data'!D29*$J$8/60</f>
        <v>11</v>
      </c>
      <c r="F29" s="56">
        <f t="shared" si="2"/>
        <v>-1.45</v>
      </c>
      <c r="G29" s="372">
        <f t="shared" si="4"/>
        <v>2375.35</v>
      </c>
      <c r="I29" s="304" t="s">
        <v>947</v>
      </c>
    </row>
    <row r="30" ht="15.75" customHeight="1">
      <c r="A30" s="359">
        <f t="shared" si="1"/>
        <v>2</v>
      </c>
      <c r="B30" s="379">
        <f t="shared" si="3"/>
        <v>162</v>
      </c>
      <c r="C30" s="380" t="s">
        <v>847</v>
      </c>
      <c r="D30" s="56">
        <f>'3a. Typical Mode Sequence (Powe'!C30*$J$8/60</f>
        <v>12.45</v>
      </c>
      <c r="E30" s="56">
        <f>'3. Mode Plot Data'!D30*$J$8/60</f>
        <v>11</v>
      </c>
      <c r="F30" s="56">
        <f t="shared" si="2"/>
        <v>-1.45</v>
      </c>
      <c r="G30" s="372">
        <f t="shared" si="4"/>
        <v>2373.9</v>
      </c>
    </row>
    <row r="31" ht="15.75" customHeight="1">
      <c r="A31" s="359">
        <f t="shared" si="1"/>
        <v>2</v>
      </c>
      <c r="B31" s="379">
        <f t="shared" si="3"/>
        <v>168</v>
      </c>
      <c r="C31" s="380" t="s">
        <v>847</v>
      </c>
      <c r="D31" s="56">
        <f>'3a. Typical Mode Sequence (Powe'!C31*$J$8/60</f>
        <v>12.45</v>
      </c>
      <c r="E31" s="56">
        <f>'3. Mode Plot Data'!D31*$J$8/60</f>
        <v>11</v>
      </c>
      <c r="F31" s="56">
        <f t="shared" si="2"/>
        <v>-1.45</v>
      </c>
      <c r="G31" s="372">
        <f t="shared" si="4"/>
        <v>2372.45</v>
      </c>
      <c r="I31" s="361" t="s">
        <v>77</v>
      </c>
      <c r="J31" s="245"/>
      <c r="K31" s="245"/>
      <c r="L31" s="97"/>
    </row>
    <row r="32" ht="15.75" customHeight="1">
      <c r="A32" s="359">
        <f t="shared" si="1"/>
        <v>2</v>
      </c>
      <c r="B32" s="379">
        <f t="shared" si="3"/>
        <v>174</v>
      </c>
      <c r="C32" s="380" t="s">
        <v>847</v>
      </c>
      <c r="D32" s="56">
        <f>'3a. Typical Mode Sequence (Powe'!C32*$J$8/60</f>
        <v>12.45</v>
      </c>
      <c r="E32" s="56">
        <f>'3. Mode Plot Data'!D32*$J$8/60</f>
        <v>11</v>
      </c>
      <c r="F32" s="56">
        <f t="shared" si="2"/>
        <v>-1.45</v>
      </c>
      <c r="G32" s="372">
        <f t="shared" si="4"/>
        <v>2371</v>
      </c>
      <c r="I32" s="371" t="s">
        <v>948</v>
      </c>
      <c r="L32" s="363"/>
    </row>
    <row r="33" ht="15.75" customHeight="1">
      <c r="A33" s="359">
        <f t="shared" si="1"/>
        <v>3</v>
      </c>
      <c r="B33" s="379">
        <f t="shared" si="3"/>
        <v>180</v>
      </c>
      <c r="C33" s="380" t="s">
        <v>847</v>
      </c>
      <c r="D33" s="56">
        <f>'3a. Typical Mode Sequence (Powe'!C33*$J$8/60</f>
        <v>12.45</v>
      </c>
      <c r="E33" s="56">
        <f>'3. Mode Plot Data'!D33*$J$8/60</f>
        <v>11</v>
      </c>
      <c r="F33" s="56">
        <f t="shared" si="2"/>
        <v>-1.45</v>
      </c>
      <c r="G33" s="372">
        <f t="shared" si="4"/>
        <v>2369.55</v>
      </c>
      <c r="I33" s="371" t="s">
        <v>949</v>
      </c>
      <c r="L33" s="363"/>
    </row>
    <row r="34" ht="15.75" customHeight="1">
      <c r="A34" s="359">
        <f t="shared" si="1"/>
        <v>3</v>
      </c>
      <c r="B34" s="379">
        <f t="shared" si="3"/>
        <v>186</v>
      </c>
      <c r="C34" s="380" t="s">
        <v>847</v>
      </c>
      <c r="D34" s="56">
        <f>'3a. Typical Mode Sequence (Powe'!C34*$J$8/60</f>
        <v>12.45</v>
      </c>
      <c r="E34" s="56">
        <f>'3. Mode Plot Data'!D34*$J$8/60</f>
        <v>11</v>
      </c>
      <c r="F34" s="56">
        <f t="shared" si="2"/>
        <v>-1.45</v>
      </c>
      <c r="G34" s="372">
        <f t="shared" si="4"/>
        <v>2368.1</v>
      </c>
      <c r="I34" s="371" t="s">
        <v>950</v>
      </c>
      <c r="L34" s="363"/>
    </row>
    <row r="35" ht="15.75" customHeight="1">
      <c r="A35" s="359">
        <f t="shared" si="1"/>
        <v>3</v>
      </c>
      <c r="B35" s="379">
        <f t="shared" si="3"/>
        <v>192</v>
      </c>
      <c r="C35" s="380" t="s">
        <v>847</v>
      </c>
      <c r="D35" s="56">
        <f>'3a. Typical Mode Sequence (Powe'!C35*$J$8/60</f>
        <v>12.45</v>
      </c>
      <c r="E35" s="56">
        <f>'3. Mode Plot Data'!D35*$J$8/60</f>
        <v>11</v>
      </c>
      <c r="F35" s="56">
        <f t="shared" si="2"/>
        <v>-1.45</v>
      </c>
      <c r="G35" s="372">
        <f t="shared" si="4"/>
        <v>2366.65</v>
      </c>
      <c r="I35" s="371" t="s">
        <v>951</v>
      </c>
      <c r="L35" s="363"/>
    </row>
    <row r="36" ht="15.75" customHeight="1">
      <c r="A36" s="359">
        <f t="shared" si="1"/>
        <v>3</v>
      </c>
      <c r="B36" s="379">
        <f t="shared" si="3"/>
        <v>198</v>
      </c>
      <c r="C36" s="380" t="s">
        <v>847</v>
      </c>
      <c r="D36" s="56">
        <f>'3a. Typical Mode Sequence (Powe'!C36*$J$8/60</f>
        <v>12.45</v>
      </c>
      <c r="E36" s="56">
        <f>'3. Mode Plot Data'!D36*$J$8/60</f>
        <v>11</v>
      </c>
      <c r="F36" s="56">
        <f t="shared" si="2"/>
        <v>-1.45</v>
      </c>
      <c r="G36" s="372">
        <f t="shared" si="4"/>
        <v>2365.2</v>
      </c>
      <c r="I36" s="371" t="s">
        <v>952</v>
      </c>
      <c r="L36" s="363"/>
    </row>
    <row r="37" ht="15.75" customHeight="1">
      <c r="A37" s="359">
        <f t="shared" si="1"/>
        <v>3</v>
      </c>
      <c r="B37" s="379">
        <f t="shared" si="3"/>
        <v>204</v>
      </c>
      <c r="C37" s="380" t="s">
        <v>847</v>
      </c>
      <c r="D37" s="56">
        <f>'3a. Typical Mode Sequence (Powe'!C37*$J$8/60</f>
        <v>12.45</v>
      </c>
      <c r="E37" s="56">
        <f>'3. Mode Plot Data'!D37*$J$8/60</f>
        <v>11</v>
      </c>
      <c r="F37" s="56">
        <f t="shared" si="2"/>
        <v>-1.45</v>
      </c>
      <c r="G37" s="372">
        <f t="shared" si="4"/>
        <v>2363.75</v>
      </c>
      <c r="I37" s="364" t="s">
        <v>953</v>
      </c>
      <c r="J37" s="365"/>
      <c r="K37" s="365"/>
      <c r="L37" s="248"/>
    </row>
    <row r="38" ht="15.75" customHeight="1">
      <c r="A38" s="359">
        <f t="shared" si="1"/>
        <v>3</v>
      </c>
      <c r="B38" s="379">
        <f t="shared" si="3"/>
        <v>210</v>
      </c>
      <c r="C38" s="380" t="s">
        <v>847</v>
      </c>
      <c r="D38" s="56">
        <f>'3a. Typical Mode Sequence (Powe'!C38*$J$8/60</f>
        <v>12.45</v>
      </c>
      <c r="E38" s="56">
        <f>'3. Mode Plot Data'!D38*$J$8/60</f>
        <v>11</v>
      </c>
      <c r="F38" s="56">
        <f t="shared" si="2"/>
        <v>-1.45</v>
      </c>
      <c r="G38" s="372">
        <f t="shared" si="4"/>
        <v>2362.3</v>
      </c>
    </row>
    <row r="39" ht="15.75" customHeight="1">
      <c r="A39" s="359">
        <f t="shared" si="1"/>
        <v>3</v>
      </c>
      <c r="B39" s="379">
        <f t="shared" si="3"/>
        <v>216</v>
      </c>
      <c r="C39" s="380" t="s">
        <v>847</v>
      </c>
      <c r="D39" s="56">
        <f>'3a. Typical Mode Sequence (Powe'!C39*$J$8/60</f>
        <v>12.45</v>
      </c>
      <c r="E39" s="56">
        <f>'3. Mode Plot Data'!D39*$J$8/60</f>
        <v>11</v>
      </c>
      <c r="F39" s="56">
        <f t="shared" si="2"/>
        <v>-1.45</v>
      </c>
      <c r="G39" s="372">
        <f t="shared" si="4"/>
        <v>2360.85</v>
      </c>
    </row>
    <row r="40" ht="15.75" customHeight="1">
      <c r="A40" s="359">
        <f t="shared" si="1"/>
        <v>3</v>
      </c>
      <c r="B40" s="379">
        <f t="shared" si="3"/>
        <v>222</v>
      </c>
      <c r="C40" s="380" t="s">
        <v>847</v>
      </c>
      <c r="D40" s="56">
        <f>'3a. Typical Mode Sequence (Powe'!C40*$J$8/60</f>
        <v>12.45</v>
      </c>
      <c r="E40" s="56">
        <f>'3. Mode Plot Data'!D40*$J$8/60</f>
        <v>11</v>
      </c>
      <c r="F40" s="56">
        <f t="shared" si="2"/>
        <v>-1.45</v>
      </c>
      <c r="G40" s="372">
        <f t="shared" si="4"/>
        <v>2359.4</v>
      </c>
    </row>
    <row r="41" ht="15.75" customHeight="1">
      <c r="A41" s="359">
        <f t="shared" si="1"/>
        <v>3</v>
      </c>
      <c r="B41" s="379">
        <f t="shared" si="3"/>
        <v>228</v>
      </c>
      <c r="C41" s="380" t="s">
        <v>847</v>
      </c>
      <c r="D41" s="56">
        <f>'3a. Typical Mode Sequence (Powe'!C41*$J$8/60</f>
        <v>12.45</v>
      </c>
      <c r="E41" s="56">
        <f>'3. Mode Plot Data'!D41*$J$8/60</f>
        <v>11</v>
      </c>
      <c r="F41" s="56">
        <f t="shared" si="2"/>
        <v>-1.45</v>
      </c>
      <c r="G41" s="372">
        <f t="shared" si="4"/>
        <v>2357.95</v>
      </c>
    </row>
    <row r="42" ht="15.75" customHeight="1">
      <c r="A42" s="359">
        <f t="shared" si="1"/>
        <v>3</v>
      </c>
      <c r="B42" s="379">
        <f t="shared" si="3"/>
        <v>234</v>
      </c>
      <c r="C42" s="380" t="s">
        <v>847</v>
      </c>
      <c r="D42" s="56">
        <f>'3a. Typical Mode Sequence (Powe'!C42*$J$8/60</f>
        <v>12.45</v>
      </c>
      <c r="E42" s="56">
        <f>'3. Mode Plot Data'!D42*$J$8/60</f>
        <v>11</v>
      </c>
      <c r="F42" s="56">
        <f t="shared" si="2"/>
        <v>-1.45</v>
      </c>
      <c r="G42" s="372">
        <f t="shared" si="4"/>
        <v>2356.5</v>
      </c>
    </row>
    <row r="43" ht="15.75" customHeight="1">
      <c r="A43" s="359">
        <f t="shared" si="1"/>
        <v>3</v>
      </c>
      <c r="B43" s="379">
        <f t="shared" si="3"/>
        <v>240</v>
      </c>
      <c r="C43" s="380" t="s">
        <v>847</v>
      </c>
      <c r="D43" s="56">
        <f>'3a. Typical Mode Sequence (Powe'!C43*$J$8/60</f>
        <v>12.45</v>
      </c>
      <c r="E43" s="56">
        <f>'3. Mode Plot Data'!D43*$J$8/60</f>
        <v>11</v>
      </c>
      <c r="F43" s="56">
        <f t="shared" si="2"/>
        <v>-1.45</v>
      </c>
      <c r="G43" s="372">
        <f t="shared" si="4"/>
        <v>2355.05</v>
      </c>
    </row>
    <row r="44" ht="15.75" customHeight="1">
      <c r="A44" s="359">
        <f t="shared" si="1"/>
        <v>3</v>
      </c>
      <c r="B44" s="379">
        <f t="shared" si="3"/>
        <v>246</v>
      </c>
      <c r="C44" s="380" t="s">
        <v>847</v>
      </c>
      <c r="D44" s="56">
        <f>'3a. Typical Mode Sequence (Powe'!C44*$J$8/60</f>
        <v>12.45</v>
      </c>
      <c r="E44" s="56">
        <f>'3. Mode Plot Data'!D44*$J$8/60</f>
        <v>11</v>
      </c>
      <c r="F44" s="56">
        <f t="shared" si="2"/>
        <v>-1.45</v>
      </c>
      <c r="G44" s="372">
        <f t="shared" si="4"/>
        <v>2353.6</v>
      </c>
    </row>
    <row r="45" ht="15.75" customHeight="1">
      <c r="A45" s="359">
        <f t="shared" si="1"/>
        <v>3</v>
      </c>
      <c r="B45" s="379">
        <f t="shared" si="3"/>
        <v>252</v>
      </c>
      <c r="C45" s="380" t="s">
        <v>847</v>
      </c>
      <c r="D45" s="56">
        <f>'3a. Typical Mode Sequence (Powe'!C45*$J$8/60</f>
        <v>12.45</v>
      </c>
      <c r="E45" s="56">
        <f>'3. Mode Plot Data'!D45*$J$8/60</f>
        <v>11</v>
      </c>
      <c r="F45" s="56">
        <f t="shared" si="2"/>
        <v>-1.45</v>
      </c>
      <c r="G45" s="372">
        <f t="shared" si="4"/>
        <v>2352.15</v>
      </c>
    </row>
    <row r="46" ht="15.75" customHeight="1">
      <c r="A46" s="359">
        <f t="shared" si="1"/>
        <v>3</v>
      </c>
      <c r="B46" s="379">
        <f t="shared" si="3"/>
        <v>258</v>
      </c>
      <c r="C46" s="380" t="s">
        <v>847</v>
      </c>
      <c r="D46" s="56">
        <f>'3a. Typical Mode Sequence (Powe'!C46*$J$8/60</f>
        <v>12.45</v>
      </c>
      <c r="E46" s="56">
        <f>'3. Mode Plot Data'!D46*$J$8/60</f>
        <v>11</v>
      </c>
      <c r="F46" s="56">
        <f t="shared" si="2"/>
        <v>-1.45</v>
      </c>
      <c r="G46" s="372">
        <f t="shared" si="4"/>
        <v>2350.7</v>
      </c>
    </row>
    <row r="47" ht="15.75" customHeight="1">
      <c r="A47" s="359">
        <f t="shared" si="1"/>
        <v>3</v>
      </c>
      <c r="B47" s="379">
        <f t="shared" si="3"/>
        <v>264</v>
      </c>
      <c r="C47" s="380" t="s">
        <v>847</v>
      </c>
      <c r="D47" s="56">
        <f>'3a. Typical Mode Sequence (Powe'!C47*$J$8/60</f>
        <v>12.45</v>
      </c>
      <c r="E47" s="56">
        <f>'3. Mode Plot Data'!D47*$J$8/60</f>
        <v>11</v>
      </c>
      <c r="F47" s="56">
        <f t="shared" si="2"/>
        <v>-1.45</v>
      </c>
      <c r="G47" s="372">
        <f t="shared" si="4"/>
        <v>2349.25</v>
      </c>
    </row>
    <row r="48" ht="15.75" customHeight="1">
      <c r="A48" s="359">
        <f t="shared" si="1"/>
        <v>4</v>
      </c>
      <c r="B48" s="379">
        <f t="shared" si="3"/>
        <v>270</v>
      </c>
      <c r="C48" s="380" t="s">
        <v>847</v>
      </c>
      <c r="D48" s="56">
        <f>'3a. Typical Mode Sequence (Powe'!C48*$J$8/60</f>
        <v>12.45</v>
      </c>
      <c r="E48" s="56">
        <f>'3. Mode Plot Data'!D48*$J$8/60</f>
        <v>11</v>
      </c>
      <c r="F48" s="56">
        <f t="shared" si="2"/>
        <v>-1.45</v>
      </c>
      <c r="G48" s="372">
        <f t="shared" si="4"/>
        <v>2347.8</v>
      </c>
    </row>
    <row r="49" ht="15.75" customHeight="1">
      <c r="A49" s="359">
        <f t="shared" si="1"/>
        <v>4</v>
      </c>
      <c r="B49" s="379">
        <f t="shared" si="3"/>
        <v>276</v>
      </c>
      <c r="C49" s="380" t="s">
        <v>847</v>
      </c>
      <c r="D49" s="56">
        <f>'3a. Typical Mode Sequence (Powe'!C49*$J$8/60</f>
        <v>12.45</v>
      </c>
      <c r="E49" s="56">
        <f>'3. Mode Plot Data'!D49*$J$8/60</f>
        <v>11</v>
      </c>
      <c r="F49" s="56">
        <f t="shared" si="2"/>
        <v>-1.45</v>
      </c>
      <c r="G49" s="372">
        <f t="shared" si="4"/>
        <v>2346.35</v>
      </c>
    </row>
    <row r="50" ht="15.75" customHeight="1">
      <c r="A50" s="359">
        <f t="shared" si="1"/>
        <v>4</v>
      </c>
      <c r="B50" s="379">
        <f t="shared" si="3"/>
        <v>282</v>
      </c>
      <c r="C50" s="380" t="s">
        <v>847</v>
      </c>
      <c r="D50" s="56">
        <f>'3a. Typical Mode Sequence (Powe'!C50*$J$8/60</f>
        <v>12.45</v>
      </c>
      <c r="E50" s="56">
        <f>'3. Mode Plot Data'!D50*$J$8/60</f>
        <v>11</v>
      </c>
      <c r="F50" s="56">
        <f t="shared" si="2"/>
        <v>-1.45</v>
      </c>
      <c r="G50" s="372">
        <f t="shared" si="4"/>
        <v>2344.9</v>
      </c>
    </row>
    <row r="51" ht="15.75" customHeight="1">
      <c r="A51" s="359">
        <f t="shared" si="1"/>
        <v>4</v>
      </c>
      <c r="B51" s="379">
        <f t="shared" si="3"/>
        <v>288</v>
      </c>
      <c r="C51" s="380" t="s">
        <v>847</v>
      </c>
      <c r="D51" s="56">
        <f>'3a. Typical Mode Sequence (Powe'!C51*$J$8/60</f>
        <v>12.45</v>
      </c>
      <c r="E51" s="56">
        <f>'3. Mode Plot Data'!D51*$J$8/60</f>
        <v>11</v>
      </c>
      <c r="F51" s="56">
        <f t="shared" si="2"/>
        <v>-1.45</v>
      </c>
      <c r="G51" s="372">
        <f t="shared" si="4"/>
        <v>2343.45</v>
      </c>
    </row>
    <row r="52" ht="15.75" customHeight="1">
      <c r="A52" s="359">
        <f t="shared" si="1"/>
        <v>4</v>
      </c>
      <c r="B52" s="379">
        <f t="shared" si="3"/>
        <v>294</v>
      </c>
      <c r="C52" s="380" t="s">
        <v>847</v>
      </c>
      <c r="D52" s="56">
        <f>'3a. Typical Mode Sequence (Powe'!C52*$J$8/60</f>
        <v>12.45</v>
      </c>
      <c r="E52" s="56">
        <f>'3. Mode Plot Data'!D52*$J$8/60</f>
        <v>11</v>
      </c>
      <c r="F52" s="56">
        <f t="shared" si="2"/>
        <v>-1.45</v>
      </c>
      <c r="G52" s="372">
        <f t="shared" si="4"/>
        <v>2342</v>
      </c>
    </row>
    <row r="53" ht="15.75" customHeight="1">
      <c r="A53" s="359">
        <f t="shared" si="1"/>
        <v>4</v>
      </c>
      <c r="B53" s="379">
        <f t="shared" si="3"/>
        <v>300</v>
      </c>
      <c r="C53" s="380" t="s">
        <v>851</v>
      </c>
      <c r="D53" s="56">
        <f>'3a. Typical Mode Sequence (Powe'!C53*$J$8/60</f>
        <v>8.15</v>
      </c>
      <c r="E53" s="56">
        <f>'3. Mode Plot Data'!D53*$J$8/60</f>
        <v>11</v>
      </c>
      <c r="F53" s="56">
        <f t="shared" si="2"/>
        <v>2.85</v>
      </c>
      <c r="G53" s="372">
        <f t="shared" si="4"/>
        <v>2344.85</v>
      </c>
    </row>
    <row r="54" ht="15.75" customHeight="1">
      <c r="A54" s="359">
        <f t="shared" si="1"/>
        <v>4</v>
      </c>
      <c r="B54" s="379">
        <f t="shared" si="3"/>
        <v>306</v>
      </c>
      <c r="C54" s="380" t="s">
        <v>851</v>
      </c>
      <c r="D54" s="56">
        <f>'3a. Typical Mode Sequence (Powe'!C54*$J$8/60</f>
        <v>8.15</v>
      </c>
      <c r="E54" s="56">
        <f>'3. Mode Plot Data'!D54*$J$8/60</f>
        <v>11</v>
      </c>
      <c r="F54" s="56">
        <f t="shared" si="2"/>
        <v>2.85</v>
      </c>
      <c r="G54" s="372">
        <f t="shared" si="4"/>
        <v>2347.7</v>
      </c>
    </row>
    <row r="55" ht="15.75" customHeight="1">
      <c r="A55" s="359">
        <f t="shared" si="1"/>
        <v>4</v>
      </c>
      <c r="B55" s="379">
        <f t="shared" si="3"/>
        <v>312</v>
      </c>
      <c r="C55" s="380" t="s">
        <v>851</v>
      </c>
      <c r="D55" s="56">
        <f>'3a. Typical Mode Sequence (Powe'!C55*$J$8/60</f>
        <v>8.15</v>
      </c>
      <c r="E55" s="56">
        <f>'3. Mode Plot Data'!D55*$J$8/60</f>
        <v>11</v>
      </c>
      <c r="F55" s="56">
        <f t="shared" si="2"/>
        <v>2.85</v>
      </c>
      <c r="G55" s="372">
        <f t="shared" si="4"/>
        <v>2350.55</v>
      </c>
    </row>
    <row r="56" ht="15.75" customHeight="1">
      <c r="A56" s="359">
        <f t="shared" si="1"/>
        <v>4</v>
      </c>
      <c r="B56" s="379">
        <f t="shared" si="3"/>
        <v>318</v>
      </c>
      <c r="C56" s="380" t="s">
        <v>851</v>
      </c>
      <c r="D56" s="56">
        <f>'3a. Typical Mode Sequence (Powe'!C56*$J$8/60</f>
        <v>8.15</v>
      </c>
      <c r="E56" s="56">
        <f>'3. Mode Plot Data'!D56*$J$8/60</f>
        <v>11</v>
      </c>
      <c r="F56" s="56">
        <f t="shared" si="2"/>
        <v>2.85</v>
      </c>
      <c r="G56" s="372">
        <f t="shared" si="4"/>
        <v>2353.4</v>
      </c>
    </row>
    <row r="57" ht="15.75" customHeight="1">
      <c r="A57" s="359">
        <f t="shared" si="1"/>
        <v>4</v>
      </c>
      <c r="B57" s="379">
        <f t="shared" si="3"/>
        <v>324</v>
      </c>
      <c r="C57" s="380" t="s">
        <v>851</v>
      </c>
      <c r="D57" s="56">
        <f>'3a. Typical Mode Sequence (Powe'!C57*$J$8/60</f>
        <v>8.15</v>
      </c>
      <c r="E57" s="56">
        <f>'3. Mode Plot Data'!D57*$J$8/60</f>
        <v>11</v>
      </c>
      <c r="F57" s="56">
        <f t="shared" si="2"/>
        <v>2.85</v>
      </c>
      <c r="G57" s="372">
        <f t="shared" si="4"/>
        <v>2356.25</v>
      </c>
    </row>
    <row r="58" ht="15.75" customHeight="1">
      <c r="A58" s="359">
        <f t="shared" si="1"/>
        <v>4</v>
      </c>
      <c r="B58" s="379">
        <f t="shared" si="3"/>
        <v>330</v>
      </c>
      <c r="C58" s="380" t="s">
        <v>851</v>
      </c>
      <c r="D58" s="56">
        <f>'3a. Typical Mode Sequence (Powe'!C58*$J$8/60</f>
        <v>8.15</v>
      </c>
      <c r="E58" s="56">
        <f>'3. Mode Plot Data'!D58*$J$8/60</f>
        <v>11</v>
      </c>
      <c r="F58" s="56">
        <f t="shared" si="2"/>
        <v>2.85</v>
      </c>
      <c r="G58" s="372">
        <f t="shared" si="4"/>
        <v>2359.1</v>
      </c>
    </row>
    <row r="59" ht="15.75" customHeight="1">
      <c r="A59" s="359">
        <f t="shared" si="1"/>
        <v>4</v>
      </c>
      <c r="B59" s="379">
        <f t="shared" si="3"/>
        <v>336</v>
      </c>
      <c r="C59" s="380" t="s">
        <v>851</v>
      </c>
      <c r="D59" s="56">
        <f>'3a. Typical Mode Sequence (Powe'!C59*$J$8/60</f>
        <v>8.15</v>
      </c>
      <c r="E59" s="56">
        <f>'3. Mode Plot Data'!D59*$J$8/60</f>
        <v>11</v>
      </c>
      <c r="F59" s="56">
        <f t="shared" si="2"/>
        <v>2.85</v>
      </c>
      <c r="G59" s="372">
        <f t="shared" si="4"/>
        <v>2361.95</v>
      </c>
    </row>
    <row r="60" ht="15.75" customHeight="1">
      <c r="A60" s="359">
        <f t="shared" si="1"/>
        <v>4</v>
      </c>
      <c r="B60" s="379">
        <f t="shared" si="3"/>
        <v>342</v>
      </c>
      <c r="C60" s="380" t="s">
        <v>851</v>
      </c>
      <c r="D60" s="56">
        <f>'3a. Typical Mode Sequence (Powe'!C60*$J$8/60</f>
        <v>8.15</v>
      </c>
      <c r="E60" s="56">
        <f>'3. Mode Plot Data'!D60*$J$8/60</f>
        <v>11</v>
      </c>
      <c r="F60" s="56">
        <f t="shared" si="2"/>
        <v>2.85</v>
      </c>
      <c r="G60" s="372">
        <f t="shared" si="4"/>
        <v>2364.8</v>
      </c>
    </row>
    <row r="61" ht="15.75" customHeight="1">
      <c r="A61" s="359">
        <f t="shared" si="1"/>
        <v>4</v>
      </c>
      <c r="B61" s="379">
        <f t="shared" si="3"/>
        <v>348</v>
      </c>
      <c r="C61" s="380" t="s">
        <v>851</v>
      </c>
      <c r="D61" s="56">
        <f>'3a. Typical Mode Sequence (Powe'!C61*$J$8/60</f>
        <v>8.15</v>
      </c>
      <c r="E61" s="56">
        <f>'3. Mode Plot Data'!D61*$J$8/60</f>
        <v>11</v>
      </c>
      <c r="F61" s="56">
        <f t="shared" si="2"/>
        <v>2.85</v>
      </c>
      <c r="G61" s="372">
        <f t="shared" si="4"/>
        <v>2367.65</v>
      </c>
    </row>
    <row r="62" ht="15.75" customHeight="1">
      <c r="A62" s="359">
        <f t="shared" si="1"/>
        <v>4</v>
      </c>
      <c r="B62" s="379">
        <f t="shared" si="3"/>
        <v>354</v>
      </c>
      <c r="C62" s="380" t="s">
        <v>851</v>
      </c>
      <c r="D62" s="56">
        <f>'3a. Typical Mode Sequence (Powe'!C62*$J$8/60</f>
        <v>8.15</v>
      </c>
      <c r="E62" s="56">
        <f>'3. Mode Plot Data'!D62*$J$8/60</f>
        <v>11</v>
      </c>
      <c r="F62" s="56">
        <f t="shared" si="2"/>
        <v>2.85</v>
      </c>
      <c r="G62" s="372">
        <f t="shared" si="4"/>
        <v>2370.5</v>
      </c>
    </row>
    <row r="63" ht="15.75" customHeight="1">
      <c r="A63" s="359">
        <f t="shared" si="1"/>
        <v>5</v>
      </c>
      <c r="B63" s="379">
        <f t="shared" si="3"/>
        <v>360</v>
      </c>
      <c r="C63" s="380" t="s">
        <v>851</v>
      </c>
      <c r="D63" s="56">
        <f>'3a. Typical Mode Sequence (Powe'!C63*$J$8/60</f>
        <v>8.15</v>
      </c>
      <c r="E63" s="56">
        <f>'3. Mode Plot Data'!D63*$J$8/60</f>
        <v>11</v>
      </c>
      <c r="F63" s="56">
        <f t="shared" si="2"/>
        <v>2.85</v>
      </c>
      <c r="G63" s="372">
        <f t="shared" si="4"/>
        <v>2373.35</v>
      </c>
    </row>
    <row r="64" ht="15.75" customHeight="1">
      <c r="A64" s="359">
        <f t="shared" si="1"/>
        <v>5</v>
      </c>
      <c r="B64" s="379">
        <f t="shared" si="3"/>
        <v>366</v>
      </c>
      <c r="C64" s="380" t="s">
        <v>851</v>
      </c>
      <c r="D64" s="56">
        <f>'3a. Typical Mode Sequence (Powe'!C64*$J$8/60</f>
        <v>8.15</v>
      </c>
      <c r="E64" s="56">
        <f>'3. Mode Plot Data'!D64*$J$8/60</f>
        <v>11</v>
      </c>
      <c r="F64" s="56">
        <f t="shared" si="2"/>
        <v>2.85</v>
      </c>
      <c r="G64" s="372">
        <f t="shared" si="4"/>
        <v>2376.2</v>
      </c>
    </row>
    <row r="65" ht="15.75" customHeight="1">
      <c r="A65" s="359">
        <f t="shared" si="1"/>
        <v>5</v>
      </c>
      <c r="B65" s="379">
        <f t="shared" si="3"/>
        <v>372</v>
      </c>
      <c r="C65" s="380" t="s">
        <v>851</v>
      </c>
      <c r="D65" s="56">
        <f>'3a. Typical Mode Sequence (Powe'!C65*$J$8/60</f>
        <v>8.15</v>
      </c>
      <c r="E65" s="56">
        <f>'3. Mode Plot Data'!D65*$J$8/60</f>
        <v>11</v>
      </c>
      <c r="F65" s="56">
        <f t="shared" si="2"/>
        <v>2.85</v>
      </c>
      <c r="G65" s="372">
        <f t="shared" si="4"/>
        <v>2379.05</v>
      </c>
    </row>
    <row r="66" ht="15.75" customHeight="1">
      <c r="A66" s="359">
        <f t="shared" si="1"/>
        <v>5</v>
      </c>
      <c r="B66" s="379">
        <f t="shared" si="3"/>
        <v>378</v>
      </c>
      <c r="C66" s="380" t="s">
        <v>851</v>
      </c>
      <c r="D66" s="56">
        <f>'3a. Typical Mode Sequence (Powe'!C66*$J$8/60</f>
        <v>8.15</v>
      </c>
      <c r="E66" s="56">
        <f>'3. Mode Plot Data'!D66*$J$8/60</f>
        <v>11</v>
      </c>
      <c r="F66" s="56">
        <f t="shared" si="2"/>
        <v>2.85</v>
      </c>
      <c r="G66" s="372">
        <f t="shared" si="4"/>
        <v>2381.9</v>
      </c>
    </row>
    <row r="67" ht="15.75" customHeight="1">
      <c r="A67" s="359">
        <f t="shared" si="1"/>
        <v>5</v>
      </c>
      <c r="B67" s="379">
        <f t="shared" si="3"/>
        <v>384</v>
      </c>
      <c r="C67" s="380" t="s">
        <v>851</v>
      </c>
      <c r="D67" s="56">
        <f>'3a. Typical Mode Sequence (Powe'!C67*$J$8/60</f>
        <v>8.15</v>
      </c>
      <c r="E67" s="56">
        <f>'3. Mode Plot Data'!D67*$J$8/60</f>
        <v>11</v>
      </c>
      <c r="F67" s="56">
        <f t="shared" si="2"/>
        <v>2.85</v>
      </c>
      <c r="G67" s="372">
        <f t="shared" si="4"/>
        <v>2384.75</v>
      </c>
    </row>
    <row r="68" ht="15.75" customHeight="1">
      <c r="A68" s="359">
        <f t="shared" si="1"/>
        <v>5</v>
      </c>
      <c r="B68" s="379">
        <f t="shared" si="3"/>
        <v>390</v>
      </c>
      <c r="C68" s="380" t="s">
        <v>851</v>
      </c>
      <c r="D68" s="56">
        <f>'3a. Typical Mode Sequence (Powe'!C68*$J$8/60</f>
        <v>8.15</v>
      </c>
      <c r="E68" s="56">
        <f>'3. Mode Plot Data'!D68*$J$8/60</f>
        <v>11</v>
      </c>
      <c r="F68" s="56">
        <f t="shared" si="2"/>
        <v>2.85</v>
      </c>
      <c r="G68" s="372">
        <f t="shared" si="4"/>
        <v>2387.6</v>
      </c>
    </row>
    <row r="69" ht="15.75" customHeight="1">
      <c r="A69" s="359">
        <f t="shared" si="1"/>
        <v>5</v>
      </c>
      <c r="B69" s="379">
        <f t="shared" si="3"/>
        <v>396</v>
      </c>
      <c r="C69" s="380" t="s">
        <v>851</v>
      </c>
      <c r="D69" s="56">
        <f>'3a. Typical Mode Sequence (Powe'!C69*$J$8/60</f>
        <v>8.15</v>
      </c>
      <c r="E69" s="56">
        <f>'3. Mode Plot Data'!D69*$J$8/60</f>
        <v>11</v>
      </c>
      <c r="F69" s="56">
        <f t="shared" si="2"/>
        <v>2.85</v>
      </c>
      <c r="G69" s="372">
        <f t="shared" si="4"/>
        <v>2390.45</v>
      </c>
    </row>
    <row r="70" ht="15.75" customHeight="1">
      <c r="A70" s="359">
        <f t="shared" si="1"/>
        <v>5</v>
      </c>
      <c r="B70" s="379">
        <f t="shared" si="3"/>
        <v>402</v>
      </c>
      <c r="C70" s="380" t="s">
        <v>851</v>
      </c>
      <c r="D70" s="56">
        <f>'3a. Typical Mode Sequence (Powe'!C70*$J$8/60</f>
        <v>8.15</v>
      </c>
      <c r="E70" s="56">
        <f>'3. Mode Plot Data'!D70*$J$8/60</f>
        <v>11</v>
      </c>
      <c r="F70" s="56">
        <f t="shared" si="2"/>
        <v>2.85</v>
      </c>
      <c r="G70" s="372">
        <f t="shared" si="4"/>
        <v>2393.3</v>
      </c>
    </row>
    <row r="71" ht="15.75" customHeight="1">
      <c r="A71" s="359">
        <f t="shared" si="1"/>
        <v>5</v>
      </c>
      <c r="B71" s="379">
        <f t="shared" si="3"/>
        <v>408</v>
      </c>
      <c r="C71" s="380" t="s">
        <v>851</v>
      </c>
      <c r="D71" s="56">
        <f>'3a. Typical Mode Sequence (Powe'!C71*$J$8/60</f>
        <v>8.15</v>
      </c>
      <c r="E71" s="56">
        <f>'3. Mode Plot Data'!D71*$J$8/60</f>
        <v>11</v>
      </c>
      <c r="F71" s="56">
        <f t="shared" si="2"/>
        <v>2.85</v>
      </c>
      <c r="G71" s="372">
        <f t="shared" si="4"/>
        <v>2396.15</v>
      </c>
    </row>
    <row r="72" ht="15.75" customHeight="1">
      <c r="A72" s="359">
        <f t="shared" si="1"/>
        <v>5</v>
      </c>
      <c r="B72" s="379">
        <f t="shared" si="3"/>
        <v>414</v>
      </c>
      <c r="C72" s="380" t="s">
        <v>851</v>
      </c>
      <c r="D72" s="56">
        <f>'3a. Typical Mode Sequence (Powe'!C72*$J$8/60</f>
        <v>8.15</v>
      </c>
      <c r="E72" s="56">
        <f>'3. Mode Plot Data'!D72*$J$8/60</f>
        <v>11</v>
      </c>
      <c r="F72" s="56">
        <f t="shared" si="2"/>
        <v>2.85</v>
      </c>
      <c r="G72" s="372">
        <f t="shared" si="4"/>
        <v>2399</v>
      </c>
    </row>
    <row r="73" ht="15.75" customHeight="1">
      <c r="A73" s="359">
        <f t="shared" si="1"/>
        <v>5</v>
      </c>
      <c r="B73" s="379">
        <f t="shared" si="3"/>
        <v>420</v>
      </c>
      <c r="C73" s="380" t="s">
        <v>851</v>
      </c>
      <c r="D73" s="56">
        <f>'3a. Typical Mode Sequence (Powe'!C73*$J$8/60</f>
        <v>8.15</v>
      </c>
      <c r="E73" s="56">
        <f>'3. Mode Plot Data'!D73*$J$8/60</f>
        <v>11</v>
      </c>
      <c r="F73" s="56">
        <f t="shared" si="2"/>
        <v>2.85</v>
      </c>
      <c r="G73" s="372">
        <f t="shared" si="4"/>
        <v>2400</v>
      </c>
    </row>
    <row r="74" ht="15.75" customHeight="1">
      <c r="A74" s="359">
        <f t="shared" si="1"/>
        <v>5</v>
      </c>
      <c r="B74" s="379">
        <f t="shared" si="3"/>
        <v>426</v>
      </c>
      <c r="C74" s="380" t="s">
        <v>851</v>
      </c>
      <c r="D74" s="56">
        <f>'3a. Typical Mode Sequence (Powe'!C74*$J$8/60</f>
        <v>8.15</v>
      </c>
      <c r="E74" s="56">
        <f>'3. Mode Plot Data'!D74*$J$8/60</f>
        <v>11</v>
      </c>
      <c r="F74" s="56">
        <f t="shared" si="2"/>
        <v>2.85</v>
      </c>
      <c r="G74" s="372">
        <f t="shared" si="4"/>
        <v>2400</v>
      </c>
    </row>
    <row r="75" ht="15.75" customHeight="1">
      <c r="A75" s="359">
        <f t="shared" si="1"/>
        <v>5</v>
      </c>
      <c r="B75" s="379">
        <f t="shared" si="3"/>
        <v>432</v>
      </c>
      <c r="C75" s="380" t="s">
        <v>851</v>
      </c>
      <c r="D75" s="56">
        <f>'3a. Typical Mode Sequence (Powe'!C75*$J$8/60</f>
        <v>8.15</v>
      </c>
      <c r="E75" s="56">
        <f>'3. Mode Plot Data'!D75*$J$8/60</f>
        <v>11</v>
      </c>
      <c r="F75" s="56">
        <f t="shared" si="2"/>
        <v>2.85</v>
      </c>
      <c r="G75" s="372">
        <f t="shared" si="4"/>
        <v>2400</v>
      </c>
    </row>
    <row r="76" ht="15.75" customHeight="1">
      <c r="A76" s="359">
        <f t="shared" si="1"/>
        <v>5</v>
      </c>
      <c r="B76" s="379">
        <f t="shared" si="3"/>
        <v>438</v>
      </c>
      <c r="C76" s="380" t="s">
        <v>851</v>
      </c>
      <c r="D76" s="56">
        <f>'3a. Typical Mode Sequence (Powe'!C76*$J$8/60</f>
        <v>8.15</v>
      </c>
      <c r="E76" s="56">
        <f>'3. Mode Plot Data'!D76*$J$8/60</f>
        <v>11</v>
      </c>
      <c r="F76" s="56">
        <f t="shared" si="2"/>
        <v>2.85</v>
      </c>
      <c r="G76" s="372">
        <f t="shared" si="4"/>
        <v>2400</v>
      </c>
    </row>
    <row r="77" ht="15.75" customHeight="1">
      <c r="A77" s="359">
        <f t="shared" si="1"/>
        <v>5</v>
      </c>
      <c r="B77" s="379">
        <f t="shared" si="3"/>
        <v>444</v>
      </c>
      <c r="C77" s="380" t="s">
        <v>851</v>
      </c>
      <c r="D77" s="56">
        <f>'3a. Typical Mode Sequence (Powe'!C77*$J$8/60</f>
        <v>8.15</v>
      </c>
      <c r="E77" s="56">
        <f>'3. Mode Plot Data'!D77*$J$8/60</f>
        <v>11</v>
      </c>
      <c r="F77" s="56">
        <f t="shared" si="2"/>
        <v>2.85</v>
      </c>
      <c r="G77" s="372">
        <f t="shared" si="4"/>
        <v>2400</v>
      </c>
    </row>
    <row r="78" ht="15.75" customHeight="1">
      <c r="A78" s="359">
        <f t="shared" si="1"/>
        <v>6</v>
      </c>
      <c r="B78" s="379">
        <f t="shared" si="3"/>
        <v>450</v>
      </c>
      <c r="C78" s="380" t="s">
        <v>851</v>
      </c>
      <c r="D78" s="56">
        <f>'3a. Typical Mode Sequence (Powe'!C78*$J$8/60</f>
        <v>8.15</v>
      </c>
      <c r="E78" s="56">
        <f>'3. Mode Plot Data'!D78*$J$8/60</f>
        <v>11</v>
      </c>
      <c r="F78" s="56">
        <f t="shared" si="2"/>
        <v>2.85</v>
      </c>
      <c r="G78" s="372">
        <f t="shared" si="4"/>
        <v>2400</v>
      </c>
    </row>
    <row r="79" ht="15.75" customHeight="1">
      <c r="A79" s="359">
        <f t="shared" si="1"/>
        <v>6</v>
      </c>
      <c r="B79" s="379">
        <f t="shared" si="3"/>
        <v>456</v>
      </c>
      <c r="C79" s="380" t="s">
        <v>851</v>
      </c>
      <c r="D79" s="56">
        <f>'3a. Typical Mode Sequence (Powe'!C79*$J$8/60</f>
        <v>8.15</v>
      </c>
      <c r="E79" s="56">
        <f>'3. Mode Plot Data'!D79*$J$8/60</f>
        <v>11</v>
      </c>
      <c r="F79" s="56">
        <f t="shared" si="2"/>
        <v>2.85</v>
      </c>
      <c r="G79" s="372">
        <f t="shared" si="4"/>
        <v>2400</v>
      </c>
    </row>
    <row r="80" ht="15.75" customHeight="1">
      <c r="A80" s="359">
        <f t="shared" si="1"/>
        <v>6</v>
      </c>
      <c r="B80" s="379">
        <f t="shared" si="3"/>
        <v>462</v>
      </c>
      <c r="C80" s="380" t="s">
        <v>851</v>
      </c>
      <c r="D80" s="56">
        <f>'3a. Typical Mode Sequence (Powe'!C80*$J$8/60</f>
        <v>8.15</v>
      </c>
      <c r="E80" s="56">
        <f>'3. Mode Plot Data'!D80*$J$8/60</f>
        <v>11</v>
      </c>
      <c r="F80" s="56">
        <f t="shared" si="2"/>
        <v>2.85</v>
      </c>
      <c r="G80" s="372">
        <f t="shared" si="4"/>
        <v>2400</v>
      </c>
    </row>
    <row r="81" ht="15.75" customHeight="1">
      <c r="A81" s="359">
        <f t="shared" si="1"/>
        <v>6</v>
      </c>
      <c r="B81" s="379">
        <f t="shared" si="3"/>
        <v>468</v>
      </c>
      <c r="C81" s="380" t="s">
        <v>851</v>
      </c>
      <c r="D81" s="56">
        <f>'3a. Typical Mode Sequence (Powe'!C81*$J$8/60</f>
        <v>8.15</v>
      </c>
      <c r="E81" s="56">
        <f>'3. Mode Plot Data'!D81*$J$8/60</f>
        <v>11</v>
      </c>
      <c r="F81" s="56">
        <f t="shared" si="2"/>
        <v>2.85</v>
      </c>
      <c r="G81" s="372">
        <f t="shared" si="4"/>
        <v>2400</v>
      </c>
    </row>
    <row r="82" ht="15.75" customHeight="1">
      <c r="A82" s="359">
        <f t="shared" si="1"/>
        <v>6</v>
      </c>
      <c r="B82" s="379">
        <f t="shared" si="3"/>
        <v>474</v>
      </c>
      <c r="C82" s="380" t="s">
        <v>851</v>
      </c>
      <c r="D82" s="56">
        <f>'3a. Typical Mode Sequence (Powe'!C82*$J$8/60</f>
        <v>8.15</v>
      </c>
      <c r="E82" s="56">
        <f>'3. Mode Plot Data'!D82*$J$8/60</f>
        <v>11</v>
      </c>
      <c r="F82" s="56">
        <f t="shared" si="2"/>
        <v>2.85</v>
      </c>
      <c r="G82" s="372">
        <f t="shared" si="4"/>
        <v>2400</v>
      </c>
    </row>
    <row r="83" ht="15.75" customHeight="1">
      <c r="A83" s="359">
        <f t="shared" si="1"/>
        <v>6</v>
      </c>
      <c r="B83" s="379">
        <f t="shared" si="3"/>
        <v>480</v>
      </c>
      <c r="C83" s="380" t="s">
        <v>851</v>
      </c>
      <c r="D83" s="56">
        <f>'3a. Typical Mode Sequence (Powe'!C83*$J$8/60</f>
        <v>8.15</v>
      </c>
      <c r="E83" s="56">
        <f>'3. Mode Plot Data'!D83*$J$8/60</f>
        <v>11</v>
      </c>
      <c r="F83" s="56">
        <f t="shared" si="2"/>
        <v>2.85</v>
      </c>
      <c r="G83" s="372">
        <f t="shared" si="4"/>
        <v>2400</v>
      </c>
    </row>
    <row r="84" ht="15.75" customHeight="1">
      <c r="A84" s="359">
        <f t="shared" si="1"/>
        <v>6</v>
      </c>
      <c r="B84" s="379">
        <f t="shared" si="3"/>
        <v>486</v>
      </c>
      <c r="C84" s="380" t="s">
        <v>851</v>
      </c>
      <c r="D84" s="56">
        <f>'3a. Typical Mode Sequence (Powe'!C84*$J$8/60</f>
        <v>8.15</v>
      </c>
      <c r="E84" s="56">
        <f>'3. Mode Plot Data'!D84*$J$8/60</f>
        <v>11</v>
      </c>
      <c r="F84" s="56">
        <f t="shared" si="2"/>
        <v>2.85</v>
      </c>
      <c r="G84" s="372">
        <f t="shared" si="4"/>
        <v>2400</v>
      </c>
    </row>
    <row r="85" ht="15.75" customHeight="1">
      <c r="A85" s="359">
        <f t="shared" si="1"/>
        <v>6</v>
      </c>
      <c r="B85" s="379">
        <f t="shared" si="3"/>
        <v>492</v>
      </c>
      <c r="C85" s="380" t="s">
        <v>851</v>
      </c>
      <c r="D85" s="56">
        <f>'3a. Typical Mode Sequence (Powe'!C85*$J$8/60</f>
        <v>8.15</v>
      </c>
      <c r="E85" s="56">
        <f>'3. Mode Plot Data'!D85*$J$8/60</f>
        <v>11</v>
      </c>
      <c r="F85" s="56">
        <f t="shared" si="2"/>
        <v>2.85</v>
      </c>
      <c r="G85" s="372">
        <f t="shared" si="4"/>
        <v>2400</v>
      </c>
    </row>
    <row r="86" ht="15.75" customHeight="1">
      <c r="A86" s="359">
        <f t="shared" si="1"/>
        <v>6</v>
      </c>
      <c r="B86" s="379">
        <f t="shared" si="3"/>
        <v>498</v>
      </c>
      <c r="C86" s="380" t="s">
        <v>851</v>
      </c>
      <c r="D86" s="56">
        <f>'3a. Typical Mode Sequence (Powe'!C86*$J$8/60</f>
        <v>8.15</v>
      </c>
      <c r="E86" s="56">
        <f>'3. Mode Plot Data'!D86*$J$8/60</f>
        <v>11</v>
      </c>
      <c r="F86" s="56">
        <f t="shared" si="2"/>
        <v>2.85</v>
      </c>
      <c r="G86" s="372">
        <f t="shared" si="4"/>
        <v>2400</v>
      </c>
    </row>
    <row r="87" ht="15.75" customHeight="1">
      <c r="A87" s="359">
        <f t="shared" si="1"/>
        <v>6</v>
      </c>
      <c r="B87" s="379">
        <f t="shared" si="3"/>
        <v>504</v>
      </c>
      <c r="C87" s="380" t="s">
        <v>851</v>
      </c>
      <c r="D87" s="56">
        <f>'3a. Typical Mode Sequence (Powe'!C87*$J$8/60</f>
        <v>8.15</v>
      </c>
      <c r="E87" s="56">
        <f>'3. Mode Plot Data'!D87*$J$8/60</f>
        <v>11</v>
      </c>
      <c r="F87" s="56">
        <f t="shared" si="2"/>
        <v>2.85</v>
      </c>
      <c r="G87" s="372">
        <f t="shared" si="4"/>
        <v>2400</v>
      </c>
    </row>
    <row r="88" ht="15.75" customHeight="1">
      <c r="A88" s="359">
        <f t="shared" si="1"/>
        <v>6</v>
      </c>
      <c r="B88" s="379">
        <f t="shared" si="3"/>
        <v>510</v>
      </c>
      <c r="C88" s="380" t="s">
        <v>851</v>
      </c>
      <c r="D88" s="56">
        <f>'3a. Typical Mode Sequence (Powe'!C88*$J$8/60</f>
        <v>8.15</v>
      </c>
      <c r="E88" s="56">
        <f>'3. Mode Plot Data'!D88*$J$8/60</f>
        <v>11</v>
      </c>
      <c r="F88" s="56">
        <f t="shared" si="2"/>
        <v>2.85</v>
      </c>
      <c r="G88" s="372">
        <f t="shared" si="4"/>
        <v>2400</v>
      </c>
    </row>
    <row r="89" ht="15.75" customHeight="1">
      <c r="A89" s="359">
        <f t="shared" si="1"/>
        <v>6</v>
      </c>
      <c r="B89" s="379">
        <f t="shared" si="3"/>
        <v>516</v>
      </c>
      <c r="C89" s="380" t="s">
        <v>851</v>
      </c>
      <c r="D89" s="56">
        <f>'3a. Typical Mode Sequence (Powe'!C89*$J$8/60</f>
        <v>8.15</v>
      </c>
      <c r="E89" s="56">
        <f>'3. Mode Plot Data'!D89*$J$8/60</f>
        <v>11</v>
      </c>
      <c r="F89" s="56">
        <f t="shared" si="2"/>
        <v>2.85</v>
      </c>
      <c r="G89" s="372">
        <f t="shared" si="4"/>
        <v>2400</v>
      </c>
    </row>
    <row r="90" ht="15.75" customHeight="1">
      <c r="A90" s="359">
        <f t="shared" si="1"/>
        <v>6</v>
      </c>
      <c r="B90" s="379">
        <f t="shared" si="3"/>
        <v>522</v>
      </c>
      <c r="C90" s="380" t="s">
        <v>851</v>
      </c>
      <c r="D90" s="56">
        <f>'3a. Typical Mode Sequence (Powe'!C90*$J$8/60</f>
        <v>8.15</v>
      </c>
      <c r="E90" s="56">
        <f>'3. Mode Plot Data'!D90*$J$8/60</f>
        <v>11</v>
      </c>
      <c r="F90" s="56">
        <f t="shared" si="2"/>
        <v>2.85</v>
      </c>
      <c r="G90" s="372">
        <f t="shared" si="4"/>
        <v>2400</v>
      </c>
    </row>
    <row r="91" ht="15.75" customHeight="1">
      <c r="A91" s="359">
        <f t="shared" si="1"/>
        <v>6</v>
      </c>
      <c r="B91" s="379">
        <f t="shared" si="3"/>
        <v>528</v>
      </c>
      <c r="C91" s="380" t="s">
        <v>851</v>
      </c>
      <c r="D91" s="56">
        <f>'3a. Typical Mode Sequence (Powe'!C91*$J$8/60</f>
        <v>8.15</v>
      </c>
      <c r="E91" s="56">
        <f>'3. Mode Plot Data'!D91*$J$8/60</f>
        <v>11</v>
      </c>
      <c r="F91" s="56">
        <f t="shared" si="2"/>
        <v>2.85</v>
      </c>
      <c r="G91" s="372">
        <f t="shared" si="4"/>
        <v>2400</v>
      </c>
    </row>
    <row r="92" ht="15.75" customHeight="1">
      <c r="A92" s="375">
        <f t="shared" si="1"/>
        <v>6</v>
      </c>
      <c r="B92" s="379">
        <f t="shared" si="3"/>
        <v>534</v>
      </c>
      <c r="C92" s="380" t="s">
        <v>851</v>
      </c>
      <c r="D92" s="56">
        <f>'3a. Typical Mode Sequence (Powe'!C92*$J$8/60</f>
        <v>8.15</v>
      </c>
      <c r="E92" s="56">
        <f>'3. Mode Plot Data'!D92*$J$8/60</f>
        <v>11</v>
      </c>
      <c r="F92" s="408">
        <f t="shared" si="2"/>
        <v>2.85</v>
      </c>
      <c r="G92" s="373">
        <f t="shared" si="4"/>
        <v>2400</v>
      </c>
    </row>
    <row r="93" ht="15.75" customHeight="1">
      <c r="A93" s="304">
        <f t="shared" si="1"/>
        <v>7</v>
      </c>
      <c r="B93" s="379">
        <f t="shared" si="3"/>
        <v>540</v>
      </c>
      <c r="C93" s="380" t="s">
        <v>851</v>
      </c>
      <c r="D93" s="56">
        <f>'3a. Typical Mode Sequence (Powe'!C93*$J$8/60</f>
        <v>8.15</v>
      </c>
      <c r="E93" s="56">
        <f>'3. Mode Plot Data'!D93*$J$8/60</f>
        <v>11</v>
      </c>
      <c r="F93" s="56">
        <f t="shared" si="2"/>
        <v>2.85</v>
      </c>
      <c r="G93" s="372">
        <f t="shared" si="4"/>
        <v>2400</v>
      </c>
    </row>
    <row r="94" ht="15.75" customHeight="1">
      <c r="A94" s="304">
        <f t="shared" si="1"/>
        <v>7</v>
      </c>
      <c r="B94" s="379">
        <f t="shared" si="3"/>
        <v>546</v>
      </c>
      <c r="C94" s="380" t="s">
        <v>851</v>
      </c>
      <c r="D94" s="56">
        <f>'3a. Typical Mode Sequence (Powe'!C94*$J$8/60</f>
        <v>8.15</v>
      </c>
      <c r="E94" s="56">
        <f>'3. Mode Plot Data'!D94*$J$8/60</f>
        <v>11</v>
      </c>
      <c r="F94" s="56">
        <f t="shared" si="2"/>
        <v>2.85</v>
      </c>
      <c r="G94" s="372">
        <f t="shared" si="4"/>
        <v>2400</v>
      </c>
    </row>
    <row r="95" ht="15.75" customHeight="1">
      <c r="A95" s="304">
        <f t="shared" si="1"/>
        <v>7</v>
      </c>
      <c r="B95" s="379">
        <f t="shared" si="3"/>
        <v>552</v>
      </c>
      <c r="C95" s="380" t="s">
        <v>851</v>
      </c>
      <c r="D95" s="56">
        <f>'3a. Typical Mode Sequence (Powe'!C95*$J$8/60</f>
        <v>8.15</v>
      </c>
      <c r="E95" s="56">
        <f>'3. Mode Plot Data'!D95*$J$8/60</f>
        <v>11</v>
      </c>
      <c r="F95" s="56">
        <f t="shared" si="2"/>
        <v>2.85</v>
      </c>
      <c r="G95" s="372">
        <f t="shared" si="4"/>
        <v>2400</v>
      </c>
    </row>
    <row r="96" ht="15.75" customHeight="1">
      <c r="A96" s="304">
        <f t="shared" si="1"/>
        <v>7</v>
      </c>
      <c r="B96" s="379">
        <f t="shared" si="3"/>
        <v>558</v>
      </c>
      <c r="C96" s="380" t="s">
        <v>851</v>
      </c>
      <c r="D96" s="56">
        <f>'3a. Typical Mode Sequence (Powe'!C96*$J$8/60</f>
        <v>8.15</v>
      </c>
      <c r="E96" s="56">
        <f>'3. Mode Plot Data'!D96*$J$8/60</f>
        <v>11</v>
      </c>
      <c r="F96" s="56">
        <f t="shared" si="2"/>
        <v>2.85</v>
      </c>
      <c r="G96" s="372">
        <f t="shared" si="4"/>
        <v>2400</v>
      </c>
    </row>
    <row r="97" ht="15.75" customHeight="1">
      <c r="A97" s="304">
        <f t="shared" si="1"/>
        <v>7</v>
      </c>
      <c r="B97" s="379">
        <f t="shared" si="3"/>
        <v>564</v>
      </c>
      <c r="C97" s="380" t="s">
        <v>851</v>
      </c>
      <c r="D97" s="56">
        <f>'3a. Typical Mode Sequence (Powe'!C97*$J$8/60</f>
        <v>8.15</v>
      </c>
      <c r="E97" s="56">
        <f>'3. Mode Plot Data'!D97*$J$8/60</f>
        <v>11</v>
      </c>
      <c r="F97" s="56">
        <f t="shared" si="2"/>
        <v>2.85</v>
      </c>
      <c r="G97" s="372">
        <f t="shared" si="4"/>
        <v>2400</v>
      </c>
    </row>
    <row r="98" ht="15.75" customHeight="1">
      <c r="A98" s="304">
        <f t="shared" si="1"/>
        <v>7</v>
      </c>
      <c r="B98" s="379">
        <f t="shared" si="3"/>
        <v>570</v>
      </c>
      <c r="C98" s="380" t="s">
        <v>851</v>
      </c>
      <c r="D98" s="56">
        <f>'3a. Typical Mode Sequence (Powe'!C98*$J$8/60</f>
        <v>8.15</v>
      </c>
      <c r="E98" s="56">
        <f>'3. Mode Plot Data'!D98*$J$8/60</f>
        <v>11</v>
      </c>
      <c r="F98" s="56">
        <f t="shared" si="2"/>
        <v>2.85</v>
      </c>
      <c r="G98" s="372">
        <f t="shared" si="4"/>
        <v>2400</v>
      </c>
    </row>
    <row r="99" ht="15.75" customHeight="1">
      <c r="A99" s="304">
        <f t="shared" si="1"/>
        <v>7</v>
      </c>
      <c r="B99" s="379">
        <f t="shared" si="3"/>
        <v>576</v>
      </c>
      <c r="C99" s="380" t="s">
        <v>851</v>
      </c>
      <c r="D99" s="56">
        <f>'3a. Typical Mode Sequence (Powe'!C99*$J$8/60</f>
        <v>8.15</v>
      </c>
      <c r="E99" s="56">
        <f>'3. Mode Plot Data'!D99*$J$8/60</f>
        <v>11</v>
      </c>
      <c r="F99" s="56">
        <f t="shared" si="2"/>
        <v>2.85</v>
      </c>
      <c r="G99" s="372">
        <f t="shared" si="4"/>
        <v>2400</v>
      </c>
    </row>
    <row r="100" ht="15.75" customHeight="1">
      <c r="A100" s="304">
        <f t="shared" si="1"/>
        <v>7</v>
      </c>
      <c r="B100" s="379">
        <f t="shared" si="3"/>
        <v>582</v>
      </c>
      <c r="C100" s="380" t="s">
        <v>851</v>
      </c>
      <c r="D100" s="56">
        <f>'3a. Typical Mode Sequence (Powe'!C100*$J$8/60</f>
        <v>8.15</v>
      </c>
      <c r="E100" s="56">
        <f>'3. Mode Plot Data'!D100*$J$8/60</f>
        <v>11</v>
      </c>
      <c r="F100" s="56">
        <f t="shared" si="2"/>
        <v>2.85</v>
      </c>
      <c r="G100" s="372">
        <f t="shared" si="4"/>
        <v>2400</v>
      </c>
    </row>
    <row r="101" ht="15.75" customHeight="1">
      <c r="A101" s="304">
        <f t="shared" si="1"/>
        <v>7</v>
      </c>
      <c r="B101" s="379">
        <f t="shared" si="3"/>
        <v>588</v>
      </c>
      <c r="C101" s="380" t="s">
        <v>851</v>
      </c>
      <c r="D101" s="56">
        <f>'3a. Typical Mode Sequence (Powe'!C101*$J$8/60</f>
        <v>8.15</v>
      </c>
      <c r="E101" s="56">
        <f>'3. Mode Plot Data'!D101*$J$8/60</f>
        <v>11</v>
      </c>
      <c r="F101" s="56">
        <f t="shared" si="2"/>
        <v>2.85</v>
      </c>
      <c r="G101" s="372">
        <f t="shared" si="4"/>
        <v>2400</v>
      </c>
    </row>
    <row r="102" ht="15.75" customHeight="1">
      <c r="A102" s="304">
        <f t="shared" si="1"/>
        <v>7</v>
      </c>
      <c r="B102" s="379">
        <f t="shared" si="3"/>
        <v>594</v>
      </c>
      <c r="C102" s="380" t="s">
        <v>851</v>
      </c>
      <c r="D102" s="56">
        <f>'3a. Typical Mode Sequence (Powe'!C102*$J$8/60</f>
        <v>8.15</v>
      </c>
      <c r="E102" s="56">
        <f>'3. Mode Plot Data'!D102*$J$8/60</f>
        <v>11</v>
      </c>
      <c r="F102" s="56">
        <f t="shared" si="2"/>
        <v>2.85</v>
      </c>
      <c r="G102" s="372">
        <f t="shared" si="4"/>
        <v>2400</v>
      </c>
    </row>
    <row r="103" ht="15.75" customHeight="1">
      <c r="A103" s="304">
        <f t="shared" si="1"/>
        <v>7</v>
      </c>
      <c r="B103" s="379">
        <f t="shared" si="3"/>
        <v>600</v>
      </c>
      <c r="C103" s="380" t="s">
        <v>853</v>
      </c>
      <c r="D103" s="56">
        <f>'3a. Typical Mode Sequence (Powe'!C103*$J$8/60</f>
        <v>11.65</v>
      </c>
      <c r="E103" s="56">
        <f>'3. Mode Plot Data'!D103*$J$8/60</f>
        <v>11</v>
      </c>
      <c r="F103" s="56">
        <f t="shared" si="2"/>
        <v>-0.65</v>
      </c>
      <c r="G103" s="372">
        <f t="shared" si="4"/>
        <v>2399.35</v>
      </c>
    </row>
    <row r="104" ht="15.75" customHeight="1">
      <c r="A104" s="304">
        <f t="shared" si="1"/>
        <v>7</v>
      </c>
      <c r="B104" s="379">
        <f t="shared" si="3"/>
        <v>606</v>
      </c>
      <c r="C104" s="380" t="s">
        <v>853</v>
      </c>
      <c r="D104" s="56">
        <f>'3a. Typical Mode Sequence (Powe'!C104*$J$8/60</f>
        <v>11.65</v>
      </c>
      <c r="E104" s="56">
        <f>'3. Mode Plot Data'!D104*$J$8/60</f>
        <v>11</v>
      </c>
      <c r="F104" s="56">
        <f t="shared" si="2"/>
        <v>-0.65</v>
      </c>
      <c r="G104" s="372">
        <f t="shared" si="4"/>
        <v>2398.7</v>
      </c>
    </row>
    <row r="105" ht="15.75" customHeight="1">
      <c r="A105" s="304">
        <f t="shared" si="1"/>
        <v>7</v>
      </c>
      <c r="B105" s="379">
        <f t="shared" si="3"/>
        <v>612</v>
      </c>
      <c r="C105" s="380" t="s">
        <v>853</v>
      </c>
      <c r="D105" s="56">
        <f>'3a. Typical Mode Sequence (Powe'!C105*$J$8/60</f>
        <v>11.65</v>
      </c>
      <c r="E105" s="56">
        <f>'3. Mode Plot Data'!D105*$J$8/60</f>
        <v>11</v>
      </c>
      <c r="F105" s="56">
        <f t="shared" si="2"/>
        <v>-0.65</v>
      </c>
      <c r="G105" s="372">
        <f t="shared" si="4"/>
        <v>2398.05</v>
      </c>
    </row>
    <row r="106" ht="15.75" customHeight="1">
      <c r="A106" s="304">
        <f t="shared" si="1"/>
        <v>7</v>
      </c>
      <c r="B106" s="379">
        <f t="shared" si="3"/>
        <v>618</v>
      </c>
      <c r="C106" s="380" t="s">
        <v>853</v>
      </c>
      <c r="D106" s="56">
        <f>'3a. Typical Mode Sequence (Powe'!C106*$J$8/60</f>
        <v>11.65</v>
      </c>
      <c r="E106" s="56">
        <f>'3. Mode Plot Data'!D106*$J$8/60</f>
        <v>11</v>
      </c>
      <c r="F106" s="56">
        <f t="shared" si="2"/>
        <v>-0.65</v>
      </c>
      <c r="G106" s="372">
        <f t="shared" si="4"/>
        <v>2397.4</v>
      </c>
    </row>
    <row r="107" ht="15.75" customHeight="1">
      <c r="A107" s="304">
        <f t="shared" si="1"/>
        <v>7</v>
      </c>
      <c r="B107" s="379">
        <f t="shared" si="3"/>
        <v>624</v>
      </c>
      <c r="C107" s="380" t="s">
        <v>853</v>
      </c>
      <c r="D107" s="56">
        <f>'3a. Typical Mode Sequence (Powe'!C107*$J$8/60</f>
        <v>11.65</v>
      </c>
      <c r="E107" s="56">
        <f>'3. Mode Plot Data'!D107*$J$8/60</f>
        <v>11</v>
      </c>
      <c r="F107" s="56">
        <f t="shared" si="2"/>
        <v>-0.65</v>
      </c>
      <c r="G107" s="372">
        <f t="shared" si="4"/>
        <v>2396.75</v>
      </c>
    </row>
    <row r="108" ht="15.75" customHeight="1">
      <c r="A108" s="304">
        <f t="shared" si="1"/>
        <v>8</v>
      </c>
      <c r="B108" s="379">
        <f t="shared" si="3"/>
        <v>630</v>
      </c>
      <c r="C108" s="380" t="s">
        <v>853</v>
      </c>
      <c r="D108" s="56">
        <f>'3a. Typical Mode Sequence (Powe'!C108*$J$8/60</f>
        <v>11.65</v>
      </c>
      <c r="E108" s="56">
        <f>'3. Mode Plot Data'!D108*$J$8/60</f>
        <v>11</v>
      </c>
      <c r="F108" s="56">
        <f t="shared" si="2"/>
        <v>-0.65</v>
      </c>
      <c r="G108" s="372">
        <f t="shared" si="4"/>
        <v>2396.1</v>
      </c>
    </row>
    <row r="109" ht="15.75" customHeight="1">
      <c r="A109" s="304">
        <f t="shared" si="1"/>
        <v>8</v>
      </c>
      <c r="B109" s="379">
        <f t="shared" si="3"/>
        <v>636</v>
      </c>
      <c r="C109" s="380" t="s">
        <v>853</v>
      </c>
      <c r="D109" s="56">
        <f>'3a. Typical Mode Sequence (Powe'!C109*$J$8/60</f>
        <v>11.65</v>
      </c>
      <c r="E109" s="56">
        <f>'3. Mode Plot Data'!D109*$J$8/60</f>
        <v>11</v>
      </c>
      <c r="F109" s="56">
        <f t="shared" si="2"/>
        <v>-0.65</v>
      </c>
      <c r="G109" s="372">
        <f t="shared" si="4"/>
        <v>2395.45</v>
      </c>
    </row>
    <row r="110" ht="15.75" customHeight="1">
      <c r="A110" s="304">
        <f t="shared" si="1"/>
        <v>8</v>
      </c>
      <c r="B110" s="379">
        <f t="shared" si="3"/>
        <v>642</v>
      </c>
      <c r="C110" s="380" t="s">
        <v>853</v>
      </c>
      <c r="D110" s="56">
        <f>'3a. Typical Mode Sequence (Powe'!C110*$J$8/60</f>
        <v>11.65</v>
      </c>
      <c r="E110" s="56">
        <f>'3. Mode Plot Data'!D110*$J$8/60</f>
        <v>11</v>
      </c>
      <c r="F110" s="56">
        <f t="shared" si="2"/>
        <v>-0.65</v>
      </c>
      <c r="G110" s="372">
        <f t="shared" si="4"/>
        <v>2394.8</v>
      </c>
    </row>
    <row r="111" ht="15.75" customHeight="1">
      <c r="A111" s="304">
        <f t="shared" si="1"/>
        <v>8</v>
      </c>
      <c r="B111" s="379">
        <f t="shared" si="3"/>
        <v>648</v>
      </c>
      <c r="C111" s="380" t="s">
        <v>853</v>
      </c>
      <c r="D111" s="56">
        <f>'3a. Typical Mode Sequence (Powe'!C111*$J$8/60</f>
        <v>11.65</v>
      </c>
      <c r="E111" s="56">
        <f>'3. Mode Plot Data'!D111*$J$8/60</f>
        <v>11</v>
      </c>
      <c r="F111" s="56">
        <f t="shared" si="2"/>
        <v>-0.65</v>
      </c>
      <c r="G111" s="372">
        <f t="shared" si="4"/>
        <v>2394.15</v>
      </c>
    </row>
    <row r="112" ht="15.75" customHeight="1">
      <c r="A112" s="304">
        <f t="shared" si="1"/>
        <v>8</v>
      </c>
      <c r="B112" s="379">
        <f t="shared" si="3"/>
        <v>654</v>
      </c>
      <c r="C112" s="380" t="s">
        <v>853</v>
      </c>
      <c r="D112" s="56">
        <f>'3a. Typical Mode Sequence (Powe'!C112*$J$8/60</f>
        <v>11.65</v>
      </c>
      <c r="E112" s="56">
        <f>'3. Mode Plot Data'!D112*$J$8/60</f>
        <v>11</v>
      </c>
      <c r="F112" s="56">
        <f t="shared" si="2"/>
        <v>-0.65</v>
      </c>
      <c r="G112" s="372">
        <f t="shared" si="4"/>
        <v>2393.5</v>
      </c>
    </row>
    <row r="113" ht="15.75" customHeight="1">
      <c r="A113" s="304">
        <f t="shared" si="1"/>
        <v>8</v>
      </c>
      <c r="B113" s="379">
        <f t="shared" si="3"/>
        <v>660</v>
      </c>
      <c r="C113" s="380" t="s">
        <v>853</v>
      </c>
      <c r="D113" s="56">
        <f>'3a. Typical Mode Sequence (Powe'!C113*$J$8/60</f>
        <v>11.65</v>
      </c>
      <c r="E113" s="56">
        <f>'3. Mode Plot Data'!D113*$J$8/60</f>
        <v>11</v>
      </c>
      <c r="F113" s="56">
        <f t="shared" si="2"/>
        <v>-0.65</v>
      </c>
      <c r="G113" s="372">
        <f t="shared" si="4"/>
        <v>2392.85</v>
      </c>
    </row>
    <row r="114" ht="15.75" customHeight="1">
      <c r="A114" s="304">
        <f t="shared" si="1"/>
        <v>8</v>
      </c>
      <c r="B114" s="379">
        <f t="shared" si="3"/>
        <v>666</v>
      </c>
      <c r="C114" s="380" t="s">
        <v>853</v>
      </c>
      <c r="D114" s="56">
        <f>'3a. Typical Mode Sequence (Powe'!C114*$J$8/60</f>
        <v>11.65</v>
      </c>
      <c r="E114" s="56">
        <f>'3. Mode Plot Data'!D114*$J$8/60</f>
        <v>11</v>
      </c>
      <c r="F114" s="56">
        <f t="shared" si="2"/>
        <v>-0.65</v>
      </c>
      <c r="G114" s="372">
        <f t="shared" si="4"/>
        <v>2392.2</v>
      </c>
    </row>
    <row r="115" ht="15.75" customHeight="1">
      <c r="A115" s="304">
        <f t="shared" si="1"/>
        <v>8</v>
      </c>
      <c r="B115" s="379">
        <f t="shared" si="3"/>
        <v>672</v>
      </c>
      <c r="C115" s="380" t="s">
        <v>853</v>
      </c>
      <c r="D115" s="56">
        <f>'3a. Typical Mode Sequence (Powe'!C115*$J$8/60</f>
        <v>11.65</v>
      </c>
      <c r="E115" s="56">
        <f>'3. Mode Plot Data'!D115*$J$8/60</f>
        <v>11</v>
      </c>
      <c r="F115" s="56">
        <f t="shared" si="2"/>
        <v>-0.65</v>
      </c>
      <c r="G115" s="372">
        <f t="shared" si="4"/>
        <v>2391.55</v>
      </c>
    </row>
    <row r="116" ht="15.75" customHeight="1">
      <c r="A116" s="304">
        <f t="shared" si="1"/>
        <v>8</v>
      </c>
      <c r="B116" s="379">
        <f t="shared" si="3"/>
        <v>678</v>
      </c>
      <c r="C116" s="380" t="s">
        <v>853</v>
      </c>
      <c r="D116" s="56">
        <f>'3a. Typical Mode Sequence (Powe'!C116*$J$8/60</f>
        <v>11.65</v>
      </c>
      <c r="E116" s="56">
        <f>'3. Mode Plot Data'!D116*$J$8/60</f>
        <v>11</v>
      </c>
      <c r="F116" s="56">
        <f t="shared" si="2"/>
        <v>-0.65</v>
      </c>
      <c r="G116" s="372">
        <f t="shared" si="4"/>
        <v>2390.9</v>
      </c>
    </row>
    <row r="117" ht="15.75" customHeight="1">
      <c r="A117" s="304">
        <f t="shared" si="1"/>
        <v>8</v>
      </c>
      <c r="B117" s="379">
        <f t="shared" si="3"/>
        <v>684</v>
      </c>
      <c r="C117" s="380" t="s">
        <v>853</v>
      </c>
      <c r="D117" s="56">
        <f>'3a. Typical Mode Sequence (Powe'!C117*$J$8/60</f>
        <v>11.65</v>
      </c>
      <c r="E117" s="56">
        <f>'3. Mode Plot Data'!D117*$J$8/60</f>
        <v>11</v>
      </c>
      <c r="F117" s="56">
        <f t="shared" si="2"/>
        <v>-0.65</v>
      </c>
      <c r="G117" s="372">
        <f t="shared" si="4"/>
        <v>2390.25</v>
      </c>
    </row>
    <row r="118" ht="15.75" customHeight="1">
      <c r="A118" s="304">
        <f t="shared" si="1"/>
        <v>8</v>
      </c>
      <c r="B118" s="379">
        <f t="shared" si="3"/>
        <v>690</v>
      </c>
      <c r="C118" s="380" t="s">
        <v>852</v>
      </c>
      <c r="D118" s="56">
        <f>'3a. Typical Mode Sequence (Powe'!C118*$J$8/60</f>
        <v>7.15</v>
      </c>
      <c r="E118" s="56">
        <f>'3. Mode Plot Data'!D118*$J$8/60</f>
        <v>11</v>
      </c>
      <c r="F118" s="56">
        <f t="shared" si="2"/>
        <v>3.85</v>
      </c>
      <c r="G118" s="372">
        <f t="shared" si="4"/>
        <v>2394.1</v>
      </c>
    </row>
    <row r="119" ht="15.75" customHeight="1">
      <c r="A119" s="304">
        <f t="shared" si="1"/>
        <v>8</v>
      </c>
      <c r="B119" s="379">
        <f t="shared" si="3"/>
        <v>696</v>
      </c>
      <c r="C119" s="380" t="s">
        <v>852</v>
      </c>
      <c r="D119" s="56">
        <f>'3a. Typical Mode Sequence (Powe'!C119*$J$8/60</f>
        <v>7.15</v>
      </c>
      <c r="E119" s="56">
        <f>'3. Mode Plot Data'!D119*$J$8/60</f>
        <v>11</v>
      </c>
      <c r="F119" s="56">
        <f t="shared" si="2"/>
        <v>3.85</v>
      </c>
      <c r="G119" s="372">
        <f t="shared" si="4"/>
        <v>2397.95</v>
      </c>
    </row>
    <row r="120" ht="15.75" customHeight="1">
      <c r="A120" s="304">
        <f t="shared" si="1"/>
        <v>8</v>
      </c>
      <c r="B120" s="379">
        <f t="shared" si="3"/>
        <v>702</v>
      </c>
      <c r="C120" s="380" t="s">
        <v>852</v>
      </c>
      <c r="D120" s="56">
        <f>'3a. Typical Mode Sequence (Powe'!C120*$J$8/60</f>
        <v>7.15</v>
      </c>
      <c r="E120" s="56">
        <f>'3. Mode Plot Data'!D120*$J$8/60</f>
        <v>11</v>
      </c>
      <c r="F120" s="56">
        <f t="shared" si="2"/>
        <v>3.85</v>
      </c>
      <c r="G120" s="372">
        <f t="shared" si="4"/>
        <v>2400</v>
      </c>
    </row>
    <row r="121" ht="15.75" customHeight="1">
      <c r="A121" s="304">
        <f t="shared" si="1"/>
        <v>8</v>
      </c>
      <c r="B121" s="379">
        <f t="shared" si="3"/>
        <v>708</v>
      </c>
      <c r="C121" s="380" t="s">
        <v>852</v>
      </c>
      <c r="D121" s="56">
        <f>'3a. Typical Mode Sequence (Powe'!C121*$J$8/60</f>
        <v>7.15</v>
      </c>
      <c r="E121" s="56">
        <f>'3. Mode Plot Data'!D121*$J$8/60</f>
        <v>11</v>
      </c>
      <c r="F121" s="56">
        <f t="shared" si="2"/>
        <v>3.85</v>
      </c>
      <c r="G121" s="372">
        <f t="shared" si="4"/>
        <v>2400</v>
      </c>
    </row>
    <row r="122" ht="15.75" customHeight="1">
      <c r="A122" s="304">
        <f t="shared" si="1"/>
        <v>8</v>
      </c>
      <c r="B122" s="379">
        <f t="shared" si="3"/>
        <v>714</v>
      </c>
      <c r="C122" s="380" t="s">
        <v>852</v>
      </c>
      <c r="D122" s="56">
        <f>'3a. Typical Mode Sequence (Powe'!C122*$J$8/60</f>
        <v>7.15</v>
      </c>
      <c r="E122" s="56">
        <f>'3. Mode Plot Data'!D122*$J$8/60</f>
        <v>11</v>
      </c>
      <c r="F122" s="56">
        <f t="shared" si="2"/>
        <v>3.85</v>
      </c>
      <c r="G122" s="372">
        <f t="shared" si="4"/>
        <v>2400</v>
      </c>
    </row>
    <row r="123" ht="15.75" customHeight="1">
      <c r="A123" s="304">
        <f t="shared" si="1"/>
        <v>9</v>
      </c>
      <c r="B123" s="379">
        <f t="shared" si="3"/>
        <v>720</v>
      </c>
      <c r="C123" s="380" t="s">
        <v>852</v>
      </c>
      <c r="D123" s="56">
        <f>'3a. Typical Mode Sequence (Powe'!C123*$J$8/60</f>
        <v>7.15</v>
      </c>
      <c r="E123" s="56">
        <f>'3. Mode Plot Data'!D123*$J$8/60</f>
        <v>11</v>
      </c>
      <c r="F123" s="56">
        <f t="shared" si="2"/>
        <v>3.85</v>
      </c>
      <c r="G123" s="372">
        <f t="shared" si="4"/>
        <v>2400</v>
      </c>
    </row>
    <row r="124" ht="15.75" customHeight="1">
      <c r="A124" s="304">
        <f t="shared" si="1"/>
        <v>9</v>
      </c>
      <c r="B124" s="379">
        <f t="shared" si="3"/>
        <v>726</v>
      </c>
      <c r="C124" s="380" t="s">
        <v>852</v>
      </c>
      <c r="D124" s="56">
        <f>'3a. Typical Mode Sequence (Powe'!C124*$J$8/60</f>
        <v>7.15</v>
      </c>
      <c r="E124" s="56">
        <f>'3. Mode Plot Data'!D124*$J$8/60</f>
        <v>11</v>
      </c>
      <c r="F124" s="56">
        <f t="shared" si="2"/>
        <v>3.85</v>
      </c>
      <c r="G124" s="372">
        <f t="shared" si="4"/>
        <v>2400</v>
      </c>
    </row>
    <row r="125" ht="15.75" customHeight="1">
      <c r="A125" s="304">
        <f t="shared" si="1"/>
        <v>9</v>
      </c>
      <c r="B125" s="379">
        <f t="shared" si="3"/>
        <v>732</v>
      </c>
      <c r="C125" s="380" t="s">
        <v>852</v>
      </c>
      <c r="D125" s="56">
        <f>'3a. Typical Mode Sequence (Powe'!C125*$J$8/60</f>
        <v>7.15</v>
      </c>
      <c r="E125" s="56">
        <f>'3. Mode Plot Data'!D125*$J$8/60</f>
        <v>11</v>
      </c>
      <c r="F125" s="56">
        <f t="shared" si="2"/>
        <v>3.85</v>
      </c>
      <c r="G125" s="372">
        <f t="shared" si="4"/>
        <v>2400</v>
      </c>
    </row>
    <row r="126" ht="15.75" customHeight="1">
      <c r="A126" s="304">
        <f t="shared" si="1"/>
        <v>9</v>
      </c>
      <c r="B126" s="379">
        <f t="shared" si="3"/>
        <v>738</v>
      </c>
      <c r="C126" s="380" t="s">
        <v>852</v>
      </c>
      <c r="D126" s="56">
        <f>'3a. Typical Mode Sequence (Powe'!C126*$J$8/60</f>
        <v>7.15</v>
      </c>
      <c r="E126" s="56">
        <f>'3. Mode Plot Data'!D126*$J$8/60</f>
        <v>11</v>
      </c>
      <c r="F126" s="56">
        <f t="shared" si="2"/>
        <v>3.85</v>
      </c>
      <c r="G126" s="372">
        <f t="shared" si="4"/>
        <v>2400</v>
      </c>
    </row>
    <row r="127" ht="15.75" customHeight="1">
      <c r="A127" s="304">
        <f t="shared" si="1"/>
        <v>9</v>
      </c>
      <c r="B127" s="379">
        <f t="shared" si="3"/>
        <v>744</v>
      </c>
      <c r="C127" s="380" t="s">
        <v>852</v>
      </c>
      <c r="D127" s="56">
        <f>'3a. Typical Mode Sequence (Powe'!C127*$J$8/60</f>
        <v>7.15</v>
      </c>
      <c r="E127" s="56">
        <f>'3. Mode Plot Data'!D127*$J$8/60</f>
        <v>11</v>
      </c>
      <c r="F127" s="56">
        <f t="shared" si="2"/>
        <v>3.85</v>
      </c>
      <c r="G127" s="372">
        <f t="shared" si="4"/>
        <v>2400</v>
      </c>
    </row>
    <row r="128" ht="15.75" customHeight="1">
      <c r="A128" s="304">
        <f t="shared" si="1"/>
        <v>9</v>
      </c>
      <c r="B128" s="379">
        <f t="shared" si="3"/>
        <v>750</v>
      </c>
      <c r="C128" s="380" t="s">
        <v>852</v>
      </c>
      <c r="D128" s="56">
        <f>'3a. Typical Mode Sequence (Powe'!C128*$J$8/60</f>
        <v>7.15</v>
      </c>
      <c r="E128" s="56">
        <f>'3. Mode Plot Data'!D128*$J$8/60</f>
        <v>11</v>
      </c>
      <c r="F128" s="56">
        <f t="shared" si="2"/>
        <v>3.85</v>
      </c>
      <c r="G128" s="372">
        <f t="shared" si="4"/>
        <v>2400</v>
      </c>
    </row>
    <row r="129" ht="15.75" customHeight="1">
      <c r="A129" s="304">
        <f t="shared" si="1"/>
        <v>9</v>
      </c>
      <c r="B129" s="379">
        <f t="shared" si="3"/>
        <v>756</v>
      </c>
      <c r="C129" s="380" t="s">
        <v>852</v>
      </c>
      <c r="D129" s="56">
        <f>'3a. Typical Mode Sequence (Powe'!C129*$J$8/60</f>
        <v>7.15</v>
      </c>
      <c r="E129" s="56">
        <f>'3. Mode Plot Data'!D129*$J$8/60</f>
        <v>11</v>
      </c>
      <c r="F129" s="56">
        <f t="shared" si="2"/>
        <v>3.85</v>
      </c>
      <c r="G129" s="372">
        <f t="shared" si="4"/>
        <v>2400</v>
      </c>
    </row>
    <row r="130" ht="15.75" customHeight="1">
      <c r="A130" s="304">
        <f t="shared" si="1"/>
        <v>9</v>
      </c>
      <c r="B130" s="379">
        <f t="shared" si="3"/>
        <v>762</v>
      </c>
      <c r="C130" s="380" t="s">
        <v>852</v>
      </c>
      <c r="D130" s="56">
        <f>'3a. Typical Mode Sequence (Powe'!C130*$J$8/60</f>
        <v>7.15</v>
      </c>
      <c r="E130" s="56">
        <f>'3. Mode Plot Data'!D130*$J$8/60</f>
        <v>11</v>
      </c>
      <c r="F130" s="56">
        <f t="shared" si="2"/>
        <v>3.85</v>
      </c>
      <c r="G130" s="372">
        <f t="shared" si="4"/>
        <v>2400</v>
      </c>
    </row>
    <row r="131" ht="15.75" customHeight="1">
      <c r="A131" s="304">
        <f t="shared" si="1"/>
        <v>9</v>
      </c>
      <c r="B131" s="379">
        <f t="shared" si="3"/>
        <v>768</v>
      </c>
      <c r="C131" s="380" t="s">
        <v>852</v>
      </c>
      <c r="D131" s="56">
        <f>'3a. Typical Mode Sequence (Powe'!C131*$J$8/60</f>
        <v>7.15</v>
      </c>
      <c r="E131" s="56">
        <f>'3. Mode Plot Data'!D131*$J$8/60</f>
        <v>11</v>
      </c>
      <c r="F131" s="56">
        <f t="shared" si="2"/>
        <v>3.85</v>
      </c>
      <c r="G131" s="372">
        <f t="shared" si="4"/>
        <v>2400</v>
      </c>
    </row>
    <row r="132" ht="15.75" customHeight="1">
      <c r="A132" s="304">
        <f t="shared" si="1"/>
        <v>9</v>
      </c>
      <c r="B132" s="379">
        <f t="shared" si="3"/>
        <v>774</v>
      </c>
      <c r="C132" s="380" t="s">
        <v>852</v>
      </c>
      <c r="D132" s="56">
        <f>'3a. Typical Mode Sequence (Powe'!C132*$J$8/60</f>
        <v>7.15</v>
      </c>
      <c r="E132" s="56">
        <f>'3. Mode Plot Data'!D132*$J$8/60</f>
        <v>11</v>
      </c>
      <c r="F132" s="56">
        <f t="shared" si="2"/>
        <v>3.85</v>
      </c>
      <c r="G132" s="372">
        <f t="shared" si="4"/>
        <v>2400</v>
      </c>
    </row>
    <row r="133" ht="15.75" customHeight="1">
      <c r="A133" s="304">
        <f t="shared" si="1"/>
        <v>9</v>
      </c>
      <c r="B133" s="379">
        <f t="shared" si="3"/>
        <v>780</v>
      </c>
      <c r="C133" s="380" t="s">
        <v>852</v>
      </c>
      <c r="D133" s="56">
        <f>'3a. Typical Mode Sequence (Powe'!C133*$J$8/60</f>
        <v>7.15</v>
      </c>
      <c r="E133" s="56">
        <f>'3. Mode Plot Data'!D133*$J$8/60</f>
        <v>11</v>
      </c>
      <c r="F133" s="56">
        <f t="shared" si="2"/>
        <v>3.85</v>
      </c>
      <c r="G133" s="372">
        <f t="shared" si="4"/>
        <v>2400</v>
      </c>
    </row>
    <row r="134" ht="15.75" customHeight="1">
      <c r="A134" s="304">
        <f t="shared" si="1"/>
        <v>9</v>
      </c>
      <c r="B134" s="379">
        <f t="shared" si="3"/>
        <v>786</v>
      </c>
      <c r="C134" s="380" t="s">
        <v>852</v>
      </c>
      <c r="D134" s="56">
        <f>'3a. Typical Mode Sequence (Powe'!C134*$J$8/60</f>
        <v>7.15</v>
      </c>
      <c r="E134" s="56">
        <f>'3. Mode Plot Data'!D134*$J$8/60</f>
        <v>11</v>
      </c>
      <c r="F134" s="56">
        <f t="shared" si="2"/>
        <v>3.85</v>
      </c>
      <c r="G134" s="372">
        <f t="shared" si="4"/>
        <v>2400</v>
      </c>
    </row>
    <row r="135" ht="15.75" customHeight="1">
      <c r="A135" s="304">
        <f t="shared" si="1"/>
        <v>9</v>
      </c>
      <c r="B135" s="379">
        <f t="shared" si="3"/>
        <v>792</v>
      </c>
      <c r="C135" s="380" t="s">
        <v>852</v>
      </c>
      <c r="D135" s="56">
        <f>'3a. Typical Mode Sequence (Powe'!C135*$J$8/60</f>
        <v>7.15</v>
      </c>
      <c r="E135" s="56">
        <f>'3. Mode Plot Data'!D135*$J$8/60</f>
        <v>11</v>
      </c>
      <c r="F135" s="56">
        <f t="shared" si="2"/>
        <v>3.85</v>
      </c>
      <c r="G135" s="372">
        <f t="shared" si="4"/>
        <v>2400</v>
      </c>
    </row>
    <row r="136" ht="15.75" customHeight="1">
      <c r="A136" s="304">
        <f t="shared" si="1"/>
        <v>9</v>
      </c>
      <c r="B136" s="379">
        <f t="shared" si="3"/>
        <v>798</v>
      </c>
      <c r="C136" s="380" t="s">
        <v>852</v>
      </c>
      <c r="D136" s="56">
        <f>'3a. Typical Mode Sequence (Powe'!C136*$J$8/60</f>
        <v>7.15</v>
      </c>
      <c r="E136" s="56">
        <f>'3. Mode Plot Data'!D136*$J$8/60</f>
        <v>11</v>
      </c>
      <c r="F136" s="56">
        <f t="shared" si="2"/>
        <v>3.85</v>
      </c>
      <c r="G136" s="372">
        <f t="shared" si="4"/>
        <v>2400</v>
      </c>
    </row>
    <row r="137" ht="15.75" customHeight="1">
      <c r="A137" s="304">
        <f t="shared" si="1"/>
        <v>9</v>
      </c>
      <c r="B137" s="379">
        <f t="shared" si="3"/>
        <v>804</v>
      </c>
      <c r="C137" s="380" t="s">
        <v>852</v>
      </c>
      <c r="D137" s="56">
        <f>'3a. Typical Mode Sequence (Powe'!C137*$J$8/60</f>
        <v>7.15</v>
      </c>
      <c r="E137" s="56">
        <f>'3. Mode Plot Data'!D137*$J$8/60</f>
        <v>11</v>
      </c>
      <c r="F137" s="56">
        <f t="shared" si="2"/>
        <v>3.85</v>
      </c>
      <c r="G137" s="372">
        <f t="shared" si="4"/>
        <v>2400</v>
      </c>
    </row>
    <row r="138" ht="15.75" customHeight="1">
      <c r="A138" s="304">
        <f t="shared" si="1"/>
        <v>10</v>
      </c>
      <c r="B138" s="379">
        <f t="shared" si="3"/>
        <v>810</v>
      </c>
      <c r="C138" s="380" t="s">
        <v>852</v>
      </c>
      <c r="D138" s="56">
        <f>'3a. Typical Mode Sequence (Powe'!C138*$J$8/60</f>
        <v>7.15</v>
      </c>
      <c r="E138" s="56">
        <f>'3. Mode Plot Data'!D138*$J$8/60</f>
        <v>11</v>
      </c>
      <c r="F138" s="56">
        <f t="shared" si="2"/>
        <v>3.85</v>
      </c>
      <c r="G138" s="372">
        <f t="shared" si="4"/>
        <v>2400</v>
      </c>
    </row>
    <row r="139" ht="15.75" customHeight="1">
      <c r="A139" s="304">
        <f t="shared" si="1"/>
        <v>10</v>
      </c>
      <c r="B139" s="379">
        <f t="shared" si="3"/>
        <v>816</v>
      </c>
      <c r="C139" s="380" t="s">
        <v>852</v>
      </c>
      <c r="D139" s="56">
        <f>'3a. Typical Mode Sequence (Powe'!C139*$J$8/60</f>
        <v>7.15</v>
      </c>
      <c r="E139" s="56">
        <f>'3. Mode Plot Data'!D139*$J$8/60</f>
        <v>11</v>
      </c>
      <c r="F139" s="56">
        <f t="shared" si="2"/>
        <v>3.85</v>
      </c>
      <c r="G139" s="372">
        <f t="shared" si="4"/>
        <v>2400</v>
      </c>
    </row>
    <row r="140" ht="15.75" customHeight="1">
      <c r="A140" s="304">
        <f t="shared" si="1"/>
        <v>10</v>
      </c>
      <c r="B140" s="379">
        <f t="shared" si="3"/>
        <v>822</v>
      </c>
      <c r="C140" s="380" t="s">
        <v>852</v>
      </c>
      <c r="D140" s="56">
        <f>'3a. Typical Mode Sequence (Powe'!C140*$J$8/60</f>
        <v>7.15</v>
      </c>
      <c r="E140" s="56">
        <f>'3. Mode Plot Data'!D140*$J$8/60</f>
        <v>11</v>
      </c>
      <c r="F140" s="56">
        <f t="shared" si="2"/>
        <v>3.85</v>
      </c>
      <c r="G140" s="372">
        <f t="shared" si="4"/>
        <v>2400</v>
      </c>
    </row>
    <row r="141" ht="15.75" customHeight="1">
      <c r="A141" s="304">
        <f t="shared" si="1"/>
        <v>10</v>
      </c>
      <c r="B141" s="379">
        <f t="shared" si="3"/>
        <v>828</v>
      </c>
      <c r="C141" s="380" t="s">
        <v>852</v>
      </c>
      <c r="D141" s="56">
        <f>'3a. Typical Mode Sequence (Powe'!C141*$J$8/60</f>
        <v>7.15</v>
      </c>
      <c r="E141" s="56">
        <f>'3. Mode Plot Data'!D141*$J$8/60</f>
        <v>11</v>
      </c>
      <c r="F141" s="56">
        <f t="shared" si="2"/>
        <v>3.85</v>
      </c>
      <c r="G141" s="372">
        <f t="shared" si="4"/>
        <v>2400</v>
      </c>
    </row>
    <row r="142" ht="15.75" customHeight="1">
      <c r="A142" s="304">
        <f t="shared" si="1"/>
        <v>10</v>
      </c>
      <c r="B142" s="379">
        <f t="shared" si="3"/>
        <v>834</v>
      </c>
      <c r="C142" s="380" t="s">
        <v>852</v>
      </c>
      <c r="D142" s="56">
        <f>'3a. Typical Mode Sequence (Powe'!C142*$J$8/60</f>
        <v>7.15</v>
      </c>
      <c r="E142" s="56">
        <f>'3. Mode Plot Data'!D142*$J$8/60</f>
        <v>11</v>
      </c>
      <c r="F142" s="56">
        <f t="shared" si="2"/>
        <v>3.85</v>
      </c>
      <c r="G142" s="372">
        <f t="shared" si="4"/>
        <v>2400</v>
      </c>
    </row>
    <row r="143" ht="15.75" customHeight="1">
      <c r="A143" s="304">
        <f t="shared" si="1"/>
        <v>10</v>
      </c>
      <c r="B143" s="379">
        <f t="shared" si="3"/>
        <v>840</v>
      </c>
      <c r="C143" s="380" t="s">
        <v>852</v>
      </c>
      <c r="D143" s="56">
        <f>'3a. Typical Mode Sequence (Powe'!C143*$J$8/60</f>
        <v>7.15</v>
      </c>
      <c r="E143" s="56">
        <f>'3. Mode Plot Data'!D143*$J$8/60</f>
        <v>11</v>
      </c>
      <c r="F143" s="56">
        <f t="shared" si="2"/>
        <v>3.85</v>
      </c>
      <c r="G143" s="372">
        <f t="shared" si="4"/>
        <v>2400</v>
      </c>
    </row>
    <row r="144" ht="15.75" customHeight="1">
      <c r="A144" s="304">
        <f t="shared" si="1"/>
        <v>10</v>
      </c>
      <c r="B144" s="379">
        <f t="shared" si="3"/>
        <v>846</v>
      </c>
      <c r="C144" s="380" t="s">
        <v>852</v>
      </c>
      <c r="D144" s="56">
        <f>'3a. Typical Mode Sequence (Powe'!C144*$J$8/60</f>
        <v>7.15</v>
      </c>
      <c r="E144" s="56">
        <f>'3. Mode Plot Data'!D144*$J$8/60</f>
        <v>11</v>
      </c>
      <c r="F144" s="56">
        <f t="shared" si="2"/>
        <v>3.85</v>
      </c>
      <c r="G144" s="372">
        <f t="shared" si="4"/>
        <v>2400</v>
      </c>
    </row>
    <row r="145" ht="15.75" customHeight="1">
      <c r="A145" s="304">
        <f t="shared" si="1"/>
        <v>10</v>
      </c>
      <c r="B145" s="379">
        <f t="shared" si="3"/>
        <v>852</v>
      </c>
      <c r="C145" s="380" t="s">
        <v>852</v>
      </c>
      <c r="D145" s="56">
        <f>'3a. Typical Mode Sequence (Powe'!C145*$J$8/60</f>
        <v>7.15</v>
      </c>
      <c r="E145" s="56">
        <f>'3. Mode Plot Data'!D145*$J$8/60</f>
        <v>11</v>
      </c>
      <c r="F145" s="56">
        <f t="shared" si="2"/>
        <v>3.85</v>
      </c>
      <c r="G145" s="372">
        <f t="shared" si="4"/>
        <v>2400</v>
      </c>
    </row>
    <row r="146" ht="15.75" customHeight="1">
      <c r="A146" s="304">
        <f t="shared" si="1"/>
        <v>10</v>
      </c>
      <c r="B146" s="379">
        <f t="shared" si="3"/>
        <v>858</v>
      </c>
      <c r="C146" s="380" t="s">
        <v>852</v>
      </c>
      <c r="D146" s="56">
        <f>'3a. Typical Mode Sequence (Powe'!C146*$J$8/60</f>
        <v>7.15</v>
      </c>
      <c r="E146" s="56">
        <f>'3. Mode Plot Data'!D146*$J$8/60</f>
        <v>11</v>
      </c>
      <c r="F146" s="56">
        <f t="shared" si="2"/>
        <v>3.85</v>
      </c>
      <c r="G146" s="372">
        <f t="shared" si="4"/>
        <v>2400</v>
      </c>
    </row>
    <row r="147" ht="15.75" customHeight="1">
      <c r="A147" s="304">
        <f t="shared" si="1"/>
        <v>10</v>
      </c>
      <c r="B147" s="379">
        <f t="shared" si="3"/>
        <v>864</v>
      </c>
      <c r="C147" s="380" t="s">
        <v>852</v>
      </c>
      <c r="D147" s="56">
        <f>'3a. Typical Mode Sequence (Powe'!C147*$J$8/60</f>
        <v>7.15</v>
      </c>
      <c r="E147" s="56">
        <f>'3. Mode Plot Data'!D147*$J$8/60</f>
        <v>11</v>
      </c>
      <c r="F147" s="56">
        <f t="shared" si="2"/>
        <v>3.85</v>
      </c>
      <c r="G147" s="372">
        <f t="shared" si="4"/>
        <v>2400</v>
      </c>
    </row>
    <row r="148" ht="15.75" customHeight="1">
      <c r="A148" s="304">
        <f t="shared" si="1"/>
        <v>10</v>
      </c>
      <c r="B148" s="379">
        <f t="shared" si="3"/>
        <v>870</v>
      </c>
      <c r="C148" s="380" t="s">
        <v>852</v>
      </c>
      <c r="D148" s="56">
        <f>'3a. Typical Mode Sequence (Powe'!C148*$J$8/60</f>
        <v>7.15</v>
      </c>
      <c r="E148" s="56">
        <f>'3. Mode Plot Data'!D148*$J$8/60</f>
        <v>11</v>
      </c>
      <c r="F148" s="56">
        <f t="shared" si="2"/>
        <v>3.85</v>
      </c>
      <c r="G148" s="372">
        <f t="shared" si="4"/>
        <v>2400</v>
      </c>
    </row>
    <row r="149" ht="15.75" customHeight="1">
      <c r="A149" s="304">
        <f t="shared" si="1"/>
        <v>10</v>
      </c>
      <c r="B149" s="379">
        <f t="shared" si="3"/>
        <v>876</v>
      </c>
      <c r="C149" s="380" t="s">
        <v>852</v>
      </c>
      <c r="D149" s="56">
        <f>'3a. Typical Mode Sequence (Powe'!C149*$J$8/60</f>
        <v>7.15</v>
      </c>
      <c r="E149" s="56">
        <f>'3. Mode Plot Data'!D149*$J$8/60</f>
        <v>11</v>
      </c>
      <c r="F149" s="56">
        <f t="shared" si="2"/>
        <v>3.85</v>
      </c>
      <c r="G149" s="372">
        <f t="shared" si="4"/>
        <v>2400</v>
      </c>
    </row>
    <row r="150" ht="15.75" customHeight="1">
      <c r="A150" s="304">
        <f t="shared" si="1"/>
        <v>10</v>
      </c>
      <c r="B150" s="379">
        <f t="shared" si="3"/>
        <v>882</v>
      </c>
      <c r="C150" s="380" t="s">
        <v>852</v>
      </c>
      <c r="D150" s="56">
        <f>'3a. Typical Mode Sequence (Powe'!C150*$J$8/60</f>
        <v>7.15</v>
      </c>
      <c r="E150" s="56">
        <f>'3. Mode Plot Data'!D150*$J$8/60</f>
        <v>11</v>
      </c>
      <c r="F150" s="56">
        <f t="shared" si="2"/>
        <v>3.85</v>
      </c>
      <c r="G150" s="372">
        <f t="shared" si="4"/>
        <v>2400</v>
      </c>
    </row>
    <row r="151" ht="15.75" customHeight="1">
      <c r="A151" s="304">
        <f t="shared" si="1"/>
        <v>10</v>
      </c>
      <c r="B151" s="379">
        <f t="shared" si="3"/>
        <v>888</v>
      </c>
      <c r="C151" s="380" t="s">
        <v>852</v>
      </c>
      <c r="D151" s="56">
        <f>'3a. Typical Mode Sequence (Powe'!C151*$J$8/60</f>
        <v>7.15</v>
      </c>
      <c r="E151" s="56">
        <f>'3. Mode Plot Data'!D151*$J$8/60</f>
        <v>11</v>
      </c>
      <c r="F151" s="56">
        <f t="shared" si="2"/>
        <v>3.85</v>
      </c>
      <c r="G151" s="372">
        <f t="shared" si="4"/>
        <v>2400</v>
      </c>
    </row>
    <row r="152" ht="15.75" customHeight="1">
      <c r="A152" s="304">
        <f t="shared" si="1"/>
        <v>10</v>
      </c>
      <c r="B152" s="379">
        <f t="shared" si="3"/>
        <v>894</v>
      </c>
      <c r="C152" s="380" t="s">
        <v>852</v>
      </c>
      <c r="D152" s="56">
        <f>'3a. Typical Mode Sequence (Powe'!C152*$J$8/60</f>
        <v>7.15</v>
      </c>
      <c r="E152" s="56">
        <f>'3. Mode Plot Data'!D152*$J$8/60</f>
        <v>11</v>
      </c>
      <c r="F152" s="56">
        <f t="shared" si="2"/>
        <v>3.85</v>
      </c>
      <c r="G152" s="372">
        <f t="shared" si="4"/>
        <v>2400</v>
      </c>
    </row>
    <row r="153" ht="15.75" customHeight="1">
      <c r="A153" s="304">
        <f t="shared" si="1"/>
        <v>11</v>
      </c>
      <c r="B153" s="379">
        <f t="shared" si="3"/>
        <v>900</v>
      </c>
      <c r="C153" s="380" t="s">
        <v>852</v>
      </c>
      <c r="D153" s="56">
        <f>'3a. Typical Mode Sequence (Powe'!C153*$J$8/60</f>
        <v>7.15</v>
      </c>
      <c r="E153" s="56">
        <f>'3. Mode Plot Data'!D153*$J$8/60</f>
        <v>11</v>
      </c>
      <c r="F153" s="56">
        <f t="shared" si="2"/>
        <v>3.85</v>
      </c>
      <c r="G153" s="372">
        <f t="shared" si="4"/>
        <v>2400</v>
      </c>
    </row>
    <row r="154" ht="15.75" customHeight="1">
      <c r="A154" s="304">
        <f t="shared" si="1"/>
        <v>11</v>
      </c>
      <c r="B154" s="379">
        <f t="shared" si="3"/>
        <v>906</v>
      </c>
      <c r="C154" s="380" t="s">
        <v>852</v>
      </c>
      <c r="D154" s="56">
        <f>'3a. Typical Mode Sequence (Powe'!C154*$J$8/60</f>
        <v>7.15</v>
      </c>
      <c r="E154" s="56">
        <f>'3. Mode Plot Data'!D154*$J$8/60</f>
        <v>11</v>
      </c>
      <c r="F154" s="56">
        <f t="shared" si="2"/>
        <v>3.85</v>
      </c>
      <c r="G154" s="372">
        <f t="shared" si="4"/>
        <v>2400</v>
      </c>
    </row>
    <row r="155" ht="15.75" customHeight="1">
      <c r="A155" s="304">
        <f t="shared" si="1"/>
        <v>11</v>
      </c>
      <c r="B155" s="379">
        <f t="shared" si="3"/>
        <v>912</v>
      </c>
      <c r="C155" s="380" t="s">
        <v>852</v>
      </c>
      <c r="D155" s="56">
        <f>'3a. Typical Mode Sequence (Powe'!C155*$J$8/60</f>
        <v>7.15</v>
      </c>
      <c r="E155" s="56">
        <f>'3. Mode Plot Data'!D155*$J$8/60</f>
        <v>11</v>
      </c>
      <c r="F155" s="56">
        <f t="shared" si="2"/>
        <v>3.85</v>
      </c>
      <c r="G155" s="372">
        <f t="shared" si="4"/>
        <v>2400</v>
      </c>
    </row>
    <row r="156" ht="15.75" customHeight="1">
      <c r="A156" s="304">
        <f t="shared" si="1"/>
        <v>11</v>
      </c>
      <c r="B156" s="379">
        <f t="shared" si="3"/>
        <v>918</v>
      </c>
      <c r="C156" s="380" t="s">
        <v>852</v>
      </c>
      <c r="D156" s="56">
        <f>'3a. Typical Mode Sequence (Powe'!C156*$J$8/60</f>
        <v>7.15</v>
      </c>
      <c r="E156" s="56">
        <f>'3. Mode Plot Data'!D156*$J$8/60</f>
        <v>11</v>
      </c>
      <c r="F156" s="56">
        <f t="shared" si="2"/>
        <v>3.85</v>
      </c>
      <c r="G156" s="372">
        <f t="shared" si="4"/>
        <v>2400</v>
      </c>
    </row>
    <row r="157" ht="15.75" customHeight="1">
      <c r="A157" s="304">
        <f t="shared" si="1"/>
        <v>11</v>
      </c>
      <c r="B157" s="379">
        <f t="shared" si="3"/>
        <v>924</v>
      </c>
      <c r="C157" s="380" t="s">
        <v>852</v>
      </c>
      <c r="D157" s="56">
        <f>'3a. Typical Mode Sequence (Powe'!C157*$J$8/60</f>
        <v>7.15</v>
      </c>
      <c r="E157" s="56">
        <f>'3. Mode Plot Data'!D157*$J$8/60</f>
        <v>11</v>
      </c>
      <c r="F157" s="56">
        <f t="shared" si="2"/>
        <v>3.85</v>
      </c>
      <c r="G157" s="372">
        <f t="shared" si="4"/>
        <v>2400</v>
      </c>
    </row>
    <row r="158" ht="15.75" customHeight="1">
      <c r="A158" s="304">
        <f t="shared" si="1"/>
        <v>11</v>
      </c>
      <c r="B158" s="379">
        <f t="shared" si="3"/>
        <v>930</v>
      </c>
      <c r="C158" s="380" t="s">
        <v>852</v>
      </c>
      <c r="D158" s="56">
        <f>'3a. Typical Mode Sequence (Powe'!C158*$J$8/60</f>
        <v>7.15</v>
      </c>
      <c r="E158" s="56">
        <f>'3. Mode Plot Data'!D158*$J$8/60</f>
        <v>11</v>
      </c>
      <c r="F158" s="56">
        <f t="shared" si="2"/>
        <v>3.85</v>
      </c>
      <c r="G158" s="372">
        <f t="shared" si="4"/>
        <v>2400</v>
      </c>
    </row>
    <row r="159" ht="15.75" customHeight="1">
      <c r="A159" s="304">
        <f t="shared" si="1"/>
        <v>11</v>
      </c>
      <c r="B159" s="379">
        <f t="shared" si="3"/>
        <v>936</v>
      </c>
      <c r="C159" s="380" t="s">
        <v>852</v>
      </c>
      <c r="D159" s="56">
        <f>'3a. Typical Mode Sequence (Powe'!C159*$J$8/60</f>
        <v>7.15</v>
      </c>
      <c r="E159" s="56">
        <f>'3. Mode Plot Data'!D159*$J$8/60</f>
        <v>11</v>
      </c>
      <c r="F159" s="56">
        <f t="shared" si="2"/>
        <v>3.85</v>
      </c>
      <c r="G159" s="372">
        <f t="shared" si="4"/>
        <v>2400</v>
      </c>
    </row>
    <row r="160" ht="15.75" customHeight="1">
      <c r="A160" s="304">
        <f t="shared" si="1"/>
        <v>11</v>
      </c>
      <c r="B160" s="379">
        <f t="shared" si="3"/>
        <v>942</v>
      </c>
      <c r="C160" s="380" t="s">
        <v>852</v>
      </c>
      <c r="D160" s="56">
        <f>'3a. Typical Mode Sequence (Powe'!C160*$J$8/60</f>
        <v>7.15</v>
      </c>
      <c r="E160" s="56">
        <f>'3. Mode Plot Data'!D160*$J$8/60</f>
        <v>11</v>
      </c>
      <c r="F160" s="56">
        <f t="shared" si="2"/>
        <v>3.85</v>
      </c>
      <c r="G160" s="372">
        <f t="shared" si="4"/>
        <v>2400</v>
      </c>
    </row>
    <row r="161" ht="15.75" customHeight="1">
      <c r="A161" s="304">
        <f t="shared" si="1"/>
        <v>11</v>
      </c>
      <c r="B161" s="379">
        <f t="shared" si="3"/>
        <v>948</v>
      </c>
      <c r="C161" s="380" t="s">
        <v>852</v>
      </c>
      <c r="D161" s="56">
        <f>'3a. Typical Mode Sequence (Powe'!C161*$J$8/60</f>
        <v>7.15</v>
      </c>
      <c r="E161" s="56">
        <f>'3. Mode Plot Data'!D161*$J$8/60</f>
        <v>11</v>
      </c>
      <c r="F161" s="56">
        <f t="shared" si="2"/>
        <v>3.85</v>
      </c>
      <c r="G161" s="372">
        <f t="shared" si="4"/>
        <v>2400</v>
      </c>
    </row>
    <row r="162" ht="15.75" customHeight="1">
      <c r="A162" s="304">
        <f t="shared" si="1"/>
        <v>11</v>
      </c>
      <c r="B162" s="379">
        <f t="shared" si="3"/>
        <v>954</v>
      </c>
      <c r="C162" s="380" t="s">
        <v>852</v>
      </c>
      <c r="D162" s="56">
        <f>'3a. Typical Mode Sequence (Powe'!C162*$J$8/60</f>
        <v>7.15</v>
      </c>
      <c r="E162" s="56">
        <f>'3. Mode Plot Data'!D162*$J$8/60</f>
        <v>11</v>
      </c>
      <c r="F162" s="56">
        <f t="shared" si="2"/>
        <v>3.85</v>
      </c>
      <c r="G162" s="372">
        <f t="shared" si="4"/>
        <v>2400</v>
      </c>
    </row>
    <row r="163" ht="15.75" customHeight="1">
      <c r="A163" s="304">
        <f t="shared" si="1"/>
        <v>11</v>
      </c>
      <c r="B163" s="379">
        <f t="shared" si="3"/>
        <v>960</v>
      </c>
      <c r="C163" s="380" t="s">
        <v>849</v>
      </c>
      <c r="D163" s="56">
        <f>'3a. Typical Mode Sequence (Powe'!C163*$J$8/60</f>
        <v>7.05</v>
      </c>
      <c r="E163" s="56">
        <f>'3. Mode Plot Data'!D163*$J$8/60</f>
        <v>11</v>
      </c>
      <c r="F163" s="56">
        <f t="shared" si="2"/>
        <v>3.95</v>
      </c>
      <c r="G163" s="372">
        <f t="shared" si="4"/>
        <v>2400</v>
      </c>
    </row>
    <row r="164" ht="15.75" customHeight="1">
      <c r="A164" s="304">
        <f t="shared" si="1"/>
        <v>11</v>
      </c>
      <c r="B164" s="379">
        <f t="shared" si="3"/>
        <v>966</v>
      </c>
      <c r="C164" s="380" t="s">
        <v>849</v>
      </c>
      <c r="D164" s="56">
        <f>'3a. Typical Mode Sequence (Powe'!C164*$J$8/60</f>
        <v>7.05</v>
      </c>
      <c r="E164" s="56">
        <f>'3. Mode Plot Data'!D164*$J$8/60</f>
        <v>11</v>
      </c>
      <c r="F164" s="56">
        <f t="shared" si="2"/>
        <v>3.95</v>
      </c>
      <c r="G164" s="372">
        <f t="shared" si="4"/>
        <v>2400</v>
      </c>
    </row>
    <row r="165" ht="15.75" customHeight="1">
      <c r="A165" s="304">
        <f t="shared" si="1"/>
        <v>11</v>
      </c>
      <c r="B165" s="379">
        <f t="shared" si="3"/>
        <v>972</v>
      </c>
      <c r="C165" s="380" t="s">
        <v>849</v>
      </c>
      <c r="D165" s="56">
        <f>'3a. Typical Mode Sequence (Powe'!C165*$J$8/60</f>
        <v>7.05</v>
      </c>
      <c r="E165" s="56">
        <f>'3. Mode Plot Data'!D165*$J$8/60</f>
        <v>11</v>
      </c>
      <c r="F165" s="56">
        <f t="shared" si="2"/>
        <v>3.95</v>
      </c>
      <c r="G165" s="372">
        <f t="shared" si="4"/>
        <v>2400</v>
      </c>
    </row>
    <row r="166" ht="15.75" customHeight="1">
      <c r="A166" s="304">
        <f t="shared" si="1"/>
        <v>11</v>
      </c>
      <c r="B166" s="379">
        <f t="shared" si="3"/>
        <v>978</v>
      </c>
      <c r="C166" s="380" t="s">
        <v>849</v>
      </c>
      <c r="D166" s="56">
        <f>'3a. Typical Mode Sequence (Powe'!C166*$J$8/60</f>
        <v>7.05</v>
      </c>
      <c r="E166" s="56">
        <f>'3. Mode Plot Data'!D166*$J$8/60</f>
        <v>11</v>
      </c>
      <c r="F166" s="56">
        <f t="shared" si="2"/>
        <v>3.95</v>
      </c>
      <c r="G166" s="372">
        <f t="shared" si="4"/>
        <v>2400</v>
      </c>
    </row>
    <row r="167" ht="15.75" customHeight="1">
      <c r="A167" s="304">
        <f t="shared" si="1"/>
        <v>11</v>
      </c>
      <c r="B167" s="379">
        <f t="shared" si="3"/>
        <v>984</v>
      </c>
      <c r="C167" s="380" t="s">
        <v>849</v>
      </c>
      <c r="D167" s="56">
        <f>'3a. Typical Mode Sequence (Powe'!C167*$J$8/60</f>
        <v>7.05</v>
      </c>
      <c r="E167" s="56">
        <f>'3. Mode Plot Data'!D167*$J$8/60</f>
        <v>11</v>
      </c>
      <c r="F167" s="56">
        <f t="shared" si="2"/>
        <v>3.95</v>
      </c>
      <c r="G167" s="372">
        <f t="shared" si="4"/>
        <v>2400</v>
      </c>
    </row>
    <row r="168" ht="15.75" customHeight="1">
      <c r="A168" s="304">
        <f t="shared" si="1"/>
        <v>12</v>
      </c>
      <c r="B168" s="379">
        <f t="shared" si="3"/>
        <v>990</v>
      </c>
      <c r="C168" s="380" t="s">
        <v>849</v>
      </c>
      <c r="D168" s="56">
        <f>'3a. Typical Mode Sequence (Powe'!C168*$J$8/60</f>
        <v>7.05</v>
      </c>
      <c r="E168" s="56">
        <f>'3. Mode Plot Data'!D168*$J$8/60</f>
        <v>11</v>
      </c>
      <c r="F168" s="56">
        <f t="shared" si="2"/>
        <v>3.95</v>
      </c>
      <c r="G168" s="372">
        <f t="shared" si="4"/>
        <v>2400</v>
      </c>
    </row>
    <row r="169" ht="15.75" customHeight="1">
      <c r="A169" s="304">
        <f t="shared" si="1"/>
        <v>12</v>
      </c>
      <c r="B169" s="379">
        <f t="shared" si="3"/>
        <v>996</v>
      </c>
      <c r="C169" s="380" t="s">
        <v>849</v>
      </c>
      <c r="D169" s="56">
        <f>'3a. Typical Mode Sequence (Powe'!C169*$J$8/60</f>
        <v>7.05</v>
      </c>
      <c r="E169" s="56">
        <f>'3. Mode Plot Data'!D169*$J$8/60</f>
        <v>11</v>
      </c>
      <c r="F169" s="56">
        <f t="shared" si="2"/>
        <v>3.95</v>
      </c>
      <c r="G169" s="372">
        <f t="shared" si="4"/>
        <v>2400</v>
      </c>
    </row>
    <row r="170" ht="15.75" customHeight="1">
      <c r="A170" s="304">
        <f t="shared" si="1"/>
        <v>12</v>
      </c>
      <c r="B170" s="379">
        <f t="shared" si="3"/>
        <v>1002</v>
      </c>
      <c r="C170" s="380" t="s">
        <v>849</v>
      </c>
      <c r="D170" s="56">
        <f>'3a. Typical Mode Sequence (Powe'!C170*$J$8/60</f>
        <v>7.05</v>
      </c>
      <c r="E170" s="56">
        <f>'3. Mode Plot Data'!D170*$J$8/60</f>
        <v>11</v>
      </c>
      <c r="F170" s="56">
        <f t="shared" si="2"/>
        <v>3.95</v>
      </c>
      <c r="G170" s="372">
        <f t="shared" si="4"/>
        <v>2400</v>
      </c>
    </row>
    <row r="171" ht="15.75" customHeight="1">
      <c r="A171" s="304">
        <f t="shared" si="1"/>
        <v>12</v>
      </c>
      <c r="B171" s="379">
        <f t="shared" si="3"/>
        <v>1008</v>
      </c>
      <c r="C171" s="380" t="s">
        <v>849</v>
      </c>
      <c r="D171" s="56">
        <f>'3a. Typical Mode Sequence (Powe'!C171*$J$8/60</f>
        <v>7.05</v>
      </c>
      <c r="E171" s="56">
        <f>'3. Mode Plot Data'!D171*$J$8/60</f>
        <v>11</v>
      </c>
      <c r="F171" s="56">
        <f t="shared" si="2"/>
        <v>3.95</v>
      </c>
      <c r="G171" s="372">
        <f t="shared" si="4"/>
        <v>2400</v>
      </c>
    </row>
    <row r="172" ht="15.75" customHeight="1">
      <c r="A172" s="304">
        <f t="shared" si="1"/>
        <v>12</v>
      </c>
      <c r="B172" s="379">
        <f t="shared" si="3"/>
        <v>1014</v>
      </c>
      <c r="C172" s="380" t="s">
        <v>849</v>
      </c>
      <c r="D172" s="56">
        <f>'3a. Typical Mode Sequence (Powe'!C172*$J$8/60</f>
        <v>7.05</v>
      </c>
      <c r="E172" s="56">
        <f>'3. Mode Plot Data'!D172*$J$8/60</f>
        <v>11</v>
      </c>
      <c r="F172" s="56">
        <f t="shared" si="2"/>
        <v>3.95</v>
      </c>
      <c r="G172" s="372">
        <f t="shared" si="4"/>
        <v>2400</v>
      </c>
    </row>
    <row r="173" ht="15.75" customHeight="1">
      <c r="A173" s="304">
        <f t="shared" si="1"/>
        <v>12</v>
      </c>
      <c r="B173" s="379">
        <f t="shared" si="3"/>
        <v>1020</v>
      </c>
      <c r="C173" s="380" t="s">
        <v>849</v>
      </c>
      <c r="D173" s="56">
        <f>'3a. Typical Mode Sequence (Powe'!C173*$J$8/60</f>
        <v>7.05</v>
      </c>
      <c r="E173" s="56">
        <f>'3. Mode Plot Data'!D173*$J$8/60</f>
        <v>11</v>
      </c>
      <c r="F173" s="56">
        <f t="shared" si="2"/>
        <v>3.95</v>
      </c>
      <c r="G173" s="372">
        <f t="shared" si="4"/>
        <v>2400</v>
      </c>
    </row>
    <row r="174" ht="15.75" customHeight="1">
      <c r="A174" s="304">
        <f t="shared" si="1"/>
        <v>12</v>
      </c>
      <c r="B174" s="379">
        <f t="shared" si="3"/>
        <v>1026</v>
      </c>
      <c r="C174" s="380" t="s">
        <v>849</v>
      </c>
      <c r="D174" s="56">
        <f>'3a. Typical Mode Sequence (Powe'!C174*$J$8/60</f>
        <v>7.05</v>
      </c>
      <c r="E174" s="56">
        <f>'3. Mode Plot Data'!D174*$J$8/60</f>
        <v>11</v>
      </c>
      <c r="F174" s="56">
        <f t="shared" si="2"/>
        <v>3.95</v>
      </c>
      <c r="G174" s="372">
        <f t="shared" si="4"/>
        <v>2400</v>
      </c>
    </row>
    <row r="175" ht="15.75" customHeight="1">
      <c r="A175" s="304">
        <f t="shared" si="1"/>
        <v>12</v>
      </c>
      <c r="B175" s="379">
        <f t="shared" si="3"/>
        <v>1032</v>
      </c>
      <c r="C175" s="380" t="s">
        <v>849</v>
      </c>
      <c r="D175" s="56">
        <f>'3a. Typical Mode Sequence (Powe'!C175*$J$8/60</f>
        <v>7.05</v>
      </c>
      <c r="E175" s="56">
        <f>'3. Mode Plot Data'!D175*$J$8/60</f>
        <v>11</v>
      </c>
      <c r="F175" s="56">
        <f t="shared" si="2"/>
        <v>3.95</v>
      </c>
      <c r="G175" s="372">
        <f t="shared" si="4"/>
        <v>2400</v>
      </c>
    </row>
    <row r="176" ht="15.75" customHeight="1">
      <c r="A176" s="304">
        <f t="shared" si="1"/>
        <v>12</v>
      </c>
      <c r="B176" s="379">
        <f t="shared" si="3"/>
        <v>1038</v>
      </c>
      <c r="C176" s="380" t="s">
        <v>849</v>
      </c>
      <c r="D176" s="56">
        <f>'3a. Typical Mode Sequence (Powe'!C176*$J$8/60</f>
        <v>7.05</v>
      </c>
      <c r="E176" s="56">
        <f>'3. Mode Plot Data'!D176*$J$8/60</f>
        <v>11</v>
      </c>
      <c r="F176" s="56">
        <f t="shared" si="2"/>
        <v>3.95</v>
      </c>
      <c r="G176" s="372">
        <f t="shared" si="4"/>
        <v>2400</v>
      </c>
    </row>
    <row r="177" ht="15.75" customHeight="1">
      <c r="A177" s="304">
        <f t="shared" si="1"/>
        <v>12</v>
      </c>
      <c r="B177" s="379">
        <f t="shared" si="3"/>
        <v>1044</v>
      </c>
      <c r="C177" s="380" t="s">
        <v>849</v>
      </c>
      <c r="D177" s="56">
        <f>'3a. Typical Mode Sequence (Powe'!C177*$J$8/60</f>
        <v>7.05</v>
      </c>
      <c r="E177" s="56">
        <f>'3. Mode Plot Data'!D177*$J$8/60</f>
        <v>11</v>
      </c>
      <c r="F177" s="56">
        <f t="shared" si="2"/>
        <v>3.95</v>
      </c>
      <c r="G177" s="372">
        <f t="shared" si="4"/>
        <v>2400</v>
      </c>
    </row>
    <row r="178" ht="15.75" customHeight="1">
      <c r="A178" s="304">
        <f t="shared" si="1"/>
        <v>12</v>
      </c>
      <c r="B178" s="379">
        <f t="shared" si="3"/>
        <v>1050</v>
      </c>
      <c r="C178" s="380" t="s">
        <v>849</v>
      </c>
      <c r="D178" s="56">
        <f>'3a. Typical Mode Sequence (Powe'!C178*$J$8/60</f>
        <v>7.05</v>
      </c>
      <c r="E178" s="56">
        <f>'3. Mode Plot Data'!D178*$J$8/60</f>
        <v>11</v>
      </c>
      <c r="F178" s="56">
        <f t="shared" si="2"/>
        <v>3.95</v>
      </c>
      <c r="G178" s="372">
        <f t="shared" si="4"/>
        <v>2400</v>
      </c>
    </row>
    <row r="179" ht="15.75" customHeight="1">
      <c r="A179" s="304">
        <f t="shared" si="1"/>
        <v>12</v>
      </c>
      <c r="B179" s="379">
        <f t="shared" si="3"/>
        <v>1056</v>
      </c>
      <c r="C179" s="380" t="s">
        <v>849</v>
      </c>
      <c r="D179" s="56">
        <f>'3a. Typical Mode Sequence (Powe'!C179*$J$8/60</f>
        <v>7.05</v>
      </c>
      <c r="E179" s="56">
        <f>'3. Mode Plot Data'!D179*$J$8/60</f>
        <v>11</v>
      </c>
      <c r="F179" s="56">
        <f t="shared" si="2"/>
        <v>3.95</v>
      </c>
      <c r="G179" s="372">
        <f t="shared" si="4"/>
        <v>2400</v>
      </c>
    </row>
    <row r="180" ht="15.75" customHeight="1">
      <c r="A180" s="304">
        <f t="shared" si="1"/>
        <v>12</v>
      </c>
      <c r="B180" s="379">
        <f t="shared" si="3"/>
        <v>1062</v>
      </c>
      <c r="C180" s="380" t="s">
        <v>849</v>
      </c>
      <c r="D180" s="56">
        <f>'3a. Typical Mode Sequence (Powe'!C180*$J$8/60</f>
        <v>7.05</v>
      </c>
      <c r="E180" s="56">
        <f>'3. Mode Plot Data'!D180*$J$8/60</f>
        <v>11</v>
      </c>
      <c r="F180" s="56">
        <f t="shared" si="2"/>
        <v>3.95</v>
      </c>
      <c r="G180" s="372">
        <f t="shared" si="4"/>
        <v>2400</v>
      </c>
    </row>
    <row r="181" ht="15.75" customHeight="1">
      <c r="A181" s="304">
        <f t="shared" si="1"/>
        <v>12</v>
      </c>
      <c r="B181" s="379">
        <f t="shared" si="3"/>
        <v>1068</v>
      </c>
      <c r="C181" s="380" t="s">
        <v>849</v>
      </c>
      <c r="D181" s="56">
        <f>'3a. Typical Mode Sequence (Powe'!C181*$J$8/60</f>
        <v>7.05</v>
      </c>
      <c r="E181" s="56">
        <f>'3. Mode Plot Data'!D181*$J$8/60</f>
        <v>11</v>
      </c>
      <c r="F181" s="56">
        <f t="shared" si="2"/>
        <v>3.95</v>
      </c>
      <c r="G181" s="372">
        <f t="shared" si="4"/>
        <v>2400</v>
      </c>
    </row>
    <row r="182" ht="15.75" customHeight="1">
      <c r="A182" s="410">
        <f t="shared" si="1"/>
        <v>12</v>
      </c>
      <c r="B182" s="379">
        <f t="shared" si="3"/>
        <v>1074</v>
      </c>
      <c r="C182" s="380" t="s">
        <v>849</v>
      </c>
      <c r="D182" s="56">
        <f>'3a. Typical Mode Sequence (Powe'!C182*$J$8/60</f>
        <v>7.05</v>
      </c>
      <c r="E182" s="56">
        <f>'3. Mode Plot Data'!D182*$J$8/60</f>
        <v>11</v>
      </c>
      <c r="F182" s="408">
        <f t="shared" si="2"/>
        <v>3.95</v>
      </c>
      <c r="G182" s="373">
        <f t="shared" si="4"/>
        <v>2400</v>
      </c>
    </row>
    <row r="183" ht="15.75" customHeight="1">
      <c r="A183" s="304">
        <f t="shared" si="1"/>
        <v>13</v>
      </c>
      <c r="B183" s="379">
        <f t="shared" si="3"/>
        <v>1080</v>
      </c>
      <c r="C183" s="380" t="s">
        <v>849</v>
      </c>
      <c r="D183" s="56">
        <f>'3a. Typical Mode Sequence (Powe'!C183*$J$8/60</f>
        <v>7.05</v>
      </c>
      <c r="E183" s="56">
        <f>'3. Mode Plot Data'!D183*$J$8/60</f>
        <v>11</v>
      </c>
      <c r="F183" s="56">
        <f t="shared" si="2"/>
        <v>3.95</v>
      </c>
      <c r="G183" s="372">
        <f t="shared" si="4"/>
        <v>2400</v>
      </c>
    </row>
    <row r="184" ht="15.75" customHeight="1">
      <c r="A184" s="304">
        <f t="shared" si="1"/>
        <v>13</v>
      </c>
      <c r="B184" s="379">
        <f t="shared" si="3"/>
        <v>1086</v>
      </c>
      <c r="C184" s="380" t="s">
        <v>849</v>
      </c>
      <c r="D184" s="56">
        <f>'3a. Typical Mode Sequence (Powe'!C184*$J$8/60</f>
        <v>7.05</v>
      </c>
      <c r="E184" s="56">
        <f>'3. Mode Plot Data'!D184*$J$8/60</f>
        <v>11</v>
      </c>
      <c r="F184" s="56">
        <f t="shared" si="2"/>
        <v>3.95</v>
      </c>
      <c r="G184" s="372">
        <f t="shared" si="4"/>
        <v>2400</v>
      </c>
    </row>
    <row r="185" ht="15.75" customHeight="1">
      <c r="A185" s="304">
        <f t="shared" si="1"/>
        <v>13</v>
      </c>
      <c r="B185" s="379">
        <f t="shared" si="3"/>
        <v>1092</v>
      </c>
      <c r="C185" s="380" t="s">
        <v>849</v>
      </c>
      <c r="D185" s="56">
        <f>'3a. Typical Mode Sequence (Powe'!C185*$J$8/60</f>
        <v>7.05</v>
      </c>
      <c r="E185" s="56">
        <f>'3. Mode Plot Data'!D185*$J$8/60</f>
        <v>11</v>
      </c>
      <c r="F185" s="56">
        <f t="shared" si="2"/>
        <v>3.95</v>
      </c>
      <c r="G185" s="372">
        <f t="shared" si="4"/>
        <v>2400</v>
      </c>
    </row>
    <row r="186" ht="15.75" customHeight="1">
      <c r="A186" s="304">
        <f t="shared" si="1"/>
        <v>13</v>
      </c>
      <c r="B186" s="379">
        <f t="shared" si="3"/>
        <v>1098</v>
      </c>
      <c r="C186" s="380" t="s">
        <v>849</v>
      </c>
      <c r="D186" s="56">
        <f>'3a. Typical Mode Sequence (Powe'!C186*$J$8/60</f>
        <v>7.05</v>
      </c>
      <c r="E186" s="56">
        <f>'3. Mode Plot Data'!D186*$J$8/60</f>
        <v>11</v>
      </c>
      <c r="F186" s="56">
        <f t="shared" si="2"/>
        <v>3.95</v>
      </c>
      <c r="G186" s="372">
        <f t="shared" si="4"/>
        <v>2400</v>
      </c>
    </row>
    <row r="187" ht="15.75" customHeight="1">
      <c r="A187" s="304">
        <f t="shared" si="1"/>
        <v>13</v>
      </c>
      <c r="B187" s="379">
        <f t="shared" si="3"/>
        <v>1104</v>
      </c>
      <c r="C187" s="380" t="s">
        <v>849</v>
      </c>
      <c r="D187" s="56">
        <f>'3a. Typical Mode Sequence (Powe'!C187*$J$8/60</f>
        <v>7.05</v>
      </c>
      <c r="E187" s="56">
        <f>'3. Mode Plot Data'!D187*$J$8/60</f>
        <v>11</v>
      </c>
      <c r="F187" s="56">
        <f t="shared" si="2"/>
        <v>3.95</v>
      </c>
      <c r="G187" s="372">
        <f t="shared" si="4"/>
        <v>2400</v>
      </c>
    </row>
    <row r="188" ht="15.75" customHeight="1">
      <c r="A188" s="304">
        <f t="shared" si="1"/>
        <v>13</v>
      </c>
      <c r="B188" s="379">
        <f t="shared" si="3"/>
        <v>1110</v>
      </c>
      <c r="C188" s="380" t="s">
        <v>849</v>
      </c>
      <c r="D188" s="56">
        <f>'3a. Typical Mode Sequence (Powe'!C188*$J$8/60</f>
        <v>7.05</v>
      </c>
      <c r="E188" s="56">
        <f>'3. Mode Plot Data'!D188*$J$8/60</f>
        <v>11</v>
      </c>
      <c r="F188" s="56">
        <f t="shared" si="2"/>
        <v>3.95</v>
      </c>
      <c r="G188" s="372">
        <f t="shared" si="4"/>
        <v>2400</v>
      </c>
    </row>
    <row r="189" ht="15.75" customHeight="1">
      <c r="A189" s="304">
        <f t="shared" si="1"/>
        <v>13</v>
      </c>
      <c r="B189" s="379">
        <f t="shared" si="3"/>
        <v>1116</v>
      </c>
      <c r="C189" s="380" t="s">
        <v>849</v>
      </c>
      <c r="D189" s="56">
        <f>'3a. Typical Mode Sequence (Powe'!C189*$J$8/60</f>
        <v>7.05</v>
      </c>
      <c r="E189" s="56">
        <f>'3. Mode Plot Data'!D189*$J$8/60</f>
        <v>11</v>
      </c>
      <c r="F189" s="56">
        <f t="shared" si="2"/>
        <v>3.95</v>
      </c>
      <c r="G189" s="372">
        <f t="shared" si="4"/>
        <v>2400</v>
      </c>
    </row>
    <row r="190" ht="15.75" customHeight="1">
      <c r="A190" s="304">
        <f t="shared" si="1"/>
        <v>13</v>
      </c>
      <c r="B190" s="379">
        <f t="shared" si="3"/>
        <v>1122</v>
      </c>
      <c r="C190" s="380" t="s">
        <v>849</v>
      </c>
      <c r="D190" s="56">
        <f>'3a. Typical Mode Sequence (Powe'!C190*$J$8/60</f>
        <v>7.05</v>
      </c>
      <c r="E190" s="56">
        <f>'3. Mode Plot Data'!D190*$J$8/60</f>
        <v>11</v>
      </c>
      <c r="F190" s="56">
        <f t="shared" si="2"/>
        <v>3.95</v>
      </c>
      <c r="G190" s="372">
        <f t="shared" si="4"/>
        <v>2400</v>
      </c>
    </row>
    <row r="191" ht="15.75" customHeight="1">
      <c r="A191" s="304">
        <f t="shared" si="1"/>
        <v>13</v>
      </c>
      <c r="B191" s="379">
        <f t="shared" si="3"/>
        <v>1128</v>
      </c>
      <c r="C191" s="380" t="s">
        <v>849</v>
      </c>
      <c r="D191" s="56">
        <f>'3a. Typical Mode Sequence (Powe'!C191*$J$8/60</f>
        <v>7.05</v>
      </c>
      <c r="E191" s="56">
        <f>'3. Mode Plot Data'!D191*$J$8/60</f>
        <v>11</v>
      </c>
      <c r="F191" s="56">
        <f t="shared" si="2"/>
        <v>3.95</v>
      </c>
      <c r="G191" s="372">
        <f t="shared" si="4"/>
        <v>2400</v>
      </c>
    </row>
    <row r="192" ht="15.75" customHeight="1">
      <c r="A192" s="304">
        <f t="shared" si="1"/>
        <v>13</v>
      </c>
      <c r="B192" s="379">
        <f t="shared" si="3"/>
        <v>1134</v>
      </c>
      <c r="C192" s="380" t="s">
        <v>849</v>
      </c>
      <c r="D192" s="56">
        <f>'3a. Typical Mode Sequence (Powe'!C192*$J$8/60</f>
        <v>7.05</v>
      </c>
      <c r="E192" s="56">
        <f>'3. Mode Plot Data'!D192*$J$8/60</f>
        <v>11</v>
      </c>
      <c r="F192" s="56">
        <f t="shared" si="2"/>
        <v>3.95</v>
      </c>
      <c r="G192" s="372">
        <f t="shared" si="4"/>
        <v>2400</v>
      </c>
    </row>
    <row r="193" ht="15.75" customHeight="1">
      <c r="A193" s="304">
        <f t="shared" si="1"/>
        <v>13</v>
      </c>
      <c r="B193" s="379">
        <f t="shared" si="3"/>
        <v>1140</v>
      </c>
      <c r="C193" s="380" t="s">
        <v>849</v>
      </c>
      <c r="D193" s="56">
        <f>'3a. Typical Mode Sequence (Powe'!C193*$J$8/60</f>
        <v>7.05</v>
      </c>
      <c r="E193" s="56">
        <f>'3. Mode Plot Data'!D193*$J$8/60</f>
        <v>11</v>
      </c>
      <c r="F193" s="56">
        <f t="shared" si="2"/>
        <v>3.95</v>
      </c>
      <c r="G193" s="372">
        <f t="shared" si="4"/>
        <v>2400</v>
      </c>
    </row>
    <row r="194" ht="15.75" customHeight="1">
      <c r="A194" s="304">
        <f t="shared" si="1"/>
        <v>13</v>
      </c>
      <c r="B194" s="379">
        <f t="shared" si="3"/>
        <v>1146</v>
      </c>
      <c r="C194" s="380" t="s">
        <v>849</v>
      </c>
      <c r="D194" s="56">
        <f>'3a. Typical Mode Sequence (Powe'!C194*$J$8/60</f>
        <v>7.05</v>
      </c>
      <c r="E194" s="56">
        <f>'3. Mode Plot Data'!D194*$J$8/60</f>
        <v>11</v>
      </c>
      <c r="F194" s="56">
        <f t="shared" si="2"/>
        <v>3.95</v>
      </c>
      <c r="G194" s="372">
        <f t="shared" si="4"/>
        <v>2400</v>
      </c>
    </row>
    <row r="195" ht="15.75" customHeight="1">
      <c r="A195" s="304">
        <f t="shared" si="1"/>
        <v>13</v>
      </c>
      <c r="B195" s="379">
        <f t="shared" si="3"/>
        <v>1152</v>
      </c>
      <c r="C195" s="380" t="s">
        <v>849</v>
      </c>
      <c r="D195" s="56">
        <f>'3a. Typical Mode Sequence (Powe'!C195*$J$8/60</f>
        <v>7.05</v>
      </c>
      <c r="E195" s="56">
        <f>'3. Mode Plot Data'!D195*$J$8/60</f>
        <v>11</v>
      </c>
      <c r="F195" s="56">
        <f t="shared" si="2"/>
        <v>3.95</v>
      </c>
      <c r="G195" s="372">
        <f t="shared" si="4"/>
        <v>2400</v>
      </c>
    </row>
    <row r="196" ht="15.75" customHeight="1">
      <c r="A196" s="304">
        <f t="shared" si="1"/>
        <v>13</v>
      </c>
      <c r="B196" s="379">
        <f t="shared" si="3"/>
        <v>1158</v>
      </c>
      <c r="C196" s="380" t="s">
        <v>849</v>
      </c>
      <c r="D196" s="56">
        <f>'3a. Typical Mode Sequence (Powe'!C196*$J$8/60</f>
        <v>7.05</v>
      </c>
      <c r="E196" s="56">
        <f>'3. Mode Plot Data'!D196*$J$8/60</f>
        <v>11</v>
      </c>
      <c r="F196" s="56">
        <f t="shared" si="2"/>
        <v>3.95</v>
      </c>
      <c r="G196" s="372">
        <f t="shared" si="4"/>
        <v>2400</v>
      </c>
    </row>
    <row r="197" ht="15.75" customHeight="1">
      <c r="A197" s="304">
        <f t="shared" si="1"/>
        <v>13</v>
      </c>
      <c r="B197" s="379">
        <f t="shared" si="3"/>
        <v>1164</v>
      </c>
      <c r="C197" s="380" t="s">
        <v>849</v>
      </c>
      <c r="D197" s="56">
        <f>'3a. Typical Mode Sequence (Powe'!C197*$J$8/60</f>
        <v>7.05</v>
      </c>
      <c r="E197" s="56">
        <f>'3. Mode Plot Data'!D197*$J$8/60</f>
        <v>11</v>
      </c>
      <c r="F197" s="56">
        <f t="shared" si="2"/>
        <v>3.95</v>
      </c>
      <c r="G197" s="372">
        <f t="shared" si="4"/>
        <v>2400</v>
      </c>
    </row>
    <row r="198" ht="15.75" customHeight="1">
      <c r="A198" s="304">
        <f t="shared" si="1"/>
        <v>14</v>
      </c>
      <c r="B198" s="379">
        <f t="shared" si="3"/>
        <v>1170</v>
      </c>
      <c r="C198" s="380" t="s">
        <v>849</v>
      </c>
      <c r="D198" s="56">
        <f>'3a. Typical Mode Sequence (Powe'!C198*$J$8/60</f>
        <v>7.05</v>
      </c>
      <c r="E198" s="56">
        <f>'3. Mode Plot Data'!D198*$J$8/60</f>
        <v>11</v>
      </c>
      <c r="F198" s="56">
        <f t="shared" si="2"/>
        <v>3.95</v>
      </c>
      <c r="G198" s="372">
        <f t="shared" si="4"/>
        <v>2400</v>
      </c>
    </row>
    <row r="199" ht="15.75" customHeight="1">
      <c r="A199" s="304">
        <f t="shared" si="1"/>
        <v>14</v>
      </c>
      <c r="B199" s="379">
        <f t="shared" si="3"/>
        <v>1176</v>
      </c>
      <c r="C199" s="380" t="s">
        <v>849</v>
      </c>
      <c r="D199" s="56">
        <f>'3a. Typical Mode Sequence (Powe'!C199*$J$8/60</f>
        <v>7.05</v>
      </c>
      <c r="E199" s="56">
        <f>'3. Mode Plot Data'!D199*$J$8/60</f>
        <v>11</v>
      </c>
      <c r="F199" s="56">
        <f t="shared" si="2"/>
        <v>3.95</v>
      </c>
      <c r="G199" s="372">
        <f t="shared" si="4"/>
        <v>2400</v>
      </c>
    </row>
    <row r="200" ht="15.75" customHeight="1">
      <c r="A200" s="304">
        <f t="shared" si="1"/>
        <v>14</v>
      </c>
      <c r="B200" s="379">
        <f t="shared" si="3"/>
        <v>1182</v>
      </c>
      <c r="C200" s="380" t="s">
        <v>849</v>
      </c>
      <c r="D200" s="56">
        <f>'3a. Typical Mode Sequence (Powe'!C200*$J$8/60</f>
        <v>7.05</v>
      </c>
      <c r="E200" s="56">
        <f>'3. Mode Plot Data'!D200*$J$8/60</f>
        <v>11</v>
      </c>
      <c r="F200" s="56">
        <f t="shared" si="2"/>
        <v>3.95</v>
      </c>
      <c r="G200" s="372">
        <f t="shared" si="4"/>
        <v>2400</v>
      </c>
    </row>
    <row r="201" ht="15.75" customHeight="1">
      <c r="A201" s="304">
        <f t="shared" si="1"/>
        <v>14</v>
      </c>
      <c r="B201" s="379">
        <f t="shared" si="3"/>
        <v>1188</v>
      </c>
      <c r="C201" s="380" t="s">
        <v>849</v>
      </c>
      <c r="D201" s="56">
        <f>'3a. Typical Mode Sequence (Powe'!C201*$J$8/60</f>
        <v>7.05</v>
      </c>
      <c r="E201" s="56">
        <f>'3. Mode Plot Data'!D201*$J$8/60</f>
        <v>11</v>
      </c>
      <c r="F201" s="56">
        <f t="shared" si="2"/>
        <v>3.95</v>
      </c>
      <c r="G201" s="372">
        <f t="shared" si="4"/>
        <v>2400</v>
      </c>
    </row>
    <row r="202" ht="15.75" customHeight="1">
      <c r="A202" s="304">
        <f t="shared" si="1"/>
        <v>14</v>
      </c>
      <c r="B202" s="379">
        <f t="shared" si="3"/>
        <v>1194</v>
      </c>
      <c r="C202" s="380" t="s">
        <v>849</v>
      </c>
      <c r="D202" s="56">
        <f>'3a. Typical Mode Sequence (Powe'!C202*$J$8/60</f>
        <v>7.05</v>
      </c>
      <c r="E202" s="56">
        <f>'3. Mode Plot Data'!D202*$J$8/60</f>
        <v>11</v>
      </c>
      <c r="F202" s="56">
        <f t="shared" si="2"/>
        <v>3.95</v>
      </c>
      <c r="G202" s="372">
        <f t="shared" si="4"/>
        <v>2400</v>
      </c>
    </row>
    <row r="203" ht="15.75" customHeight="1">
      <c r="A203" s="304">
        <f t="shared" si="1"/>
        <v>14</v>
      </c>
      <c r="B203" s="379">
        <f t="shared" si="3"/>
        <v>1200</v>
      </c>
      <c r="C203" s="380" t="s">
        <v>849</v>
      </c>
      <c r="D203" s="56">
        <f>'3a. Typical Mode Sequence (Powe'!C203*$J$8/60</f>
        <v>7.05</v>
      </c>
      <c r="E203" s="56">
        <f>'3. Mode Plot Data'!D203*$J$8/60</f>
        <v>11</v>
      </c>
      <c r="F203" s="56">
        <f t="shared" si="2"/>
        <v>3.95</v>
      </c>
      <c r="G203" s="372">
        <f t="shared" si="4"/>
        <v>2400</v>
      </c>
    </row>
    <row r="204" ht="15.75" customHeight="1">
      <c r="A204" s="304">
        <f t="shared" si="1"/>
        <v>14</v>
      </c>
      <c r="B204" s="379">
        <f t="shared" si="3"/>
        <v>1206</v>
      </c>
      <c r="C204" s="380" t="s">
        <v>849</v>
      </c>
      <c r="D204" s="56">
        <f>'3a. Typical Mode Sequence (Powe'!C204*$J$8/60</f>
        <v>7.05</v>
      </c>
      <c r="E204" s="56">
        <f>'3. Mode Plot Data'!D204*$J$8/60</f>
        <v>11</v>
      </c>
      <c r="F204" s="56">
        <f t="shared" si="2"/>
        <v>3.95</v>
      </c>
      <c r="G204" s="372">
        <f t="shared" si="4"/>
        <v>2400</v>
      </c>
    </row>
    <row r="205" ht="15.75" customHeight="1">
      <c r="A205" s="304">
        <f t="shared" si="1"/>
        <v>14</v>
      </c>
      <c r="B205" s="379">
        <f t="shared" si="3"/>
        <v>1212</v>
      </c>
      <c r="C205" s="380" t="s">
        <v>849</v>
      </c>
      <c r="D205" s="56">
        <f>'3a. Typical Mode Sequence (Powe'!C205*$J$8/60</f>
        <v>7.05</v>
      </c>
      <c r="E205" s="56">
        <f>'3. Mode Plot Data'!D205*$J$8/60</f>
        <v>11</v>
      </c>
      <c r="F205" s="56">
        <f t="shared" si="2"/>
        <v>3.95</v>
      </c>
      <c r="G205" s="372">
        <f t="shared" si="4"/>
        <v>2400</v>
      </c>
    </row>
    <row r="206" ht="15.75" customHeight="1">
      <c r="A206" s="304">
        <f t="shared" si="1"/>
        <v>14</v>
      </c>
      <c r="B206" s="379">
        <f t="shared" si="3"/>
        <v>1218</v>
      </c>
      <c r="C206" s="380" t="s">
        <v>849</v>
      </c>
      <c r="D206" s="56">
        <f>'3a. Typical Mode Sequence (Powe'!C206*$J$8/60</f>
        <v>7.05</v>
      </c>
      <c r="E206" s="56">
        <f>'3. Mode Plot Data'!D206*$J$8/60</f>
        <v>11</v>
      </c>
      <c r="F206" s="56">
        <f t="shared" si="2"/>
        <v>3.95</v>
      </c>
      <c r="G206" s="372">
        <f t="shared" si="4"/>
        <v>2400</v>
      </c>
    </row>
    <row r="207" ht="15.75" customHeight="1">
      <c r="A207" s="304">
        <f t="shared" si="1"/>
        <v>14</v>
      </c>
      <c r="B207" s="379">
        <f t="shared" si="3"/>
        <v>1224</v>
      </c>
      <c r="C207" s="380" t="s">
        <v>849</v>
      </c>
      <c r="D207" s="56">
        <f>'3a. Typical Mode Sequence (Powe'!C207*$J$8/60</f>
        <v>7.05</v>
      </c>
      <c r="E207" s="56">
        <f>'3. Mode Plot Data'!D207*$J$8/60</f>
        <v>11</v>
      </c>
      <c r="F207" s="56">
        <f t="shared" si="2"/>
        <v>3.95</v>
      </c>
      <c r="G207" s="372">
        <f t="shared" si="4"/>
        <v>2400</v>
      </c>
    </row>
    <row r="208" ht="15.75" customHeight="1">
      <c r="A208" s="304">
        <f t="shared" si="1"/>
        <v>14</v>
      </c>
      <c r="B208" s="379">
        <f t="shared" si="3"/>
        <v>1230</v>
      </c>
      <c r="C208" s="380" t="s">
        <v>849</v>
      </c>
      <c r="D208" s="56">
        <f>'3a. Typical Mode Sequence (Powe'!C208*$J$8/60</f>
        <v>7.05</v>
      </c>
      <c r="E208" s="56">
        <f>'3. Mode Plot Data'!D208*$J$8/60</f>
        <v>11</v>
      </c>
      <c r="F208" s="56">
        <f t="shared" si="2"/>
        <v>3.95</v>
      </c>
      <c r="G208" s="372">
        <f t="shared" si="4"/>
        <v>2400</v>
      </c>
    </row>
    <row r="209" ht="15.75" customHeight="1">
      <c r="A209" s="304">
        <f t="shared" si="1"/>
        <v>14</v>
      </c>
      <c r="B209" s="379">
        <f t="shared" si="3"/>
        <v>1236</v>
      </c>
      <c r="C209" s="380" t="s">
        <v>849</v>
      </c>
      <c r="D209" s="56">
        <f>'3a. Typical Mode Sequence (Powe'!C209*$J$8/60</f>
        <v>7.05</v>
      </c>
      <c r="E209" s="56">
        <f>'3. Mode Plot Data'!D209*$J$8/60</f>
        <v>11</v>
      </c>
      <c r="F209" s="56">
        <f t="shared" si="2"/>
        <v>3.95</v>
      </c>
      <c r="G209" s="372">
        <f t="shared" si="4"/>
        <v>2400</v>
      </c>
    </row>
    <row r="210" ht="15.75" customHeight="1">
      <c r="A210" s="304">
        <f t="shared" si="1"/>
        <v>14</v>
      </c>
      <c r="B210" s="379">
        <f t="shared" si="3"/>
        <v>1242</v>
      </c>
      <c r="C210" s="380" t="s">
        <v>849</v>
      </c>
      <c r="D210" s="56">
        <f>'3a. Typical Mode Sequence (Powe'!C210*$J$8/60</f>
        <v>7.05</v>
      </c>
      <c r="E210" s="56">
        <f>'3. Mode Plot Data'!D210*$J$8/60</f>
        <v>11</v>
      </c>
      <c r="F210" s="56">
        <f t="shared" si="2"/>
        <v>3.95</v>
      </c>
      <c r="G210" s="372">
        <f t="shared" si="4"/>
        <v>2400</v>
      </c>
    </row>
    <row r="211" ht="15.75" customHeight="1">
      <c r="A211" s="304">
        <f t="shared" si="1"/>
        <v>14</v>
      </c>
      <c r="B211" s="379">
        <f t="shared" si="3"/>
        <v>1248</v>
      </c>
      <c r="C211" s="380" t="s">
        <v>849</v>
      </c>
      <c r="D211" s="56">
        <f>'3a. Typical Mode Sequence (Powe'!C211*$J$8/60</f>
        <v>7.05</v>
      </c>
      <c r="E211" s="56">
        <f>'3. Mode Plot Data'!D211*$J$8/60</f>
        <v>11</v>
      </c>
      <c r="F211" s="56">
        <f t="shared" si="2"/>
        <v>3.95</v>
      </c>
      <c r="G211" s="372">
        <f t="shared" si="4"/>
        <v>2400</v>
      </c>
    </row>
    <row r="212" ht="15.75" customHeight="1">
      <c r="A212" s="304">
        <f t="shared" si="1"/>
        <v>14</v>
      </c>
      <c r="B212" s="379">
        <f t="shared" si="3"/>
        <v>1254</v>
      </c>
      <c r="C212" s="380" t="s">
        <v>849</v>
      </c>
      <c r="D212" s="56">
        <f>'3a. Typical Mode Sequence (Powe'!C212*$J$8/60</f>
        <v>7.05</v>
      </c>
      <c r="E212" s="56">
        <f>'3. Mode Plot Data'!D212*$J$8/60</f>
        <v>11</v>
      </c>
      <c r="F212" s="56">
        <f t="shared" si="2"/>
        <v>3.95</v>
      </c>
      <c r="G212" s="372">
        <f t="shared" si="4"/>
        <v>2400</v>
      </c>
    </row>
    <row r="213" ht="15.75" customHeight="1">
      <c r="A213" s="304">
        <f t="shared" si="1"/>
        <v>15</v>
      </c>
      <c r="B213" s="379">
        <f t="shared" si="3"/>
        <v>1260</v>
      </c>
      <c r="C213" s="380" t="s">
        <v>849</v>
      </c>
      <c r="D213" s="56">
        <f>'3a. Typical Mode Sequence (Powe'!C213*$J$8/60</f>
        <v>7.05</v>
      </c>
      <c r="E213" s="56">
        <f>'3. Mode Plot Data'!D213*$J$8/60</f>
        <v>11</v>
      </c>
      <c r="F213" s="56">
        <f t="shared" si="2"/>
        <v>3.95</v>
      </c>
      <c r="G213" s="372">
        <f t="shared" si="4"/>
        <v>2400</v>
      </c>
    </row>
    <row r="214" ht="15.75" customHeight="1">
      <c r="A214" s="304">
        <f t="shared" si="1"/>
        <v>15</v>
      </c>
      <c r="B214" s="379">
        <f t="shared" si="3"/>
        <v>1266</v>
      </c>
      <c r="C214" s="380" t="s">
        <v>849</v>
      </c>
      <c r="D214" s="56">
        <f>'3a. Typical Mode Sequence (Powe'!C214*$J$8/60</f>
        <v>7.05</v>
      </c>
      <c r="E214" s="56">
        <f>'3. Mode Plot Data'!D214*$J$8/60</f>
        <v>11</v>
      </c>
      <c r="F214" s="56">
        <f t="shared" si="2"/>
        <v>3.95</v>
      </c>
      <c r="G214" s="372">
        <f t="shared" si="4"/>
        <v>2400</v>
      </c>
    </row>
    <row r="215" ht="15.75" customHeight="1">
      <c r="A215" s="304">
        <f t="shared" si="1"/>
        <v>15</v>
      </c>
      <c r="B215" s="379">
        <f t="shared" si="3"/>
        <v>1272</v>
      </c>
      <c r="C215" s="380" t="s">
        <v>849</v>
      </c>
      <c r="D215" s="56">
        <f>'3a. Typical Mode Sequence (Powe'!C215*$J$8/60</f>
        <v>7.05</v>
      </c>
      <c r="E215" s="56">
        <f>'3. Mode Plot Data'!D215*$J$8/60</f>
        <v>11</v>
      </c>
      <c r="F215" s="56">
        <f t="shared" si="2"/>
        <v>3.95</v>
      </c>
      <c r="G215" s="372">
        <f t="shared" si="4"/>
        <v>2400</v>
      </c>
    </row>
    <row r="216" ht="15.75" customHeight="1">
      <c r="A216" s="304">
        <f t="shared" si="1"/>
        <v>15</v>
      </c>
      <c r="B216" s="379">
        <f t="shared" si="3"/>
        <v>1278</v>
      </c>
      <c r="C216" s="380" t="s">
        <v>849</v>
      </c>
      <c r="D216" s="56">
        <f>'3a. Typical Mode Sequence (Powe'!C216*$J$8/60</f>
        <v>7.05</v>
      </c>
      <c r="E216" s="56">
        <f>'3. Mode Plot Data'!D216*$J$8/60</f>
        <v>11</v>
      </c>
      <c r="F216" s="56">
        <f t="shared" si="2"/>
        <v>3.95</v>
      </c>
      <c r="G216" s="372">
        <f t="shared" si="4"/>
        <v>2400</v>
      </c>
    </row>
    <row r="217" ht="15.75" customHeight="1">
      <c r="A217" s="304">
        <f t="shared" si="1"/>
        <v>15</v>
      </c>
      <c r="B217" s="379">
        <f t="shared" si="3"/>
        <v>1284</v>
      </c>
      <c r="C217" s="380" t="s">
        <v>849</v>
      </c>
      <c r="D217" s="56">
        <f>'3a. Typical Mode Sequence (Powe'!C217*$J$8/60</f>
        <v>7.05</v>
      </c>
      <c r="E217" s="56">
        <f>'3. Mode Plot Data'!D217*$J$8/60</f>
        <v>11</v>
      </c>
      <c r="F217" s="56">
        <f t="shared" si="2"/>
        <v>3.95</v>
      </c>
      <c r="G217" s="372">
        <f t="shared" si="4"/>
        <v>2400</v>
      </c>
    </row>
    <row r="218" ht="15.75" customHeight="1">
      <c r="A218" s="304">
        <f t="shared" si="1"/>
        <v>15</v>
      </c>
      <c r="B218" s="379">
        <f t="shared" si="3"/>
        <v>1290</v>
      </c>
      <c r="C218" s="380" t="s">
        <v>849</v>
      </c>
      <c r="D218" s="56">
        <f>'3a. Typical Mode Sequence (Powe'!C218*$J$8/60</f>
        <v>7.05</v>
      </c>
      <c r="E218" s="56">
        <f>'3. Mode Plot Data'!D218*$J$8/60</f>
        <v>11</v>
      </c>
      <c r="F218" s="56">
        <f t="shared" si="2"/>
        <v>3.95</v>
      </c>
      <c r="G218" s="372">
        <f t="shared" si="4"/>
        <v>2400</v>
      </c>
    </row>
    <row r="219" ht="15.75" customHeight="1">
      <c r="A219" s="304">
        <f t="shared" si="1"/>
        <v>15</v>
      </c>
      <c r="B219" s="379">
        <f t="shared" si="3"/>
        <v>1296</v>
      </c>
      <c r="C219" s="380" t="s">
        <v>849</v>
      </c>
      <c r="D219" s="56">
        <f>'3a. Typical Mode Sequence (Powe'!C219*$J$8/60</f>
        <v>7.05</v>
      </c>
      <c r="E219" s="56">
        <f>'3. Mode Plot Data'!D219*$J$8/60</f>
        <v>11</v>
      </c>
      <c r="F219" s="56">
        <f t="shared" si="2"/>
        <v>3.95</v>
      </c>
      <c r="G219" s="372">
        <f t="shared" si="4"/>
        <v>2400</v>
      </c>
    </row>
    <row r="220" ht="15.75" customHeight="1">
      <c r="A220" s="304">
        <f t="shared" si="1"/>
        <v>15</v>
      </c>
      <c r="B220" s="379">
        <f t="shared" si="3"/>
        <v>1302</v>
      </c>
      <c r="C220" s="380" t="s">
        <v>849</v>
      </c>
      <c r="D220" s="56">
        <f>'3a. Typical Mode Sequence (Powe'!C220*$J$8/60</f>
        <v>7.05</v>
      </c>
      <c r="E220" s="56">
        <f>'3. Mode Plot Data'!D220*$J$8/60</f>
        <v>11</v>
      </c>
      <c r="F220" s="56">
        <f t="shared" si="2"/>
        <v>3.95</v>
      </c>
      <c r="G220" s="372">
        <f t="shared" si="4"/>
        <v>2400</v>
      </c>
    </row>
    <row r="221" ht="15.75" customHeight="1">
      <c r="A221" s="304">
        <f t="shared" si="1"/>
        <v>15</v>
      </c>
      <c r="B221" s="379">
        <f t="shared" si="3"/>
        <v>1308</v>
      </c>
      <c r="C221" s="380" t="s">
        <v>849</v>
      </c>
      <c r="D221" s="56">
        <f>'3a. Typical Mode Sequence (Powe'!C221*$J$8/60</f>
        <v>7.05</v>
      </c>
      <c r="E221" s="56">
        <f>'3. Mode Plot Data'!D221*$J$8/60</f>
        <v>11</v>
      </c>
      <c r="F221" s="56">
        <f t="shared" si="2"/>
        <v>3.95</v>
      </c>
      <c r="G221" s="372">
        <f t="shared" si="4"/>
        <v>2400</v>
      </c>
    </row>
    <row r="222" ht="15.75" customHeight="1">
      <c r="A222" s="304">
        <f t="shared" si="1"/>
        <v>15</v>
      </c>
      <c r="B222" s="379">
        <f t="shared" si="3"/>
        <v>1314</v>
      </c>
      <c r="C222" s="380" t="s">
        <v>849</v>
      </c>
      <c r="D222" s="56">
        <f>'3a. Typical Mode Sequence (Powe'!C222*$J$8/60</f>
        <v>7.05</v>
      </c>
      <c r="E222" s="56">
        <f>'3. Mode Plot Data'!D222*$J$8/60</f>
        <v>11</v>
      </c>
      <c r="F222" s="56">
        <f t="shared" si="2"/>
        <v>3.95</v>
      </c>
      <c r="G222" s="372">
        <f t="shared" si="4"/>
        <v>2400</v>
      </c>
    </row>
    <row r="223" ht="15.75" customHeight="1">
      <c r="A223" s="304">
        <f t="shared" si="1"/>
        <v>15</v>
      </c>
      <c r="B223" s="379">
        <f t="shared" si="3"/>
        <v>1320</v>
      </c>
      <c r="C223" s="380" t="s">
        <v>849</v>
      </c>
      <c r="D223" s="56">
        <f>'3a. Typical Mode Sequence (Powe'!C223*$J$8/60</f>
        <v>7.05</v>
      </c>
      <c r="E223" s="56">
        <f>'3. Mode Plot Data'!D223*$J$8/60</f>
        <v>11</v>
      </c>
      <c r="F223" s="56">
        <f t="shared" si="2"/>
        <v>3.95</v>
      </c>
      <c r="G223" s="372">
        <f t="shared" si="4"/>
        <v>2400</v>
      </c>
    </row>
    <row r="224" ht="15.75" customHeight="1">
      <c r="A224" s="304">
        <f t="shared" si="1"/>
        <v>15</v>
      </c>
      <c r="B224" s="379">
        <f t="shared" si="3"/>
        <v>1326</v>
      </c>
      <c r="C224" s="380" t="s">
        <v>849</v>
      </c>
      <c r="D224" s="56">
        <f>'3a. Typical Mode Sequence (Powe'!C224*$J$8/60</f>
        <v>7.05</v>
      </c>
      <c r="E224" s="56">
        <f>'3. Mode Plot Data'!D224*$J$8/60</f>
        <v>11</v>
      </c>
      <c r="F224" s="56">
        <f t="shared" si="2"/>
        <v>3.95</v>
      </c>
      <c r="G224" s="372">
        <f t="shared" si="4"/>
        <v>2400</v>
      </c>
    </row>
    <row r="225" ht="15.75" customHeight="1">
      <c r="A225" s="304">
        <f t="shared" si="1"/>
        <v>15</v>
      </c>
      <c r="B225" s="379">
        <f t="shared" si="3"/>
        <v>1332</v>
      </c>
      <c r="C225" s="380" t="s">
        <v>849</v>
      </c>
      <c r="D225" s="56">
        <f>'3a. Typical Mode Sequence (Powe'!C225*$J$8/60</f>
        <v>7.05</v>
      </c>
      <c r="E225" s="56">
        <f>'3. Mode Plot Data'!D225*$J$8/60</f>
        <v>11</v>
      </c>
      <c r="F225" s="56">
        <f t="shared" si="2"/>
        <v>3.95</v>
      </c>
      <c r="G225" s="372">
        <f t="shared" si="4"/>
        <v>2400</v>
      </c>
    </row>
    <row r="226" ht="15.75" customHeight="1">
      <c r="A226" s="304">
        <f t="shared" si="1"/>
        <v>15</v>
      </c>
      <c r="B226" s="379">
        <f t="shared" si="3"/>
        <v>1338</v>
      </c>
      <c r="C226" s="380" t="s">
        <v>849</v>
      </c>
      <c r="D226" s="56">
        <f>'3a. Typical Mode Sequence (Powe'!C226*$J$8/60</f>
        <v>7.05</v>
      </c>
      <c r="E226" s="56">
        <f>'3. Mode Plot Data'!D226*$J$8/60</f>
        <v>11</v>
      </c>
      <c r="F226" s="56">
        <f t="shared" si="2"/>
        <v>3.95</v>
      </c>
      <c r="G226" s="372">
        <f t="shared" si="4"/>
        <v>2400</v>
      </c>
    </row>
    <row r="227" ht="15.75" customHeight="1">
      <c r="A227" s="304">
        <f t="shared" si="1"/>
        <v>15</v>
      </c>
      <c r="B227" s="379">
        <f t="shared" si="3"/>
        <v>1344</v>
      </c>
      <c r="C227" s="380" t="s">
        <v>849</v>
      </c>
      <c r="D227" s="56">
        <f>'3a. Typical Mode Sequence (Powe'!C227*$J$8/60</f>
        <v>7.05</v>
      </c>
      <c r="E227" s="56">
        <f>'3. Mode Plot Data'!D227*$J$8/60</f>
        <v>11</v>
      </c>
      <c r="F227" s="56">
        <f t="shared" si="2"/>
        <v>3.95</v>
      </c>
      <c r="G227" s="372">
        <f t="shared" si="4"/>
        <v>2400</v>
      </c>
    </row>
    <row r="228" ht="15.75" customHeight="1">
      <c r="A228" s="304">
        <f t="shared" si="1"/>
        <v>16</v>
      </c>
      <c r="B228" s="379">
        <f t="shared" si="3"/>
        <v>1350</v>
      </c>
      <c r="C228" s="380" t="s">
        <v>849</v>
      </c>
      <c r="D228" s="56">
        <f>'3a. Typical Mode Sequence (Powe'!C228*$J$8/60</f>
        <v>7.05</v>
      </c>
      <c r="E228" s="56">
        <f>'3. Mode Plot Data'!D228*$J$8/60</f>
        <v>11</v>
      </c>
      <c r="F228" s="56">
        <f t="shared" si="2"/>
        <v>3.95</v>
      </c>
      <c r="G228" s="372">
        <f t="shared" si="4"/>
        <v>2400</v>
      </c>
    </row>
    <row r="229" ht="15.75" customHeight="1">
      <c r="A229" s="304">
        <f t="shared" si="1"/>
        <v>16</v>
      </c>
      <c r="B229" s="379">
        <f t="shared" si="3"/>
        <v>1356</v>
      </c>
      <c r="C229" s="380" t="s">
        <v>849</v>
      </c>
      <c r="D229" s="56">
        <f>'3a. Typical Mode Sequence (Powe'!C229*$J$8/60</f>
        <v>7.05</v>
      </c>
      <c r="E229" s="56">
        <f>'3. Mode Plot Data'!D229*$J$8/60</f>
        <v>11</v>
      </c>
      <c r="F229" s="56">
        <f t="shared" si="2"/>
        <v>3.95</v>
      </c>
      <c r="G229" s="372">
        <f t="shared" si="4"/>
        <v>2400</v>
      </c>
    </row>
    <row r="230" ht="15.75" customHeight="1">
      <c r="A230" s="304">
        <f t="shared" si="1"/>
        <v>16</v>
      </c>
      <c r="B230" s="379">
        <f t="shared" si="3"/>
        <v>1362</v>
      </c>
      <c r="C230" s="380" t="s">
        <v>849</v>
      </c>
      <c r="D230" s="56">
        <f>'3a. Typical Mode Sequence (Powe'!C230*$J$8/60</f>
        <v>7.05</v>
      </c>
      <c r="E230" s="56">
        <f>'3. Mode Plot Data'!D230*$J$8/60</f>
        <v>11</v>
      </c>
      <c r="F230" s="56">
        <f t="shared" si="2"/>
        <v>3.95</v>
      </c>
      <c r="G230" s="372">
        <f t="shared" si="4"/>
        <v>2400</v>
      </c>
    </row>
    <row r="231" ht="15.75" customHeight="1">
      <c r="A231" s="304">
        <f t="shared" si="1"/>
        <v>16</v>
      </c>
      <c r="B231" s="379">
        <f t="shared" si="3"/>
        <v>1368</v>
      </c>
      <c r="C231" s="380" t="s">
        <v>849</v>
      </c>
      <c r="D231" s="56">
        <f>'3a. Typical Mode Sequence (Powe'!C231*$J$8/60</f>
        <v>7.05</v>
      </c>
      <c r="E231" s="56">
        <f>'3. Mode Plot Data'!D231*$J$8/60</f>
        <v>11</v>
      </c>
      <c r="F231" s="56">
        <f t="shared" si="2"/>
        <v>3.95</v>
      </c>
      <c r="G231" s="372">
        <f t="shared" si="4"/>
        <v>2400</v>
      </c>
    </row>
    <row r="232" ht="15.75" customHeight="1">
      <c r="A232" s="304">
        <f t="shared" si="1"/>
        <v>16</v>
      </c>
      <c r="B232" s="379">
        <f t="shared" si="3"/>
        <v>1374</v>
      </c>
      <c r="C232" s="380" t="s">
        <v>849</v>
      </c>
      <c r="D232" s="56">
        <f>'3a. Typical Mode Sequence (Powe'!C232*$J$8/60</f>
        <v>7.05</v>
      </c>
      <c r="E232" s="56">
        <f>'3. Mode Plot Data'!D232*$J$8/60</f>
        <v>11</v>
      </c>
      <c r="F232" s="56">
        <f t="shared" si="2"/>
        <v>3.95</v>
      </c>
      <c r="G232" s="372">
        <f t="shared" si="4"/>
        <v>2400</v>
      </c>
    </row>
    <row r="233" ht="15.75" customHeight="1">
      <c r="A233" s="304">
        <f t="shared" si="1"/>
        <v>16</v>
      </c>
      <c r="B233" s="379">
        <f t="shared" si="3"/>
        <v>1380</v>
      </c>
      <c r="C233" s="380" t="s">
        <v>849</v>
      </c>
      <c r="D233" s="56">
        <f>'3a. Typical Mode Sequence (Powe'!C233*$J$8/60</f>
        <v>7.05</v>
      </c>
      <c r="E233" s="56">
        <f>'3. Mode Plot Data'!D233*$J$8/60</f>
        <v>11</v>
      </c>
      <c r="F233" s="56">
        <f t="shared" si="2"/>
        <v>3.95</v>
      </c>
      <c r="G233" s="372">
        <f t="shared" si="4"/>
        <v>2400</v>
      </c>
    </row>
    <row r="234" ht="15.75" customHeight="1">
      <c r="A234" s="304">
        <f t="shared" si="1"/>
        <v>16</v>
      </c>
      <c r="B234" s="379">
        <f t="shared" si="3"/>
        <v>1386</v>
      </c>
      <c r="C234" s="380" t="s">
        <v>849</v>
      </c>
      <c r="D234" s="56">
        <f>'3a. Typical Mode Sequence (Powe'!C234*$J$8/60</f>
        <v>7.05</v>
      </c>
      <c r="E234" s="56">
        <f>'3. Mode Plot Data'!D234*$J$8/60</f>
        <v>11</v>
      </c>
      <c r="F234" s="56">
        <f t="shared" si="2"/>
        <v>3.95</v>
      </c>
      <c r="G234" s="372">
        <f t="shared" si="4"/>
        <v>2400</v>
      </c>
    </row>
    <row r="235" ht="15.75" customHeight="1">
      <c r="A235" s="304">
        <f t="shared" si="1"/>
        <v>16</v>
      </c>
      <c r="B235" s="379">
        <f t="shared" si="3"/>
        <v>1392</v>
      </c>
      <c r="C235" s="380" t="s">
        <v>849</v>
      </c>
      <c r="D235" s="56">
        <f>'3a. Typical Mode Sequence (Powe'!C235*$J$8/60</f>
        <v>7.05</v>
      </c>
      <c r="E235" s="56">
        <f>'3. Mode Plot Data'!D235*$J$8/60</f>
        <v>11</v>
      </c>
      <c r="F235" s="56">
        <f t="shared" si="2"/>
        <v>3.95</v>
      </c>
      <c r="G235" s="372">
        <f t="shared" si="4"/>
        <v>2400</v>
      </c>
    </row>
    <row r="236" ht="15.75" customHeight="1">
      <c r="A236" s="304">
        <f t="shared" si="1"/>
        <v>16</v>
      </c>
      <c r="B236" s="379">
        <f t="shared" si="3"/>
        <v>1398</v>
      </c>
      <c r="C236" s="380" t="s">
        <v>849</v>
      </c>
      <c r="D236" s="56">
        <f>'3a. Typical Mode Sequence (Powe'!C236*$J$8/60</f>
        <v>7.05</v>
      </c>
      <c r="E236" s="56">
        <f>'3. Mode Plot Data'!D236*$J$8/60</f>
        <v>11</v>
      </c>
      <c r="F236" s="56">
        <f t="shared" si="2"/>
        <v>3.95</v>
      </c>
      <c r="G236" s="372">
        <f t="shared" si="4"/>
        <v>2400</v>
      </c>
    </row>
    <row r="237" ht="15.75" customHeight="1">
      <c r="B237" s="56"/>
    </row>
    <row r="238" ht="15.75" customHeight="1">
      <c r="B238" s="56"/>
    </row>
    <row r="239" ht="15.75" customHeight="1">
      <c r="B239" s="56"/>
    </row>
    <row r="240" ht="15.75" customHeight="1">
      <c r="B240" s="56"/>
    </row>
    <row r="241" ht="15.75" customHeight="1">
      <c r="B241" s="56"/>
    </row>
    <row r="242" ht="15.75" customHeight="1">
      <c r="B242" s="56"/>
    </row>
    <row r="243" ht="15.75" customHeight="1">
      <c r="B243" s="56"/>
    </row>
    <row r="244" ht="15.75" customHeight="1">
      <c r="B244" s="56"/>
    </row>
    <row r="245" ht="15.75" customHeight="1">
      <c r="B245" s="56"/>
    </row>
    <row r="246" ht="15.75" customHeight="1">
      <c r="B246" s="56"/>
    </row>
    <row r="247" ht="15.75" customHeight="1">
      <c r="B247" s="56"/>
    </row>
    <row r="248" ht="15.75" customHeight="1">
      <c r="B248" s="56"/>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I32:L32"/>
    <mergeCell ref="I33:L33"/>
    <mergeCell ref="I34:L34"/>
    <mergeCell ref="I35:L35"/>
    <mergeCell ref="I36:L36"/>
    <mergeCell ref="I37:L37"/>
    <mergeCell ref="I3:J3"/>
    <mergeCell ref="I10:K10"/>
    <mergeCell ref="I17:K17"/>
    <mergeCell ref="I18:K18"/>
    <mergeCell ref="I19:K19"/>
    <mergeCell ref="I20:K20"/>
    <mergeCell ref="I31:L31"/>
  </mergeCells>
  <conditionalFormatting sqref="C3:C236">
    <cfRule type="expression" dxfId="5" priority="1">
      <formula>NOT(OR(EQ($B3,"Power Generation"), EQ($B3, "Nominal")))</formula>
    </cfRule>
  </conditionalFormatting>
  <conditionalFormatting sqref="G3:G236">
    <cfRule type="cellIs" dxfId="3" priority="2" operator="lessThan">
      <formula>$J$7</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4.38"/>
    <col customWidth="1" min="5" max="5" width="12.25"/>
    <col customWidth="1" min="6" max="6" width="15.0"/>
    <col customWidth="1" min="7" max="7" width="17.75"/>
    <col customWidth="1" min="8" max="9" width="14.38"/>
    <col customWidth="1" min="10" max="10" width="30.25"/>
  </cols>
  <sheetData>
    <row r="1" ht="15.75" customHeight="1"/>
    <row r="2" ht="15.75" customHeight="1">
      <c r="B2" s="361" t="s">
        <v>897</v>
      </c>
      <c r="C2" s="366" t="s">
        <v>898</v>
      </c>
      <c r="D2" s="366" t="s">
        <v>899</v>
      </c>
      <c r="F2" s="367" t="s">
        <v>900</v>
      </c>
      <c r="G2" s="368" t="s">
        <v>899</v>
      </c>
      <c r="I2" s="361" t="s">
        <v>901</v>
      </c>
      <c r="J2" s="369" t="s">
        <v>902</v>
      </c>
    </row>
    <row r="3" ht="15.75" customHeight="1">
      <c r="B3" s="370">
        <v>0.0</v>
      </c>
      <c r="C3" s="56">
        <v>0.0</v>
      </c>
      <c r="D3" s="56">
        <v>3.445</v>
      </c>
      <c r="F3" s="371">
        <v>0.0</v>
      </c>
      <c r="G3" s="372">
        <f t="shared" ref="G3:G1442" si="1">SUM(INDIRECT("D"&amp;(3+F3*6) &amp; ":D" &amp; (3 + F3 * 6 + 5)))/6</f>
        <v>3.004166667</v>
      </c>
      <c r="I3" s="371" t="s">
        <v>903</v>
      </c>
      <c r="J3" s="372">
        <f>SUM(D3:D8642)*10/3600</f>
        <v>43.33494444</v>
      </c>
    </row>
    <row r="4" ht="15.75" customHeight="1">
      <c r="B4" s="370">
        <f t="shared" ref="B4:B8642" si="2">B3+TIME(0,0,10)</f>
        <v>0.0001157407407</v>
      </c>
      <c r="C4" s="56">
        <f t="shared" ref="C4:C8642" si="3">C3+10</f>
        <v>10</v>
      </c>
      <c r="D4" s="56">
        <v>3.48</v>
      </c>
      <c r="F4" s="371">
        <v>1.0</v>
      </c>
      <c r="G4" s="372">
        <f t="shared" si="1"/>
        <v>2.9665</v>
      </c>
      <c r="I4" s="371" t="s">
        <v>904</v>
      </c>
      <c r="J4" s="372">
        <f>J3/144</f>
        <v>0.3009371142</v>
      </c>
    </row>
    <row r="5" ht="15.75" customHeight="1">
      <c r="B5" s="370">
        <f t="shared" si="2"/>
        <v>0.0002314814815</v>
      </c>
      <c r="C5" s="56">
        <f t="shared" si="3"/>
        <v>20</v>
      </c>
      <c r="D5" s="56">
        <v>3.501</v>
      </c>
      <c r="F5" s="371">
        <v>2.0</v>
      </c>
      <c r="G5" s="372">
        <f t="shared" si="1"/>
        <v>2.728</v>
      </c>
      <c r="I5" s="371" t="s">
        <v>905</v>
      </c>
      <c r="J5" s="372">
        <f>J3/1440</f>
        <v>0.03009371142</v>
      </c>
    </row>
    <row r="6" ht="15.75" customHeight="1">
      <c r="B6" s="370">
        <f t="shared" si="2"/>
        <v>0.0003472222222</v>
      </c>
      <c r="C6" s="56">
        <f t="shared" si="3"/>
        <v>30</v>
      </c>
      <c r="D6" s="56">
        <v>3.161</v>
      </c>
      <c r="F6" s="371">
        <v>3.0</v>
      </c>
      <c r="G6" s="372">
        <f t="shared" si="1"/>
        <v>3.142666667</v>
      </c>
      <c r="I6" s="364" t="s">
        <v>906</v>
      </c>
      <c r="J6" s="373">
        <f>J3/16</f>
        <v>2.708434028</v>
      </c>
    </row>
    <row r="7" ht="15.75" customHeight="1">
      <c r="B7" s="370">
        <f t="shared" si="2"/>
        <v>0.000462962963</v>
      </c>
      <c r="C7" s="56">
        <f t="shared" si="3"/>
        <v>40</v>
      </c>
      <c r="D7" s="56">
        <v>2.464</v>
      </c>
      <c r="F7" s="371">
        <v>4.0</v>
      </c>
      <c r="G7" s="372">
        <f t="shared" si="1"/>
        <v>2.627333333</v>
      </c>
    </row>
    <row r="8" ht="15.75" customHeight="1">
      <c r="B8" s="370">
        <f t="shared" si="2"/>
        <v>0.0005787037037</v>
      </c>
      <c r="C8" s="56">
        <f t="shared" si="3"/>
        <v>50</v>
      </c>
      <c r="D8" s="56">
        <v>1.974</v>
      </c>
      <c r="F8" s="371">
        <v>5.0</v>
      </c>
      <c r="G8" s="372">
        <f t="shared" si="1"/>
        <v>2.941833333</v>
      </c>
      <c r="I8" s="56" t="s">
        <v>907</v>
      </c>
    </row>
    <row r="9" ht="15.75" customHeight="1">
      <c r="B9" s="370">
        <f t="shared" si="2"/>
        <v>0.0006944444444</v>
      </c>
      <c r="C9" s="56">
        <f t="shared" si="3"/>
        <v>60</v>
      </c>
      <c r="D9" s="56">
        <v>2.287</v>
      </c>
      <c r="F9" s="371">
        <v>6.0</v>
      </c>
      <c r="G9" s="372">
        <f t="shared" si="1"/>
        <v>2.902833333</v>
      </c>
    </row>
    <row r="10" ht="15.75" customHeight="1">
      <c r="B10" s="370">
        <f t="shared" si="2"/>
        <v>0.0008101851852</v>
      </c>
      <c r="C10" s="56">
        <f t="shared" si="3"/>
        <v>70</v>
      </c>
      <c r="D10" s="56">
        <v>2.688</v>
      </c>
      <c r="F10" s="371">
        <v>7.0</v>
      </c>
      <c r="G10" s="372">
        <f t="shared" si="1"/>
        <v>2.665333333</v>
      </c>
    </row>
    <row r="11" ht="15.75" customHeight="1">
      <c r="B11" s="370">
        <f t="shared" si="2"/>
        <v>0.0009259259259</v>
      </c>
      <c r="C11" s="56">
        <f t="shared" si="3"/>
        <v>80</v>
      </c>
      <c r="D11" s="56">
        <v>3.058</v>
      </c>
      <c r="F11" s="371">
        <v>8.0</v>
      </c>
      <c r="G11" s="372">
        <f t="shared" si="1"/>
        <v>3.159833333</v>
      </c>
    </row>
    <row r="12" ht="15.75" customHeight="1">
      <c r="B12" s="370">
        <f t="shared" si="2"/>
        <v>0.001041666667</v>
      </c>
      <c r="C12" s="56">
        <f t="shared" si="3"/>
        <v>90</v>
      </c>
      <c r="D12" s="56">
        <v>3.346</v>
      </c>
      <c r="F12" s="371">
        <v>9.0</v>
      </c>
      <c r="G12" s="372">
        <f t="shared" si="1"/>
        <v>2.6665</v>
      </c>
    </row>
    <row r="13" ht="15.75" customHeight="1">
      <c r="B13" s="370">
        <f t="shared" si="2"/>
        <v>0.001157407407</v>
      </c>
      <c r="C13" s="56">
        <f t="shared" si="3"/>
        <v>100</v>
      </c>
      <c r="D13" s="56">
        <v>3.265</v>
      </c>
      <c r="F13" s="371">
        <v>10.0</v>
      </c>
      <c r="G13" s="372">
        <f t="shared" si="1"/>
        <v>3.014833333</v>
      </c>
    </row>
    <row r="14" ht="15.75" customHeight="1">
      <c r="B14" s="370">
        <f t="shared" si="2"/>
        <v>0.001273148148</v>
      </c>
      <c r="C14" s="56">
        <f t="shared" si="3"/>
        <v>110</v>
      </c>
      <c r="D14" s="56">
        <v>3.155</v>
      </c>
      <c r="F14" s="371">
        <v>11.0</v>
      </c>
      <c r="G14" s="372">
        <f t="shared" si="1"/>
        <v>2.9365</v>
      </c>
    </row>
    <row r="15" ht="15.75" customHeight="1">
      <c r="B15" s="370">
        <f t="shared" si="2"/>
        <v>0.001388888889</v>
      </c>
      <c r="C15" s="56">
        <f t="shared" si="3"/>
        <v>120</v>
      </c>
      <c r="D15" s="56">
        <v>2.941</v>
      </c>
      <c r="F15" s="371">
        <v>12.0</v>
      </c>
      <c r="G15" s="372">
        <f t="shared" si="1"/>
        <v>2.726</v>
      </c>
    </row>
    <row r="16" ht="15.75" customHeight="1">
      <c r="B16" s="370">
        <f t="shared" si="2"/>
        <v>0.00150462963</v>
      </c>
      <c r="C16" s="56">
        <f t="shared" si="3"/>
        <v>130</v>
      </c>
      <c r="D16" s="56">
        <v>2.649</v>
      </c>
      <c r="F16" s="371">
        <v>13.0</v>
      </c>
      <c r="G16" s="372">
        <f t="shared" si="1"/>
        <v>3.009833333</v>
      </c>
    </row>
    <row r="17" ht="15.75" customHeight="1">
      <c r="B17" s="370">
        <f t="shared" si="2"/>
        <v>0.00162037037</v>
      </c>
      <c r="C17" s="56">
        <f t="shared" si="3"/>
        <v>140</v>
      </c>
      <c r="D17" s="56">
        <v>2.739</v>
      </c>
      <c r="F17" s="371">
        <v>14.0</v>
      </c>
      <c r="G17" s="372">
        <f t="shared" si="1"/>
        <v>2.641166667</v>
      </c>
    </row>
    <row r="18" ht="15.75" customHeight="1">
      <c r="B18" s="370">
        <f t="shared" si="2"/>
        <v>0.001736111111</v>
      </c>
      <c r="C18" s="56">
        <f t="shared" si="3"/>
        <v>150</v>
      </c>
      <c r="D18" s="56">
        <v>2.749</v>
      </c>
      <c r="F18" s="371">
        <v>15.0</v>
      </c>
      <c r="G18" s="372">
        <f t="shared" si="1"/>
        <v>2.978833333</v>
      </c>
    </row>
    <row r="19" ht="15.75" customHeight="1">
      <c r="B19" s="370">
        <f t="shared" si="2"/>
        <v>0.001851851852</v>
      </c>
      <c r="C19" s="56">
        <f t="shared" si="3"/>
        <v>160</v>
      </c>
      <c r="D19" s="56">
        <v>2.683</v>
      </c>
      <c r="F19" s="371">
        <v>16.0</v>
      </c>
      <c r="G19" s="372">
        <f t="shared" si="1"/>
        <v>2.870833333</v>
      </c>
    </row>
    <row r="20" ht="15.75" customHeight="1">
      <c r="B20" s="370">
        <f t="shared" si="2"/>
        <v>0.001967592593</v>
      </c>
      <c r="C20" s="56">
        <f t="shared" si="3"/>
        <v>170</v>
      </c>
      <c r="D20" s="56">
        <v>2.607</v>
      </c>
      <c r="F20" s="371">
        <v>17.0</v>
      </c>
      <c r="G20" s="372">
        <f t="shared" si="1"/>
        <v>2.7025</v>
      </c>
    </row>
    <row r="21" ht="15.75" customHeight="1">
      <c r="B21" s="370">
        <f t="shared" si="2"/>
        <v>0.002083333333</v>
      </c>
      <c r="C21" s="56">
        <f t="shared" si="3"/>
        <v>180</v>
      </c>
      <c r="D21" s="56">
        <v>2.334</v>
      </c>
      <c r="F21" s="371">
        <v>18.0</v>
      </c>
      <c r="G21" s="372">
        <f t="shared" si="1"/>
        <v>3.244333333</v>
      </c>
    </row>
    <row r="22" ht="15.75" customHeight="1">
      <c r="B22" s="370">
        <f t="shared" si="2"/>
        <v>0.002199074074</v>
      </c>
      <c r="C22" s="56">
        <f t="shared" si="3"/>
        <v>190</v>
      </c>
      <c r="D22" s="56">
        <v>3.039</v>
      </c>
      <c r="F22" s="371">
        <v>19.0</v>
      </c>
      <c r="G22" s="372">
        <f t="shared" si="1"/>
        <v>2.641333333</v>
      </c>
    </row>
    <row r="23" ht="15.75" customHeight="1">
      <c r="B23" s="370">
        <f t="shared" si="2"/>
        <v>0.002314814815</v>
      </c>
      <c r="C23" s="56">
        <f t="shared" si="3"/>
        <v>200</v>
      </c>
      <c r="D23" s="56">
        <v>3.381</v>
      </c>
      <c r="F23" s="371">
        <v>20.0</v>
      </c>
      <c r="G23" s="372">
        <f t="shared" si="1"/>
        <v>2.897</v>
      </c>
    </row>
    <row r="24" ht="15.75" customHeight="1">
      <c r="B24" s="370">
        <f t="shared" si="2"/>
        <v>0.002430555556</v>
      </c>
      <c r="C24" s="56">
        <f t="shared" si="3"/>
        <v>210</v>
      </c>
      <c r="D24" s="56">
        <v>3.415</v>
      </c>
      <c r="F24" s="371">
        <v>21.0</v>
      </c>
      <c r="G24" s="372">
        <f t="shared" si="1"/>
        <v>2.921333333</v>
      </c>
    </row>
    <row r="25" ht="15.75" customHeight="1">
      <c r="B25" s="370">
        <f t="shared" si="2"/>
        <v>0.002546296296</v>
      </c>
      <c r="C25" s="56">
        <f t="shared" si="3"/>
        <v>220</v>
      </c>
      <c r="D25" s="56">
        <v>3.472</v>
      </c>
      <c r="F25" s="371">
        <v>22.0</v>
      </c>
      <c r="G25" s="372">
        <f t="shared" si="1"/>
        <v>2.6825</v>
      </c>
    </row>
    <row r="26" ht="15.75" customHeight="1">
      <c r="B26" s="370">
        <f t="shared" si="2"/>
        <v>0.002662037037</v>
      </c>
      <c r="C26" s="56">
        <f t="shared" si="3"/>
        <v>230</v>
      </c>
      <c r="D26" s="56">
        <v>3.215</v>
      </c>
      <c r="F26" s="371">
        <v>23.0</v>
      </c>
      <c r="G26" s="372">
        <f t="shared" si="1"/>
        <v>3.0465</v>
      </c>
    </row>
    <row r="27" ht="15.75" customHeight="1">
      <c r="B27" s="370">
        <f t="shared" si="2"/>
        <v>0.002777777778</v>
      </c>
      <c r="C27" s="56">
        <f t="shared" si="3"/>
        <v>240</v>
      </c>
      <c r="D27" s="56">
        <v>2.615</v>
      </c>
      <c r="F27" s="371">
        <v>24.0</v>
      </c>
      <c r="G27" s="372">
        <f t="shared" si="1"/>
        <v>2.675333333</v>
      </c>
    </row>
    <row r="28" ht="15.75" customHeight="1">
      <c r="B28" s="370">
        <f t="shared" si="2"/>
        <v>0.002893518519</v>
      </c>
      <c r="C28" s="56">
        <f t="shared" si="3"/>
        <v>250</v>
      </c>
      <c r="D28" s="56">
        <v>2.042</v>
      </c>
      <c r="F28" s="371">
        <v>25.0</v>
      </c>
      <c r="G28" s="372">
        <f t="shared" si="1"/>
        <v>3.018166667</v>
      </c>
    </row>
    <row r="29" ht="15.75" customHeight="1">
      <c r="B29" s="370">
        <f t="shared" si="2"/>
        <v>0.003009259259</v>
      </c>
      <c r="C29" s="56">
        <f t="shared" si="3"/>
        <v>260</v>
      </c>
      <c r="D29" s="56">
        <v>2.114</v>
      </c>
      <c r="F29" s="371">
        <v>26.0</v>
      </c>
      <c r="G29" s="372">
        <f t="shared" si="1"/>
        <v>2.967166667</v>
      </c>
    </row>
    <row r="30" ht="15.75" customHeight="1">
      <c r="B30" s="370">
        <f t="shared" si="2"/>
        <v>0.003125</v>
      </c>
      <c r="C30" s="56">
        <f t="shared" si="3"/>
        <v>270</v>
      </c>
      <c r="D30" s="56">
        <v>2.556</v>
      </c>
      <c r="F30" s="371">
        <v>27.0</v>
      </c>
      <c r="G30" s="372">
        <f t="shared" si="1"/>
        <v>2.726333333</v>
      </c>
    </row>
    <row r="31" ht="15.75" customHeight="1">
      <c r="B31" s="370">
        <f t="shared" si="2"/>
        <v>0.003240740741</v>
      </c>
      <c r="C31" s="56">
        <f t="shared" si="3"/>
        <v>280</v>
      </c>
      <c r="D31" s="56">
        <v>3.032</v>
      </c>
      <c r="F31" s="371">
        <v>28.0</v>
      </c>
      <c r="G31" s="372">
        <f t="shared" si="1"/>
        <v>3.126666667</v>
      </c>
    </row>
    <row r="32" ht="15.75" customHeight="1">
      <c r="B32" s="370">
        <f t="shared" si="2"/>
        <v>0.003356481481</v>
      </c>
      <c r="C32" s="56">
        <f t="shared" si="3"/>
        <v>290</v>
      </c>
      <c r="D32" s="56">
        <v>3.405</v>
      </c>
      <c r="F32" s="371">
        <v>29.0</v>
      </c>
      <c r="G32" s="372">
        <f t="shared" si="1"/>
        <v>2.623333333</v>
      </c>
    </row>
    <row r="33" ht="15.75" customHeight="1">
      <c r="B33" s="370">
        <f t="shared" si="2"/>
        <v>0.003472222222</v>
      </c>
      <c r="C33" s="56">
        <f t="shared" si="3"/>
        <v>300</v>
      </c>
      <c r="D33" s="56">
        <v>3.365</v>
      </c>
      <c r="F33" s="371">
        <v>30.0</v>
      </c>
      <c r="G33" s="372">
        <f t="shared" si="1"/>
        <v>2.940166667</v>
      </c>
    </row>
    <row r="34" ht="15.75" customHeight="1">
      <c r="B34" s="370">
        <f t="shared" si="2"/>
        <v>0.003587962963</v>
      </c>
      <c r="C34" s="56">
        <f t="shared" si="3"/>
        <v>310</v>
      </c>
      <c r="D34" s="56">
        <v>3.316</v>
      </c>
      <c r="F34" s="371">
        <v>31.0</v>
      </c>
      <c r="G34" s="372">
        <f t="shared" si="1"/>
        <v>2.8825</v>
      </c>
    </row>
    <row r="35" ht="15.75" customHeight="1">
      <c r="B35" s="370">
        <f t="shared" si="2"/>
        <v>0.003703703704</v>
      </c>
      <c r="C35" s="56">
        <f t="shared" si="3"/>
        <v>320</v>
      </c>
      <c r="D35" s="56">
        <v>3.117</v>
      </c>
      <c r="F35" s="371">
        <v>32.0</v>
      </c>
      <c r="G35" s="372">
        <f t="shared" si="1"/>
        <v>0.3241666667</v>
      </c>
    </row>
    <row r="36" ht="15.75" customHeight="1">
      <c r="B36" s="370">
        <f t="shared" si="2"/>
        <v>0.003819444444</v>
      </c>
      <c r="C36" s="56">
        <f t="shared" si="3"/>
        <v>330</v>
      </c>
      <c r="D36" s="56">
        <v>2.51</v>
      </c>
      <c r="F36" s="371">
        <v>33.0</v>
      </c>
      <c r="G36" s="372">
        <f t="shared" si="1"/>
        <v>0</v>
      </c>
    </row>
    <row r="37" ht="15.75" customHeight="1">
      <c r="B37" s="370">
        <f t="shared" si="2"/>
        <v>0.003935185185</v>
      </c>
      <c r="C37" s="56">
        <f t="shared" si="3"/>
        <v>340</v>
      </c>
      <c r="D37" s="56">
        <v>2.624</v>
      </c>
      <c r="F37" s="371">
        <v>34.0</v>
      </c>
      <c r="G37" s="372">
        <f t="shared" si="1"/>
        <v>0</v>
      </c>
    </row>
    <row r="38" ht="15.75" customHeight="1">
      <c r="B38" s="370">
        <f t="shared" si="2"/>
        <v>0.004050925926</v>
      </c>
      <c r="C38" s="56">
        <f t="shared" si="3"/>
        <v>350</v>
      </c>
      <c r="D38" s="56">
        <v>2.719</v>
      </c>
      <c r="F38" s="371">
        <v>35.0</v>
      </c>
      <c r="G38" s="372">
        <f t="shared" si="1"/>
        <v>0</v>
      </c>
    </row>
    <row r="39" ht="15.75" customHeight="1">
      <c r="B39" s="370">
        <f t="shared" si="2"/>
        <v>0.004166666667</v>
      </c>
      <c r="C39" s="56">
        <f t="shared" si="3"/>
        <v>360</v>
      </c>
      <c r="D39" s="56">
        <v>2.717</v>
      </c>
      <c r="F39" s="371">
        <v>36.0</v>
      </c>
      <c r="G39" s="372">
        <f t="shared" si="1"/>
        <v>0</v>
      </c>
    </row>
    <row r="40" ht="15.75" customHeight="1">
      <c r="B40" s="370">
        <f t="shared" si="2"/>
        <v>0.004282407407</v>
      </c>
      <c r="C40" s="56">
        <f t="shared" si="3"/>
        <v>370</v>
      </c>
      <c r="D40" s="56">
        <v>2.717</v>
      </c>
      <c r="F40" s="371">
        <v>37.0</v>
      </c>
      <c r="G40" s="372">
        <f t="shared" si="1"/>
        <v>0</v>
      </c>
    </row>
    <row r="41" ht="15.75" customHeight="1">
      <c r="B41" s="370">
        <f t="shared" si="2"/>
        <v>0.004398148148</v>
      </c>
      <c r="C41" s="56">
        <f t="shared" si="3"/>
        <v>380</v>
      </c>
      <c r="D41" s="56">
        <v>2.566</v>
      </c>
      <c r="F41" s="371">
        <v>38.0</v>
      </c>
      <c r="G41" s="372">
        <f t="shared" si="1"/>
        <v>0</v>
      </c>
    </row>
    <row r="42" ht="15.75" customHeight="1">
      <c r="B42" s="370">
        <f t="shared" si="2"/>
        <v>0.004513888889</v>
      </c>
      <c r="C42" s="56">
        <f t="shared" si="3"/>
        <v>390</v>
      </c>
      <c r="D42" s="56">
        <v>2.834</v>
      </c>
      <c r="F42" s="371">
        <v>39.0</v>
      </c>
      <c r="G42" s="372">
        <f t="shared" si="1"/>
        <v>0</v>
      </c>
    </row>
    <row r="43" ht="15.75" customHeight="1">
      <c r="B43" s="370">
        <f t="shared" si="2"/>
        <v>0.00462962963</v>
      </c>
      <c r="C43" s="56">
        <f t="shared" si="3"/>
        <v>400</v>
      </c>
      <c r="D43" s="56">
        <v>3.26</v>
      </c>
      <c r="F43" s="371">
        <v>40.0</v>
      </c>
      <c r="G43" s="372">
        <f t="shared" si="1"/>
        <v>0</v>
      </c>
    </row>
    <row r="44" ht="15.75" customHeight="1">
      <c r="B44" s="370">
        <f t="shared" si="2"/>
        <v>0.00474537037</v>
      </c>
      <c r="C44" s="56">
        <f t="shared" si="3"/>
        <v>410</v>
      </c>
      <c r="D44" s="56">
        <v>3.323</v>
      </c>
      <c r="F44" s="371">
        <v>41.0</v>
      </c>
      <c r="G44" s="372">
        <f t="shared" si="1"/>
        <v>0</v>
      </c>
    </row>
    <row r="45" ht="15.75" customHeight="1">
      <c r="B45" s="370">
        <f t="shared" si="2"/>
        <v>0.004861111111</v>
      </c>
      <c r="C45" s="56">
        <f t="shared" si="3"/>
        <v>420</v>
      </c>
      <c r="D45" s="56">
        <v>3.401</v>
      </c>
      <c r="F45" s="371">
        <v>42.0</v>
      </c>
      <c r="G45" s="372">
        <f t="shared" si="1"/>
        <v>0</v>
      </c>
    </row>
    <row r="46" ht="15.75" customHeight="1">
      <c r="B46" s="370">
        <f t="shared" si="2"/>
        <v>0.004976851852</v>
      </c>
      <c r="C46" s="56">
        <f t="shared" si="3"/>
        <v>430</v>
      </c>
      <c r="D46" s="56">
        <v>3.229</v>
      </c>
      <c r="F46" s="371">
        <v>43.0</v>
      </c>
      <c r="G46" s="372">
        <f t="shared" si="1"/>
        <v>0</v>
      </c>
    </row>
    <row r="47" ht="15.75" customHeight="1">
      <c r="B47" s="370">
        <f t="shared" si="2"/>
        <v>0.005092592593</v>
      </c>
      <c r="C47" s="56">
        <f t="shared" si="3"/>
        <v>440</v>
      </c>
      <c r="D47" s="56">
        <v>2.721</v>
      </c>
      <c r="F47" s="371">
        <v>44.0</v>
      </c>
      <c r="G47" s="372">
        <f t="shared" si="1"/>
        <v>0</v>
      </c>
    </row>
    <row r="48" ht="15.75" customHeight="1">
      <c r="B48" s="370">
        <f t="shared" si="2"/>
        <v>0.005208333333</v>
      </c>
      <c r="C48" s="56">
        <f t="shared" si="3"/>
        <v>450</v>
      </c>
      <c r="D48" s="56">
        <v>2.302</v>
      </c>
      <c r="F48" s="371">
        <v>45.0</v>
      </c>
      <c r="G48" s="372">
        <f t="shared" si="1"/>
        <v>0</v>
      </c>
    </row>
    <row r="49" ht="15.75" customHeight="1">
      <c r="B49" s="370">
        <f t="shared" si="2"/>
        <v>0.005324074074</v>
      </c>
      <c r="C49" s="56">
        <f t="shared" si="3"/>
        <v>460</v>
      </c>
      <c r="D49" s="56">
        <v>1.925</v>
      </c>
      <c r="F49" s="371">
        <v>46.0</v>
      </c>
      <c r="G49" s="372">
        <f t="shared" si="1"/>
        <v>0</v>
      </c>
    </row>
    <row r="50" ht="15.75" customHeight="1">
      <c r="B50" s="370">
        <f t="shared" si="2"/>
        <v>0.005439814815</v>
      </c>
      <c r="C50" s="56">
        <f t="shared" si="3"/>
        <v>470</v>
      </c>
      <c r="D50" s="56">
        <v>2.414</v>
      </c>
      <c r="F50" s="371">
        <v>47.0</v>
      </c>
      <c r="G50" s="372">
        <f t="shared" si="1"/>
        <v>0</v>
      </c>
    </row>
    <row r="51" ht="15.75" customHeight="1">
      <c r="B51" s="370">
        <f t="shared" si="2"/>
        <v>0.005555555556</v>
      </c>
      <c r="C51" s="56">
        <f t="shared" si="3"/>
        <v>480</v>
      </c>
      <c r="D51" s="56">
        <v>2.974</v>
      </c>
      <c r="F51" s="371">
        <v>48.0</v>
      </c>
      <c r="G51" s="372">
        <f t="shared" si="1"/>
        <v>0</v>
      </c>
    </row>
    <row r="52" ht="15.75" customHeight="1">
      <c r="B52" s="370">
        <f t="shared" si="2"/>
        <v>0.005671296296</v>
      </c>
      <c r="C52" s="56">
        <f t="shared" si="3"/>
        <v>490</v>
      </c>
      <c r="D52" s="56">
        <v>3.446</v>
      </c>
      <c r="F52" s="371">
        <v>49.0</v>
      </c>
      <c r="G52" s="372">
        <f t="shared" si="1"/>
        <v>0</v>
      </c>
    </row>
    <row r="53" ht="15.75" customHeight="1">
      <c r="B53" s="370">
        <f t="shared" si="2"/>
        <v>0.005787037037</v>
      </c>
      <c r="C53" s="56">
        <f t="shared" si="3"/>
        <v>500</v>
      </c>
      <c r="D53" s="56">
        <v>3.455</v>
      </c>
      <c r="F53" s="371">
        <v>50.0</v>
      </c>
      <c r="G53" s="372">
        <f t="shared" si="1"/>
        <v>0</v>
      </c>
    </row>
    <row r="54" ht="15.75" customHeight="1">
      <c r="B54" s="370">
        <f t="shared" si="2"/>
        <v>0.005902777778</v>
      </c>
      <c r="C54" s="56">
        <f t="shared" si="3"/>
        <v>510</v>
      </c>
      <c r="D54" s="56">
        <v>3.409</v>
      </c>
      <c r="F54" s="371">
        <v>51.0</v>
      </c>
      <c r="G54" s="372">
        <f t="shared" si="1"/>
        <v>0</v>
      </c>
    </row>
    <row r="55" ht="15.75" customHeight="1">
      <c r="B55" s="370">
        <f t="shared" si="2"/>
        <v>0.006018518519</v>
      </c>
      <c r="C55" s="56">
        <f t="shared" si="3"/>
        <v>520</v>
      </c>
      <c r="D55" s="56">
        <v>3.246</v>
      </c>
      <c r="F55" s="371">
        <v>52.0</v>
      </c>
      <c r="G55" s="372">
        <f t="shared" si="1"/>
        <v>0</v>
      </c>
    </row>
    <row r="56" ht="15.75" customHeight="1">
      <c r="B56" s="370">
        <f t="shared" si="2"/>
        <v>0.006134259259</v>
      </c>
      <c r="C56" s="56">
        <f t="shared" si="3"/>
        <v>530</v>
      </c>
      <c r="D56" s="56">
        <v>2.429</v>
      </c>
      <c r="F56" s="371">
        <v>53.0</v>
      </c>
      <c r="G56" s="372">
        <f t="shared" si="1"/>
        <v>0</v>
      </c>
    </row>
    <row r="57" ht="15.75" customHeight="1">
      <c r="B57" s="370">
        <f t="shared" si="2"/>
        <v>0.00625</v>
      </c>
      <c r="C57" s="56">
        <f t="shared" si="3"/>
        <v>540</v>
      </c>
      <c r="D57" s="56">
        <v>2.477</v>
      </c>
      <c r="F57" s="371">
        <v>54.0</v>
      </c>
      <c r="G57" s="372">
        <f t="shared" si="1"/>
        <v>0</v>
      </c>
    </row>
    <row r="58" ht="15.75" customHeight="1">
      <c r="B58" s="370">
        <f t="shared" si="2"/>
        <v>0.006365740741</v>
      </c>
      <c r="C58" s="56">
        <f t="shared" si="3"/>
        <v>550</v>
      </c>
      <c r="D58" s="56">
        <v>2.655</v>
      </c>
      <c r="F58" s="371">
        <v>55.0</v>
      </c>
      <c r="G58" s="372">
        <f t="shared" si="1"/>
        <v>0</v>
      </c>
    </row>
    <row r="59" ht="15.75" customHeight="1">
      <c r="B59" s="370">
        <f t="shared" si="2"/>
        <v>0.006481481481</v>
      </c>
      <c r="C59" s="56">
        <f t="shared" si="3"/>
        <v>560</v>
      </c>
      <c r="D59" s="56">
        <v>2.714</v>
      </c>
      <c r="F59" s="371">
        <v>56.0</v>
      </c>
      <c r="G59" s="372">
        <f t="shared" si="1"/>
        <v>0</v>
      </c>
    </row>
    <row r="60" ht="15.75" customHeight="1">
      <c r="B60" s="370">
        <f t="shared" si="2"/>
        <v>0.006597222222</v>
      </c>
      <c r="C60" s="56">
        <f t="shared" si="3"/>
        <v>570</v>
      </c>
      <c r="D60" s="56">
        <v>2.79</v>
      </c>
      <c r="F60" s="371">
        <v>57.0</v>
      </c>
      <c r="G60" s="372">
        <f t="shared" si="1"/>
        <v>0</v>
      </c>
    </row>
    <row r="61" ht="15.75" customHeight="1">
      <c r="B61" s="370">
        <f t="shared" si="2"/>
        <v>0.006712962963</v>
      </c>
      <c r="C61" s="56">
        <f t="shared" si="3"/>
        <v>580</v>
      </c>
      <c r="D61" s="56">
        <v>2.684</v>
      </c>
      <c r="F61" s="371">
        <v>58.0</v>
      </c>
      <c r="G61" s="372">
        <f t="shared" si="1"/>
        <v>0</v>
      </c>
    </row>
    <row r="62" ht="15.75" customHeight="1">
      <c r="B62" s="370">
        <f t="shared" si="2"/>
        <v>0.006828703704</v>
      </c>
      <c r="C62" s="56">
        <f t="shared" si="3"/>
        <v>590</v>
      </c>
      <c r="D62" s="56">
        <v>2.679</v>
      </c>
      <c r="F62" s="371">
        <v>59.0</v>
      </c>
      <c r="G62" s="372">
        <f t="shared" si="1"/>
        <v>0</v>
      </c>
    </row>
    <row r="63" ht="15.75" customHeight="1">
      <c r="B63" s="370">
        <f t="shared" si="2"/>
        <v>0.006944444444</v>
      </c>
      <c r="C63" s="56">
        <f t="shared" si="3"/>
        <v>600</v>
      </c>
      <c r="D63" s="56">
        <v>3.076</v>
      </c>
      <c r="F63" s="371">
        <v>60.0</v>
      </c>
      <c r="G63" s="372">
        <f t="shared" si="1"/>
        <v>0</v>
      </c>
    </row>
    <row r="64" ht="15.75" customHeight="1">
      <c r="B64" s="370">
        <f t="shared" si="2"/>
        <v>0.007060185185</v>
      </c>
      <c r="C64" s="56">
        <f t="shared" si="3"/>
        <v>610</v>
      </c>
      <c r="D64" s="56">
        <v>3.207</v>
      </c>
      <c r="F64" s="371">
        <v>61.0</v>
      </c>
      <c r="G64" s="372">
        <f t="shared" si="1"/>
        <v>0</v>
      </c>
    </row>
    <row r="65" ht="15.75" customHeight="1">
      <c r="B65" s="370">
        <f t="shared" si="2"/>
        <v>0.007175925926</v>
      </c>
      <c r="C65" s="56">
        <f t="shared" si="3"/>
        <v>620</v>
      </c>
      <c r="D65" s="56">
        <v>3.317</v>
      </c>
      <c r="F65" s="371">
        <v>62.0</v>
      </c>
      <c r="G65" s="372">
        <f t="shared" si="1"/>
        <v>0</v>
      </c>
    </row>
    <row r="66" ht="15.75" customHeight="1">
      <c r="B66" s="370">
        <f t="shared" si="2"/>
        <v>0.007291666667</v>
      </c>
      <c r="C66" s="56">
        <f t="shared" si="3"/>
        <v>630</v>
      </c>
      <c r="D66" s="56">
        <v>3.213</v>
      </c>
      <c r="F66" s="371">
        <v>63.0</v>
      </c>
      <c r="G66" s="372">
        <f t="shared" si="1"/>
        <v>0</v>
      </c>
    </row>
    <row r="67" ht="15.75" customHeight="1">
      <c r="B67" s="370">
        <f t="shared" si="2"/>
        <v>0.007407407407</v>
      </c>
      <c r="C67" s="56">
        <f t="shared" si="3"/>
        <v>640</v>
      </c>
      <c r="D67" s="56">
        <v>2.813</v>
      </c>
      <c r="F67" s="371">
        <v>64.0</v>
      </c>
      <c r="G67" s="372">
        <f t="shared" si="1"/>
        <v>0</v>
      </c>
    </row>
    <row r="68" ht="15.75" customHeight="1">
      <c r="B68" s="370">
        <f t="shared" si="2"/>
        <v>0.007523148148</v>
      </c>
      <c r="C68" s="56">
        <f t="shared" si="3"/>
        <v>650</v>
      </c>
      <c r="D68" s="56">
        <v>2.463</v>
      </c>
      <c r="F68" s="371">
        <v>65.0</v>
      </c>
      <c r="G68" s="372">
        <f t="shared" si="1"/>
        <v>0</v>
      </c>
    </row>
    <row r="69" ht="15.75" customHeight="1">
      <c r="B69" s="370">
        <f t="shared" si="2"/>
        <v>0.007638888889</v>
      </c>
      <c r="C69" s="56">
        <f t="shared" si="3"/>
        <v>660</v>
      </c>
      <c r="D69" s="56">
        <v>2.122</v>
      </c>
      <c r="F69" s="371">
        <v>66.0</v>
      </c>
      <c r="G69" s="372">
        <f t="shared" si="1"/>
        <v>1.005166667</v>
      </c>
    </row>
    <row r="70" ht="15.75" customHeight="1">
      <c r="B70" s="370">
        <f t="shared" si="2"/>
        <v>0.00775462963</v>
      </c>
      <c r="C70" s="56">
        <f t="shared" si="3"/>
        <v>670</v>
      </c>
      <c r="D70" s="56">
        <v>2.201</v>
      </c>
      <c r="F70" s="371">
        <v>67.0</v>
      </c>
      <c r="G70" s="372">
        <f t="shared" si="1"/>
        <v>2.711333333</v>
      </c>
    </row>
    <row r="71" ht="15.75" customHeight="1">
      <c r="B71" s="370">
        <f t="shared" si="2"/>
        <v>0.00787037037</v>
      </c>
      <c r="C71" s="56">
        <f t="shared" si="3"/>
        <v>680</v>
      </c>
      <c r="D71" s="56">
        <v>2.876</v>
      </c>
      <c r="F71" s="371">
        <v>68.0</v>
      </c>
      <c r="G71" s="372">
        <f t="shared" si="1"/>
        <v>3.2025</v>
      </c>
    </row>
    <row r="72" ht="15.75" customHeight="1">
      <c r="B72" s="370">
        <f t="shared" si="2"/>
        <v>0.007986111111</v>
      </c>
      <c r="C72" s="56">
        <f t="shared" si="3"/>
        <v>690</v>
      </c>
      <c r="D72" s="56">
        <v>3.446</v>
      </c>
      <c r="F72" s="371">
        <v>69.0</v>
      </c>
      <c r="G72" s="372">
        <f t="shared" si="1"/>
        <v>2.631833333</v>
      </c>
    </row>
    <row r="73" ht="15.75" customHeight="1">
      <c r="B73" s="370">
        <f t="shared" si="2"/>
        <v>0.008101851852</v>
      </c>
      <c r="C73" s="56">
        <f t="shared" si="3"/>
        <v>700</v>
      </c>
      <c r="D73" s="56">
        <v>3.505</v>
      </c>
      <c r="F73" s="371">
        <v>70.0</v>
      </c>
      <c r="G73" s="372">
        <f t="shared" si="1"/>
        <v>2.9205</v>
      </c>
    </row>
    <row r="74" ht="15.75" customHeight="1">
      <c r="B74" s="370">
        <f t="shared" si="2"/>
        <v>0.008217592593</v>
      </c>
      <c r="C74" s="56">
        <f t="shared" si="3"/>
        <v>710</v>
      </c>
      <c r="D74" s="56">
        <v>3.469</v>
      </c>
      <c r="F74" s="371">
        <v>71.0</v>
      </c>
      <c r="G74" s="372">
        <f t="shared" si="1"/>
        <v>2.8985</v>
      </c>
    </row>
    <row r="75" ht="15.75" customHeight="1">
      <c r="B75" s="370">
        <f t="shared" si="2"/>
        <v>0.008333333333</v>
      </c>
      <c r="C75" s="56">
        <f t="shared" si="3"/>
        <v>720</v>
      </c>
      <c r="D75" s="56">
        <v>3.35</v>
      </c>
      <c r="F75" s="371">
        <v>72.0</v>
      </c>
      <c r="G75" s="372">
        <f t="shared" si="1"/>
        <v>2.6745</v>
      </c>
    </row>
    <row r="76" ht="15.75" customHeight="1">
      <c r="B76" s="370">
        <f t="shared" si="2"/>
        <v>0.008449074074</v>
      </c>
      <c r="C76" s="56">
        <f t="shared" si="3"/>
        <v>730</v>
      </c>
      <c r="D76" s="56">
        <v>2.716</v>
      </c>
      <c r="F76" s="371">
        <v>73.0</v>
      </c>
      <c r="G76" s="372">
        <f t="shared" si="1"/>
        <v>3.104</v>
      </c>
    </row>
    <row r="77" ht="15.75" customHeight="1">
      <c r="B77" s="370">
        <f t="shared" si="2"/>
        <v>0.008564814815</v>
      </c>
      <c r="C77" s="56">
        <f t="shared" si="3"/>
        <v>740</v>
      </c>
      <c r="D77" s="56">
        <v>2.226</v>
      </c>
      <c r="F77" s="371">
        <v>74.0</v>
      </c>
      <c r="G77" s="372">
        <f t="shared" si="1"/>
        <v>2.691333333</v>
      </c>
    </row>
    <row r="78" ht="15.75" customHeight="1">
      <c r="B78" s="370">
        <f t="shared" si="2"/>
        <v>0.008680555556</v>
      </c>
      <c r="C78" s="56">
        <f t="shared" si="3"/>
        <v>750</v>
      </c>
      <c r="D78" s="56">
        <v>2.553</v>
      </c>
      <c r="F78" s="371">
        <v>75.0</v>
      </c>
      <c r="G78" s="372">
        <f t="shared" si="1"/>
        <v>3.042333333</v>
      </c>
    </row>
    <row r="79" ht="15.75" customHeight="1">
      <c r="B79" s="370">
        <f t="shared" si="2"/>
        <v>0.008796296296</v>
      </c>
      <c r="C79" s="56">
        <f t="shared" si="3"/>
        <v>760</v>
      </c>
      <c r="D79" s="56">
        <v>2.68</v>
      </c>
      <c r="F79" s="371">
        <v>76.0</v>
      </c>
      <c r="G79" s="372">
        <f t="shared" si="1"/>
        <v>2.942</v>
      </c>
    </row>
    <row r="80" ht="15.75" customHeight="1">
      <c r="B80" s="370">
        <f t="shared" si="2"/>
        <v>0.008912037037</v>
      </c>
      <c r="C80" s="56">
        <f t="shared" si="3"/>
        <v>770</v>
      </c>
      <c r="D80" s="56">
        <v>2.831</v>
      </c>
      <c r="F80" s="371">
        <v>77.0</v>
      </c>
      <c r="G80" s="372">
        <f t="shared" si="1"/>
        <v>2.7195</v>
      </c>
    </row>
    <row r="81" ht="15.75" customHeight="1">
      <c r="B81" s="370">
        <f t="shared" si="2"/>
        <v>0.009027777778</v>
      </c>
      <c r="C81" s="56">
        <f t="shared" si="3"/>
        <v>780</v>
      </c>
      <c r="D81" s="56">
        <v>2.864</v>
      </c>
      <c r="F81" s="371">
        <v>78.0</v>
      </c>
      <c r="G81" s="372">
        <f t="shared" si="1"/>
        <v>3.071666667</v>
      </c>
    </row>
    <row r="82" ht="15.75" customHeight="1">
      <c r="B82" s="370">
        <f t="shared" si="2"/>
        <v>0.009143518519</v>
      </c>
      <c r="C82" s="56">
        <f t="shared" si="3"/>
        <v>790</v>
      </c>
      <c r="D82" s="56">
        <v>2.842</v>
      </c>
      <c r="F82" s="371">
        <v>79.0</v>
      </c>
      <c r="G82" s="372">
        <f t="shared" si="1"/>
        <v>2.634</v>
      </c>
    </row>
    <row r="83" ht="15.75" customHeight="1">
      <c r="B83" s="370">
        <f t="shared" si="2"/>
        <v>0.009259259259</v>
      </c>
      <c r="C83" s="56">
        <f t="shared" si="3"/>
        <v>800</v>
      </c>
      <c r="D83" s="56">
        <v>2.965</v>
      </c>
      <c r="F83" s="371">
        <v>80.0</v>
      </c>
      <c r="G83" s="372">
        <f t="shared" si="1"/>
        <v>2.976</v>
      </c>
    </row>
    <row r="84" ht="15.75" customHeight="1">
      <c r="B84" s="370">
        <f t="shared" si="2"/>
        <v>0.009375</v>
      </c>
      <c r="C84" s="56">
        <f t="shared" si="3"/>
        <v>810</v>
      </c>
      <c r="D84" s="56">
        <v>3.042</v>
      </c>
      <c r="F84" s="371">
        <v>81.0</v>
      </c>
      <c r="G84" s="372">
        <f t="shared" si="1"/>
        <v>2.8585</v>
      </c>
    </row>
    <row r="85" ht="15.75" customHeight="1">
      <c r="B85" s="370">
        <f t="shared" si="2"/>
        <v>0.009490740741</v>
      </c>
      <c r="C85" s="56">
        <f t="shared" si="3"/>
        <v>820</v>
      </c>
      <c r="D85" s="56">
        <v>3.187</v>
      </c>
      <c r="F85" s="371">
        <v>82.0</v>
      </c>
      <c r="G85" s="372">
        <f t="shared" si="1"/>
        <v>2.690333333</v>
      </c>
    </row>
    <row r="86" ht="15.75" customHeight="1">
      <c r="B86" s="370">
        <f t="shared" si="2"/>
        <v>0.009606481481</v>
      </c>
      <c r="C86" s="56">
        <f t="shared" si="3"/>
        <v>830</v>
      </c>
      <c r="D86" s="56">
        <v>3.159</v>
      </c>
      <c r="F86" s="371">
        <v>83.0</v>
      </c>
      <c r="G86" s="372">
        <f t="shared" si="1"/>
        <v>3.237666667</v>
      </c>
    </row>
    <row r="87" ht="15.75" customHeight="1">
      <c r="B87" s="370">
        <f t="shared" si="2"/>
        <v>0.009722222222</v>
      </c>
      <c r="C87" s="56">
        <f t="shared" si="3"/>
        <v>840</v>
      </c>
      <c r="D87" s="56">
        <v>2.859</v>
      </c>
      <c r="F87" s="371">
        <v>84.0</v>
      </c>
      <c r="G87" s="372">
        <f t="shared" si="1"/>
        <v>2.669</v>
      </c>
    </row>
    <row r="88" ht="15.75" customHeight="1">
      <c r="B88" s="370">
        <f t="shared" si="2"/>
        <v>0.009837962963</v>
      </c>
      <c r="C88" s="56">
        <f t="shared" si="3"/>
        <v>850</v>
      </c>
      <c r="D88" s="56">
        <v>2.583</v>
      </c>
      <c r="F88" s="371">
        <v>85.0</v>
      </c>
      <c r="G88" s="372">
        <f t="shared" si="1"/>
        <v>2.923166667</v>
      </c>
    </row>
    <row r="89" ht="15.75" customHeight="1">
      <c r="B89" s="370">
        <f t="shared" si="2"/>
        <v>0.009953703704</v>
      </c>
      <c r="C89" s="56">
        <f t="shared" si="3"/>
        <v>860</v>
      </c>
      <c r="D89" s="56">
        <v>2.253</v>
      </c>
      <c r="F89" s="371">
        <v>86.0</v>
      </c>
      <c r="G89" s="372">
        <f t="shared" si="1"/>
        <v>2.914833333</v>
      </c>
    </row>
    <row r="90" ht="15.75" customHeight="1">
      <c r="B90" s="370">
        <f t="shared" si="2"/>
        <v>0.01006944444</v>
      </c>
      <c r="C90" s="56">
        <f t="shared" si="3"/>
        <v>870</v>
      </c>
      <c r="D90" s="56">
        <v>2.023</v>
      </c>
      <c r="F90" s="371">
        <v>87.0</v>
      </c>
      <c r="G90" s="372">
        <f t="shared" si="1"/>
        <v>2.700333333</v>
      </c>
    </row>
    <row r="91" ht="15.75" customHeight="1">
      <c r="B91" s="370">
        <f t="shared" si="2"/>
        <v>0.01018518519</v>
      </c>
      <c r="C91" s="56">
        <f t="shared" si="3"/>
        <v>880</v>
      </c>
      <c r="D91" s="56">
        <v>2.723</v>
      </c>
      <c r="F91" s="371">
        <v>88.0</v>
      </c>
      <c r="G91" s="372">
        <f t="shared" si="1"/>
        <v>2.9925</v>
      </c>
    </row>
    <row r="92" ht="15.75" customHeight="1">
      <c r="B92" s="370">
        <f t="shared" si="2"/>
        <v>0.01030092593</v>
      </c>
      <c r="C92" s="56">
        <f t="shared" si="3"/>
        <v>890</v>
      </c>
      <c r="D92" s="56">
        <v>3.406</v>
      </c>
      <c r="F92" s="371">
        <v>89.0</v>
      </c>
      <c r="G92" s="372">
        <f t="shared" si="1"/>
        <v>2.678666667</v>
      </c>
    </row>
    <row r="93" ht="15.75" customHeight="1">
      <c r="B93" s="370">
        <f t="shared" si="2"/>
        <v>0.01041666667</v>
      </c>
      <c r="C93" s="56">
        <f t="shared" si="3"/>
        <v>900</v>
      </c>
      <c r="D93" s="56">
        <v>3.523</v>
      </c>
      <c r="F93" s="371">
        <v>90.0</v>
      </c>
      <c r="G93" s="372">
        <f t="shared" si="1"/>
        <v>3.003166667</v>
      </c>
    </row>
    <row r="94" ht="15.75" customHeight="1">
      <c r="B94" s="370">
        <f t="shared" si="2"/>
        <v>0.01053240741</v>
      </c>
      <c r="C94" s="56">
        <f t="shared" si="3"/>
        <v>910</v>
      </c>
      <c r="D94" s="56">
        <v>3.511</v>
      </c>
      <c r="F94" s="371">
        <v>91.0</v>
      </c>
      <c r="G94" s="372">
        <f t="shared" si="1"/>
        <v>2.946666667</v>
      </c>
    </row>
    <row r="95" ht="15.75" customHeight="1">
      <c r="B95" s="370">
        <f t="shared" si="2"/>
        <v>0.01064814815</v>
      </c>
      <c r="C95" s="56">
        <f t="shared" si="3"/>
        <v>920</v>
      </c>
      <c r="D95" s="56">
        <v>3.441</v>
      </c>
      <c r="F95" s="371">
        <v>92.0</v>
      </c>
      <c r="G95" s="372">
        <f t="shared" si="1"/>
        <v>2.716166667</v>
      </c>
    </row>
    <row r="96" ht="15.75" customHeight="1">
      <c r="B96" s="370">
        <f t="shared" si="2"/>
        <v>0.01076388889</v>
      </c>
      <c r="C96" s="56">
        <f t="shared" si="3"/>
        <v>930</v>
      </c>
      <c r="D96" s="56">
        <v>2.886</v>
      </c>
      <c r="F96" s="371">
        <v>93.0</v>
      </c>
      <c r="G96" s="372">
        <f t="shared" si="1"/>
        <v>3.169</v>
      </c>
    </row>
    <row r="97" ht="15.75" customHeight="1">
      <c r="B97" s="370">
        <f t="shared" si="2"/>
        <v>0.01087962963</v>
      </c>
      <c r="C97" s="56">
        <f t="shared" si="3"/>
        <v>940</v>
      </c>
      <c r="D97" s="56">
        <v>2.087</v>
      </c>
      <c r="F97" s="371">
        <v>94.0</v>
      </c>
      <c r="G97" s="372">
        <f t="shared" si="1"/>
        <v>2.615333333</v>
      </c>
    </row>
    <row r="98" ht="15.75" customHeight="1">
      <c r="B98" s="370">
        <f t="shared" si="2"/>
        <v>0.01099537037</v>
      </c>
      <c r="C98" s="56">
        <f t="shared" si="3"/>
        <v>950</v>
      </c>
      <c r="D98" s="56">
        <v>2.425</v>
      </c>
      <c r="F98" s="371">
        <v>95.0</v>
      </c>
      <c r="G98" s="372">
        <f t="shared" si="1"/>
        <v>2.932833333</v>
      </c>
    </row>
    <row r="99" ht="15.75" customHeight="1">
      <c r="B99" s="370">
        <f t="shared" si="2"/>
        <v>0.01111111111</v>
      </c>
      <c r="C99" s="56">
        <f t="shared" si="3"/>
        <v>960</v>
      </c>
      <c r="D99" s="56">
        <v>2.609</v>
      </c>
      <c r="F99" s="371">
        <v>96.0</v>
      </c>
      <c r="G99" s="372">
        <f t="shared" si="1"/>
        <v>2.900333333</v>
      </c>
    </row>
    <row r="100" ht="15.75" customHeight="1">
      <c r="B100" s="370">
        <f t="shared" si="2"/>
        <v>0.01122685185</v>
      </c>
      <c r="C100" s="56">
        <f t="shared" si="3"/>
        <v>970</v>
      </c>
      <c r="D100" s="56">
        <v>2.833</v>
      </c>
      <c r="F100" s="371">
        <v>97.0</v>
      </c>
      <c r="G100" s="372">
        <f t="shared" si="1"/>
        <v>2.6795</v>
      </c>
    </row>
    <row r="101" ht="15.75" customHeight="1">
      <c r="B101" s="370">
        <f t="shared" si="2"/>
        <v>0.01134259259</v>
      </c>
      <c r="C101" s="56">
        <f t="shared" si="3"/>
        <v>980</v>
      </c>
      <c r="D101" s="56">
        <v>2.965</v>
      </c>
      <c r="F101" s="371">
        <v>98.0</v>
      </c>
      <c r="G101" s="372">
        <f t="shared" si="1"/>
        <v>3.119833333</v>
      </c>
    </row>
    <row r="102" ht="15.75" customHeight="1">
      <c r="B102" s="370">
        <f t="shared" si="2"/>
        <v>0.01145833333</v>
      </c>
      <c r="C102" s="56">
        <f t="shared" si="3"/>
        <v>990</v>
      </c>
      <c r="D102" s="56">
        <v>3.041</v>
      </c>
      <c r="F102" s="371">
        <v>99.0</v>
      </c>
      <c r="G102" s="372">
        <f t="shared" si="1"/>
        <v>2.683666667</v>
      </c>
    </row>
    <row r="103" ht="15.75" customHeight="1">
      <c r="B103" s="370">
        <f t="shared" si="2"/>
        <v>0.01157407407</v>
      </c>
      <c r="C103" s="56">
        <f t="shared" si="3"/>
        <v>1000</v>
      </c>
      <c r="D103" s="56">
        <v>2.865</v>
      </c>
      <c r="F103" s="371">
        <v>100.0</v>
      </c>
      <c r="G103" s="372">
        <f t="shared" si="1"/>
        <v>3.041166667</v>
      </c>
    </row>
    <row r="104" ht="15.75" customHeight="1">
      <c r="B104" s="370">
        <f t="shared" si="2"/>
        <v>0.01168981481</v>
      </c>
      <c r="C104" s="56">
        <f t="shared" si="3"/>
        <v>1010</v>
      </c>
      <c r="D104" s="56">
        <v>2.912</v>
      </c>
      <c r="F104" s="371">
        <v>101.0</v>
      </c>
      <c r="G104" s="372">
        <f t="shared" si="1"/>
        <v>2.9335</v>
      </c>
    </row>
    <row r="105" ht="15.75" customHeight="1">
      <c r="B105" s="370">
        <f t="shared" si="2"/>
        <v>0.01180555556</v>
      </c>
      <c r="C105" s="56">
        <f t="shared" si="3"/>
        <v>1020</v>
      </c>
      <c r="D105" s="56">
        <v>2.983</v>
      </c>
      <c r="F105" s="371">
        <v>102.0</v>
      </c>
      <c r="G105" s="372">
        <f t="shared" si="1"/>
        <v>2.730833333</v>
      </c>
    </row>
    <row r="106" ht="15.75" customHeight="1">
      <c r="B106" s="370">
        <f t="shared" si="2"/>
        <v>0.0119212963</v>
      </c>
      <c r="C106" s="56">
        <f t="shared" si="3"/>
        <v>1030</v>
      </c>
      <c r="D106" s="56">
        <v>3.067</v>
      </c>
      <c r="F106" s="371">
        <v>103.0</v>
      </c>
      <c r="G106" s="372">
        <f t="shared" si="1"/>
        <v>3.038666667</v>
      </c>
    </row>
    <row r="107" ht="15.75" customHeight="1">
      <c r="B107" s="370">
        <f t="shared" si="2"/>
        <v>0.01203703704</v>
      </c>
      <c r="C107" s="56">
        <f t="shared" si="3"/>
        <v>1040</v>
      </c>
      <c r="D107" s="56">
        <v>2.869</v>
      </c>
      <c r="F107" s="371">
        <v>104.0</v>
      </c>
      <c r="G107" s="372">
        <f t="shared" si="1"/>
        <v>2.641333333</v>
      </c>
    </row>
    <row r="108" ht="15.75" customHeight="1">
      <c r="B108" s="370">
        <f t="shared" si="2"/>
        <v>0.01215277778</v>
      </c>
      <c r="C108" s="56">
        <f t="shared" si="3"/>
        <v>1050</v>
      </c>
      <c r="D108" s="56">
        <v>2.675</v>
      </c>
      <c r="F108" s="371">
        <v>105.0</v>
      </c>
      <c r="G108" s="372">
        <f t="shared" si="1"/>
        <v>2.980666667</v>
      </c>
    </row>
    <row r="109" ht="15.75" customHeight="1">
      <c r="B109" s="370">
        <f t="shared" si="2"/>
        <v>0.01226851852</v>
      </c>
      <c r="C109" s="56">
        <f t="shared" si="3"/>
        <v>1060</v>
      </c>
      <c r="D109" s="56">
        <v>2.452</v>
      </c>
      <c r="F109" s="371">
        <v>106.0</v>
      </c>
      <c r="G109" s="372">
        <f t="shared" si="1"/>
        <v>2.854333333</v>
      </c>
    </row>
    <row r="110" ht="15.75" customHeight="1">
      <c r="B110" s="370">
        <f t="shared" si="2"/>
        <v>0.01238425926</v>
      </c>
      <c r="C110" s="56">
        <f t="shared" si="3"/>
        <v>1070</v>
      </c>
      <c r="D110" s="56">
        <v>2.169</v>
      </c>
      <c r="F110" s="371">
        <v>107.0</v>
      </c>
      <c r="G110" s="372">
        <f t="shared" si="1"/>
        <v>2.6875</v>
      </c>
    </row>
    <row r="111" ht="15.75" customHeight="1">
      <c r="B111" s="370">
        <f t="shared" si="2"/>
        <v>0.0125</v>
      </c>
      <c r="C111" s="56">
        <f t="shared" si="3"/>
        <v>1080</v>
      </c>
      <c r="D111" s="56">
        <v>2.582</v>
      </c>
      <c r="F111" s="371">
        <v>108.0</v>
      </c>
      <c r="G111" s="372">
        <f t="shared" si="1"/>
        <v>3.245666667</v>
      </c>
    </row>
    <row r="112" ht="15.75" customHeight="1">
      <c r="B112" s="370">
        <f t="shared" si="2"/>
        <v>0.01261574074</v>
      </c>
      <c r="C112" s="56">
        <f t="shared" si="3"/>
        <v>1090</v>
      </c>
      <c r="D112" s="56">
        <v>3.345</v>
      </c>
      <c r="F112" s="371">
        <v>109.0</v>
      </c>
      <c r="G112" s="372">
        <f t="shared" si="1"/>
        <v>2.649166667</v>
      </c>
    </row>
    <row r="113" ht="15.75" customHeight="1">
      <c r="B113" s="370">
        <f t="shared" si="2"/>
        <v>0.01273148148</v>
      </c>
      <c r="C113" s="56">
        <f t="shared" si="3"/>
        <v>1100</v>
      </c>
      <c r="D113" s="56">
        <v>3.516</v>
      </c>
      <c r="F113" s="371">
        <v>110.0</v>
      </c>
      <c r="G113" s="372">
        <f t="shared" si="1"/>
        <v>2.893333333</v>
      </c>
    </row>
    <row r="114" ht="15.75" customHeight="1">
      <c r="B114" s="370">
        <f t="shared" si="2"/>
        <v>0.01284722222</v>
      </c>
      <c r="C114" s="56">
        <f t="shared" si="3"/>
        <v>1110</v>
      </c>
      <c r="D114" s="56">
        <v>3.518</v>
      </c>
      <c r="F114" s="371">
        <v>111.0</v>
      </c>
      <c r="G114" s="372">
        <f t="shared" si="1"/>
        <v>2.921666667</v>
      </c>
    </row>
    <row r="115" ht="15.75" customHeight="1">
      <c r="B115" s="370">
        <f t="shared" si="2"/>
        <v>0.01296296296</v>
      </c>
      <c r="C115" s="56">
        <f t="shared" si="3"/>
        <v>1120</v>
      </c>
      <c r="D115" s="56">
        <v>3.487</v>
      </c>
      <c r="F115" s="371">
        <v>112.0</v>
      </c>
      <c r="G115" s="372">
        <f t="shared" si="1"/>
        <v>2.705666667</v>
      </c>
    </row>
    <row r="116" ht="15.75" customHeight="1">
      <c r="B116" s="370">
        <f t="shared" si="2"/>
        <v>0.0130787037</v>
      </c>
      <c r="C116" s="56">
        <f t="shared" si="3"/>
        <v>1130</v>
      </c>
      <c r="D116" s="56">
        <v>3.018</v>
      </c>
      <c r="F116" s="371">
        <v>113.0</v>
      </c>
      <c r="G116" s="372">
        <f t="shared" si="1"/>
        <v>2.999</v>
      </c>
    </row>
    <row r="117" ht="15.75" customHeight="1">
      <c r="B117" s="370">
        <f t="shared" si="2"/>
        <v>0.01319444444</v>
      </c>
      <c r="C117" s="56">
        <f t="shared" si="3"/>
        <v>1140</v>
      </c>
      <c r="D117" s="56">
        <v>2.099</v>
      </c>
      <c r="F117" s="371">
        <v>114.0</v>
      </c>
      <c r="G117" s="372">
        <f t="shared" si="1"/>
        <v>2.675666667</v>
      </c>
    </row>
    <row r="118" ht="15.75" customHeight="1">
      <c r="B118" s="370">
        <f t="shared" si="2"/>
        <v>0.01331018519</v>
      </c>
      <c r="C118" s="56">
        <f t="shared" si="3"/>
        <v>1150</v>
      </c>
      <c r="D118" s="56">
        <v>2.258</v>
      </c>
      <c r="F118" s="371">
        <v>115.0</v>
      </c>
      <c r="G118" s="372">
        <f t="shared" si="1"/>
        <v>3.0015</v>
      </c>
    </row>
    <row r="119" ht="15.75" customHeight="1">
      <c r="B119" s="370">
        <f t="shared" si="2"/>
        <v>0.01342592593</v>
      </c>
      <c r="C119" s="56">
        <f t="shared" si="3"/>
        <v>1160</v>
      </c>
      <c r="D119" s="56">
        <v>2.507</v>
      </c>
      <c r="F119" s="371">
        <v>116.0</v>
      </c>
      <c r="G119" s="372">
        <f t="shared" si="1"/>
        <v>2.963</v>
      </c>
    </row>
    <row r="120" ht="15.75" customHeight="1">
      <c r="B120" s="370">
        <f t="shared" si="2"/>
        <v>0.01354166667</v>
      </c>
      <c r="C120" s="56">
        <f t="shared" si="3"/>
        <v>1170</v>
      </c>
      <c r="D120" s="56">
        <v>2.799</v>
      </c>
      <c r="F120" s="371">
        <v>117.0</v>
      </c>
      <c r="G120" s="372">
        <f t="shared" si="1"/>
        <v>2.726833333</v>
      </c>
    </row>
    <row r="121" ht="15.75" customHeight="1">
      <c r="B121" s="370">
        <f t="shared" si="2"/>
        <v>0.01365740741</v>
      </c>
      <c r="C121" s="56">
        <f t="shared" si="3"/>
        <v>1180</v>
      </c>
      <c r="D121" s="56">
        <v>3.027</v>
      </c>
      <c r="F121" s="371">
        <v>118.0</v>
      </c>
      <c r="G121" s="372">
        <f t="shared" si="1"/>
        <v>3.1515</v>
      </c>
    </row>
    <row r="122" ht="15.75" customHeight="1">
      <c r="B122" s="370">
        <f t="shared" si="2"/>
        <v>0.01377314815</v>
      </c>
      <c r="C122" s="56">
        <f t="shared" si="3"/>
        <v>1190</v>
      </c>
      <c r="D122" s="56">
        <v>3.158</v>
      </c>
      <c r="F122" s="371">
        <v>119.0</v>
      </c>
      <c r="G122" s="372">
        <f t="shared" si="1"/>
        <v>2.624666667</v>
      </c>
    </row>
    <row r="123" ht="15.75" customHeight="1">
      <c r="B123" s="370">
        <f t="shared" si="2"/>
        <v>0.01388888889</v>
      </c>
      <c r="C123" s="56">
        <f t="shared" si="3"/>
        <v>1200</v>
      </c>
      <c r="D123" s="56">
        <v>3.065</v>
      </c>
      <c r="F123" s="371">
        <v>120.0</v>
      </c>
      <c r="G123" s="372">
        <f t="shared" si="1"/>
        <v>2.936333333</v>
      </c>
    </row>
    <row r="124" ht="15.75" customHeight="1">
      <c r="B124" s="370">
        <f t="shared" si="2"/>
        <v>0.01400462963</v>
      </c>
      <c r="C124" s="56">
        <f t="shared" si="3"/>
        <v>1210</v>
      </c>
      <c r="D124" s="56">
        <v>2.938</v>
      </c>
      <c r="F124" s="371">
        <v>121.0</v>
      </c>
      <c r="G124" s="372">
        <f t="shared" si="1"/>
        <v>2.897666667</v>
      </c>
    </row>
    <row r="125" ht="15.75" customHeight="1">
      <c r="B125" s="370">
        <f t="shared" si="2"/>
        <v>0.01412037037</v>
      </c>
      <c r="C125" s="56">
        <f t="shared" si="3"/>
        <v>1220</v>
      </c>
      <c r="D125" s="56">
        <v>2.857</v>
      </c>
      <c r="F125" s="371">
        <v>122.0</v>
      </c>
      <c r="G125" s="372">
        <f t="shared" si="1"/>
        <v>2.674</v>
      </c>
    </row>
    <row r="126" ht="15.75" customHeight="1">
      <c r="B126" s="370">
        <f t="shared" si="2"/>
        <v>0.01423611111</v>
      </c>
      <c r="C126" s="56">
        <f t="shared" si="3"/>
        <v>1230</v>
      </c>
      <c r="D126" s="56">
        <v>2.948</v>
      </c>
      <c r="F126" s="371">
        <v>123.0</v>
      </c>
      <c r="G126" s="372">
        <f t="shared" si="1"/>
        <v>3.1455</v>
      </c>
    </row>
    <row r="127" ht="15.75" customHeight="1">
      <c r="B127" s="370">
        <f t="shared" si="2"/>
        <v>0.01435185185</v>
      </c>
      <c r="C127" s="56">
        <f t="shared" si="3"/>
        <v>1240</v>
      </c>
      <c r="D127" s="56">
        <v>2.844</v>
      </c>
      <c r="F127" s="371">
        <v>124.0</v>
      </c>
      <c r="G127" s="372">
        <f t="shared" si="1"/>
        <v>2.163666667</v>
      </c>
    </row>
    <row r="128" ht="15.75" customHeight="1">
      <c r="B128" s="370">
        <f t="shared" si="2"/>
        <v>0.01446759259</v>
      </c>
      <c r="C128" s="56">
        <f t="shared" si="3"/>
        <v>1250</v>
      </c>
      <c r="D128" s="56">
        <v>2.73</v>
      </c>
      <c r="F128" s="371">
        <v>125.0</v>
      </c>
      <c r="G128" s="372">
        <f t="shared" si="1"/>
        <v>0</v>
      </c>
    </row>
    <row r="129" ht="15.75" customHeight="1">
      <c r="B129" s="370">
        <f t="shared" si="2"/>
        <v>0.01458333333</v>
      </c>
      <c r="C129" s="56">
        <f t="shared" si="3"/>
        <v>1260</v>
      </c>
      <c r="D129" s="56">
        <v>2.572</v>
      </c>
      <c r="F129" s="371">
        <v>126.0</v>
      </c>
      <c r="G129" s="372">
        <f t="shared" si="1"/>
        <v>0</v>
      </c>
    </row>
    <row r="130" ht="15.75" customHeight="1">
      <c r="B130" s="370">
        <f t="shared" si="2"/>
        <v>0.01469907407</v>
      </c>
      <c r="C130" s="56">
        <f t="shared" si="3"/>
        <v>1270</v>
      </c>
      <c r="D130" s="56">
        <v>2.385</v>
      </c>
      <c r="F130" s="371">
        <v>127.0</v>
      </c>
      <c r="G130" s="372">
        <f t="shared" si="1"/>
        <v>0</v>
      </c>
    </row>
    <row r="131" ht="15.75" customHeight="1">
      <c r="B131" s="370">
        <f t="shared" si="2"/>
        <v>0.01481481481</v>
      </c>
      <c r="C131" s="56">
        <f t="shared" si="3"/>
        <v>1280</v>
      </c>
      <c r="D131" s="56">
        <v>2.352</v>
      </c>
      <c r="F131" s="371">
        <v>128.0</v>
      </c>
      <c r="G131" s="372">
        <f t="shared" si="1"/>
        <v>0</v>
      </c>
    </row>
    <row r="132" ht="15.75" customHeight="1">
      <c r="B132" s="370">
        <f t="shared" si="2"/>
        <v>0.01493055556</v>
      </c>
      <c r="C132" s="56">
        <f t="shared" si="3"/>
        <v>1290</v>
      </c>
      <c r="D132" s="56">
        <v>3.245</v>
      </c>
      <c r="F132" s="371">
        <v>129.0</v>
      </c>
      <c r="G132" s="372">
        <f t="shared" si="1"/>
        <v>0</v>
      </c>
    </row>
    <row r="133" ht="15.75" customHeight="1">
      <c r="B133" s="370">
        <f t="shared" si="2"/>
        <v>0.0150462963</v>
      </c>
      <c r="C133" s="56">
        <f t="shared" si="3"/>
        <v>1300</v>
      </c>
      <c r="D133" s="56">
        <v>3.48</v>
      </c>
      <c r="F133" s="371">
        <v>130.0</v>
      </c>
      <c r="G133" s="372">
        <f t="shared" si="1"/>
        <v>0</v>
      </c>
    </row>
    <row r="134" ht="15.75" customHeight="1">
      <c r="B134" s="370">
        <f t="shared" si="2"/>
        <v>0.01516203704</v>
      </c>
      <c r="C134" s="56">
        <f t="shared" si="3"/>
        <v>1310</v>
      </c>
      <c r="D134" s="56">
        <v>3.494</v>
      </c>
      <c r="F134" s="371">
        <v>131.0</v>
      </c>
      <c r="G134" s="372">
        <f t="shared" si="1"/>
        <v>0</v>
      </c>
    </row>
    <row r="135" ht="15.75" customHeight="1">
      <c r="B135" s="370">
        <f t="shared" si="2"/>
        <v>0.01527777778</v>
      </c>
      <c r="C135" s="56">
        <f t="shared" si="3"/>
        <v>1320</v>
      </c>
      <c r="D135" s="56">
        <v>3.502</v>
      </c>
      <c r="F135" s="371">
        <v>132.0</v>
      </c>
      <c r="G135" s="372">
        <f t="shared" si="1"/>
        <v>0</v>
      </c>
    </row>
    <row r="136" ht="15.75" customHeight="1">
      <c r="B136" s="370">
        <f t="shared" si="2"/>
        <v>0.01539351852</v>
      </c>
      <c r="C136" s="56">
        <f t="shared" si="3"/>
        <v>1330</v>
      </c>
      <c r="D136" s="56">
        <v>3.123</v>
      </c>
      <c r="F136" s="371">
        <v>133.0</v>
      </c>
      <c r="G136" s="372">
        <f t="shared" si="1"/>
        <v>0</v>
      </c>
    </row>
    <row r="137" ht="15.75" customHeight="1">
      <c r="B137" s="370">
        <f t="shared" si="2"/>
        <v>0.01550925926</v>
      </c>
      <c r="C137" s="56">
        <f t="shared" si="3"/>
        <v>1340</v>
      </c>
      <c r="D137" s="56">
        <v>2.383</v>
      </c>
      <c r="F137" s="371">
        <v>134.0</v>
      </c>
      <c r="G137" s="372">
        <f t="shared" si="1"/>
        <v>0</v>
      </c>
    </row>
    <row r="138" ht="15.75" customHeight="1">
      <c r="B138" s="370">
        <f t="shared" si="2"/>
        <v>0.015625</v>
      </c>
      <c r="C138" s="56">
        <f t="shared" si="3"/>
        <v>1350</v>
      </c>
      <c r="D138" s="56">
        <v>1.989</v>
      </c>
      <c r="F138" s="371">
        <v>135.0</v>
      </c>
      <c r="G138" s="372">
        <f t="shared" si="1"/>
        <v>0</v>
      </c>
    </row>
    <row r="139" ht="15.75" customHeight="1">
      <c r="B139" s="370">
        <f t="shared" si="2"/>
        <v>0.01574074074</v>
      </c>
      <c r="C139" s="56">
        <f t="shared" si="3"/>
        <v>1360</v>
      </c>
      <c r="D139" s="56">
        <v>2.367</v>
      </c>
      <c r="F139" s="371">
        <v>136.0</v>
      </c>
      <c r="G139" s="372">
        <f t="shared" si="1"/>
        <v>0</v>
      </c>
    </row>
    <row r="140" ht="15.75" customHeight="1">
      <c r="B140" s="370">
        <f t="shared" si="2"/>
        <v>0.01585648148</v>
      </c>
      <c r="C140" s="56">
        <f t="shared" si="3"/>
        <v>1370</v>
      </c>
      <c r="D140" s="56">
        <v>2.731</v>
      </c>
      <c r="F140" s="371">
        <v>137.0</v>
      </c>
      <c r="G140" s="372">
        <f t="shared" si="1"/>
        <v>0</v>
      </c>
    </row>
    <row r="141" ht="15.75" customHeight="1">
      <c r="B141" s="370">
        <f t="shared" si="2"/>
        <v>0.01597222222</v>
      </c>
      <c r="C141" s="56">
        <f t="shared" si="3"/>
        <v>1380</v>
      </c>
      <c r="D141" s="56">
        <v>3.057</v>
      </c>
      <c r="F141" s="371">
        <v>138.0</v>
      </c>
      <c r="G141" s="372">
        <f t="shared" si="1"/>
        <v>0</v>
      </c>
    </row>
    <row r="142" ht="15.75" customHeight="1">
      <c r="B142" s="370">
        <f t="shared" si="2"/>
        <v>0.01608796296</v>
      </c>
      <c r="C142" s="56">
        <f t="shared" si="3"/>
        <v>1390</v>
      </c>
      <c r="D142" s="56">
        <v>3.304</v>
      </c>
      <c r="F142" s="371">
        <v>139.0</v>
      </c>
      <c r="G142" s="372">
        <f t="shared" si="1"/>
        <v>0</v>
      </c>
    </row>
    <row r="143" ht="15.75" customHeight="1">
      <c r="B143" s="370">
        <f t="shared" si="2"/>
        <v>0.0162037037</v>
      </c>
      <c r="C143" s="56">
        <f t="shared" si="3"/>
        <v>1400</v>
      </c>
      <c r="D143" s="56">
        <v>3.21</v>
      </c>
      <c r="F143" s="371">
        <v>140.0</v>
      </c>
      <c r="G143" s="372">
        <f t="shared" si="1"/>
        <v>0</v>
      </c>
    </row>
    <row r="144" ht="15.75" customHeight="1">
      <c r="B144" s="370">
        <f t="shared" si="2"/>
        <v>0.01631944444</v>
      </c>
      <c r="C144" s="56">
        <f t="shared" si="3"/>
        <v>1410</v>
      </c>
      <c r="D144" s="56">
        <v>3.131</v>
      </c>
      <c r="F144" s="371">
        <v>141.0</v>
      </c>
      <c r="G144" s="372">
        <f t="shared" si="1"/>
        <v>0</v>
      </c>
    </row>
    <row r="145" ht="15.75" customHeight="1">
      <c r="B145" s="370">
        <f t="shared" si="2"/>
        <v>0.01643518519</v>
      </c>
      <c r="C145" s="56">
        <f t="shared" si="3"/>
        <v>1420</v>
      </c>
      <c r="D145" s="56">
        <v>2.786</v>
      </c>
      <c r="F145" s="371">
        <v>142.0</v>
      </c>
      <c r="G145" s="372">
        <f t="shared" si="1"/>
        <v>0</v>
      </c>
    </row>
    <row r="146" ht="15.75" customHeight="1">
      <c r="B146" s="370">
        <f t="shared" si="2"/>
        <v>0.01655092593</v>
      </c>
      <c r="C146" s="56">
        <f t="shared" si="3"/>
        <v>1430</v>
      </c>
      <c r="D146" s="56">
        <v>2.791</v>
      </c>
      <c r="F146" s="371">
        <v>143.0</v>
      </c>
      <c r="G146" s="372">
        <f t="shared" si="1"/>
        <v>0</v>
      </c>
    </row>
    <row r="147" ht="15.75" customHeight="1">
      <c r="B147" s="370">
        <f t="shared" si="2"/>
        <v>0.01666666667</v>
      </c>
      <c r="C147" s="56">
        <f t="shared" si="3"/>
        <v>1440</v>
      </c>
      <c r="D147" s="56">
        <v>2.779</v>
      </c>
      <c r="F147" s="371">
        <v>144.0</v>
      </c>
      <c r="G147" s="372">
        <f t="shared" si="1"/>
        <v>0</v>
      </c>
    </row>
    <row r="148" ht="15.75" customHeight="1">
      <c r="B148" s="370">
        <f t="shared" si="2"/>
        <v>0.01678240741</v>
      </c>
      <c r="C148" s="56">
        <f t="shared" si="3"/>
        <v>1450</v>
      </c>
      <c r="D148" s="56">
        <v>2.751</v>
      </c>
      <c r="F148" s="371">
        <v>145.0</v>
      </c>
      <c r="G148" s="372">
        <f t="shared" si="1"/>
        <v>0</v>
      </c>
    </row>
    <row r="149" ht="15.75" customHeight="1">
      <c r="B149" s="370">
        <f t="shared" si="2"/>
        <v>0.01689814815</v>
      </c>
      <c r="C149" s="56">
        <f t="shared" si="3"/>
        <v>1460</v>
      </c>
      <c r="D149" s="56">
        <v>2.653</v>
      </c>
      <c r="F149" s="371">
        <v>146.0</v>
      </c>
      <c r="G149" s="372">
        <f t="shared" si="1"/>
        <v>0</v>
      </c>
    </row>
    <row r="150" ht="15.75" customHeight="1">
      <c r="B150" s="370">
        <f t="shared" si="2"/>
        <v>0.01701388889</v>
      </c>
      <c r="C150" s="56">
        <f t="shared" si="3"/>
        <v>1470</v>
      </c>
      <c r="D150" s="56">
        <v>2.506</v>
      </c>
      <c r="F150" s="371">
        <v>147.0</v>
      </c>
      <c r="G150" s="372">
        <f t="shared" si="1"/>
        <v>0</v>
      </c>
    </row>
    <row r="151" ht="15.75" customHeight="1">
      <c r="B151" s="370">
        <f t="shared" si="2"/>
        <v>0.01712962963</v>
      </c>
      <c r="C151" s="56">
        <f t="shared" si="3"/>
        <v>1480</v>
      </c>
      <c r="D151" s="56">
        <v>2.276</v>
      </c>
      <c r="F151" s="371">
        <v>148.0</v>
      </c>
      <c r="G151" s="372">
        <f t="shared" si="1"/>
        <v>0</v>
      </c>
    </row>
    <row r="152" ht="15.75" customHeight="1">
      <c r="B152" s="370">
        <f t="shared" si="2"/>
        <v>0.01724537037</v>
      </c>
      <c r="C152" s="56">
        <f t="shared" si="3"/>
        <v>1490</v>
      </c>
      <c r="D152" s="56">
        <v>3.087</v>
      </c>
      <c r="F152" s="371">
        <v>149.0</v>
      </c>
      <c r="G152" s="372">
        <f t="shared" si="1"/>
        <v>0</v>
      </c>
    </row>
    <row r="153" ht="15.75" customHeight="1">
      <c r="B153" s="370">
        <f t="shared" si="2"/>
        <v>0.01736111111</v>
      </c>
      <c r="C153" s="56">
        <f t="shared" si="3"/>
        <v>1500</v>
      </c>
      <c r="D153" s="56">
        <v>3.407</v>
      </c>
      <c r="F153" s="371">
        <v>150.0</v>
      </c>
      <c r="G153" s="372">
        <f t="shared" si="1"/>
        <v>0</v>
      </c>
    </row>
    <row r="154" ht="15.75" customHeight="1">
      <c r="B154" s="370">
        <f t="shared" si="2"/>
        <v>0.01747685185</v>
      </c>
      <c r="C154" s="56">
        <f t="shared" si="3"/>
        <v>1510</v>
      </c>
      <c r="D154" s="56">
        <v>3.45</v>
      </c>
      <c r="F154" s="371">
        <v>151.0</v>
      </c>
      <c r="G154" s="372">
        <f t="shared" si="1"/>
        <v>0</v>
      </c>
    </row>
    <row r="155" ht="15.75" customHeight="1">
      <c r="B155" s="370">
        <f t="shared" si="2"/>
        <v>0.01759259259</v>
      </c>
      <c r="C155" s="56">
        <f t="shared" si="3"/>
        <v>1520</v>
      </c>
      <c r="D155" s="56">
        <v>3.489</v>
      </c>
      <c r="F155" s="371">
        <v>152.0</v>
      </c>
      <c r="G155" s="372">
        <f t="shared" si="1"/>
        <v>0</v>
      </c>
    </row>
    <row r="156" ht="15.75" customHeight="1">
      <c r="B156" s="370">
        <f t="shared" si="2"/>
        <v>0.01770833333</v>
      </c>
      <c r="C156" s="56">
        <f t="shared" si="3"/>
        <v>1530</v>
      </c>
      <c r="D156" s="56">
        <v>3.192</v>
      </c>
      <c r="F156" s="371">
        <v>153.0</v>
      </c>
      <c r="G156" s="372">
        <f t="shared" si="1"/>
        <v>0</v>
      </c>
    </row>
    <row r="157" ht="15.75" customHeight="1">
      <c r="B157" s="370">
        <f t="shared" si="2"/>
        <v>0.01782407407</v>
      </c>
      <c r="C157" s="56">
        <f t="shared" si="3"/>
        <v>1540</v>
      </c>
      <c r="D157" s="56">
        <v>2.549</v>
      </c>
      <c r="F157" s="371">
        <v>154.0</v>
      </c>
      <c r="G157" s="372">
        <f t="shared" si="1"/>
        <v>0</v>
      </c>
    </row>
    <row r="158" ht="15.75" customHeight="1">
      <c r="B158" s="370">
        <f t="shared" si="2"/>
        <v>0.01793981481</v>
      </c>
      <c r="C158" s="56">
        <f t="shared" si="3"/>
        <v>1550</v>
      </c>
      <c r="D158" s="56">
        <v>2.022</v>
      </c>
      <c r="F158" s="371">
        <v>155.0</v>
      </c>
      <c r="G158" s="372">
        <f t="shared" si="1"/>
        <v>0</v>
      </c>
    </row>
    <row r="159" ht="15.75" customHeight="1">
      <c r="B159" s="370">
        <f t="shared" si="2"/>
        <v>0.01805555556</v>
      </c>
      <c r="C159" s="56">
        <f t="shared" si="3"/>
        <v>1560</v>
      </c>
      <c r="D159" s="56">
        <v>2.181</v>
      </c>
      <c r="F159" s="371">
        <v>156.0</v>
      </c>
      <c r="G159" s="372">
        <f t="shared" si="1"/>
        <v>0</v>
      </c>
    </row>
    <row r="160" ht="15.75" customHeight="1">
      <c r="B160" s="370">
        <f t="shared" si="2"/>
        <v>0.0181712963</v>
      </c>
      <c r="C160" s="56">
        <f t="shared" si="3"/>
        <v>1570</v>
      </c>
      <c r="D160" s="56">
        <v>2.628</v>
      </c>
      <c r="F160" s="371">
        <v>157.0</v>
      </c>
      <c r="G160" s="372">
        <f t="shared" si="1"/>
        <v>0</v>
      </c>
    </row>
    <row r="161" ht="15.75" customHeight="1">
      <c r="B161" s="370">
        <f t="shared" si="2"/>
        <v>0.01828703704</v>
      </c>
      <c r="C161" s="56">
        <f t="shared" si="3"/>
        <v>1580</v>
      </c>
      <c r="D161" s="56">
        <v>3.049</v>
      </c>
      <c r="F161" s="371">
        <v>158.0</v>
      </c>
      <c r="G161" s="372">
        <f t="shared" si="1"/>
        <v>0</v>
      </c>
    </row>
    <row r="162" ht="15.75" customHeight="1">
      <c r="B162" s="370">
        <f t="shared" si="2"/>
        <v>0.01840277778</v>
      </c>
      <c r="C162" s="56">
        <f t="shared" si="3"/>
        <v>1590</v>
      </c>
      <c r="D162" s="56">
        <v>3.384</v>
      </c>
      <c r="F162" s="371">
        <v>159.0</v>
      </c>
      <c r="G162" s="372">
        <f t="shared" si="1"/>
        <v>1.895666667</v>
      </c>
    </row>
    <row r="163" ht="15.75" customHeight="1">
      <c r="B163" s="370">
        <f t="shared" si="2"/>
        <v>0.01851851852</v>
      </c>
      <c r="C163" s="56">
        <f t="shared" si="3"/>
        <v>1600</v>
      </c>
      <c r="D163" s="56">
        <v>3.326</v>
      </c>
      <c r="F163" s="371">
        <v>160.0</v>
      </c>
      <c r="G163" s="372">
        <f t="shared" si="1"/>
        <v>2.893833333</v>
      </c>
    </row>
    <row r="164" ht="15.75" customHeight="1">
      <c r="B164" s="370">
        <f t="shared" si="2"/>
        <v>0.01863425926</v>
      </c>
      <c r="C164" s="56">
        <f t="shared" si="3"/>
        <v>1610</v>
      </c>
      <c r="D164" s="56">
        <v>3.235</v>
      </c>
      <c r="F164" s="371">
        <v>161.0</v>
      </c>
      <c r="G164" s="372">
        <f t="shared" si="1"/>
        <v>2.911166667</v>
      </c>
    </row>
    <row r="165" ht="15.75" customHeight="1">
      <c r="B165" s="370">
        <f t="shared" si="2"/>
        <v>0.01875</v>
      </c>
      <c r="C165" s="56">
        <f t="shared" si="3"/>
        <v>1620</v>
      </c>
      <c r="D165" s="56">
        <v>3.034</v>
      </c>
      <c r="F165" s="371">
        <v>162.0</v>
      </c>
      <c r="G165" s="372">
        <f t="shared" si="1"/>
        <v>2.689333333</v>
      </c>
    </row>
    <row r="166" ht="15.75" customHeight="1">
      <c r="B166" s="370">
        <f t="shared" si="2"/>
        <v>0.01886574074</v>
      </c>
      <c r="C166" s="56">
        <f t="shared" si="3"/>
        <v>1630</v>
      </c>
      <c r="D166" s="56">
        <v>2.53</v>
      </c>
      <c r="F166" s="371">
        <v>163.0</v>
      </c>
      <c r="G166" s="372">
        <f t="shared" si="1"/>
        <v>3.055333333</v>
      </c>
    </row>
    <row r="167" ht="15.75" customHeight="1">
      <c r="B167" s="370">
        <f t="shared" si="2"/>
        <v>0.01898148148</v>
      </c>
      <c r="C167" s="56">
        <f t="shared" si="3"/>
        <v>1640</v>
      </c>
      <c r="D167" s="56">
        <v>2.681</v>
      </c>
      <c r="F167" s="371">
        <v>164.0</v>
      </c>
      <c r="G167" s="372">
        <f t="shared" si="1"/>
        <v>2.6845</v>
      </c>
    </row>
    <row r="168" ht="15.75" customHeight="1">
      <c r="B168" s="370">
        <f t="shared" si="2"/>
        <v>0.01909722222</v>
      </c>
      <c r="C168" s="56">
        <f t="shared" si="3"/>
        <v>1650</v>
      </c>
      <c r="D168" s="56">
        <v>2.738</v>
      </c>
      <c r="F168" s="371">
        <v>165.0</v>
      </c>
      <c r="G168" s="372">
        <f t="shared" si="1"/>
        <v>3.014166667</v>
      </c>
    </row>
    <row r="169" ht="15.75" customHeight="1">
      <c r="B169" s="370">
        <f t="shared" si="2"/>
        <v>0.01921296296</v>
      </c>
      <c r="C169" s="56">
        <f t="shared" si="3"/>
        <v>1660</v>
      </c>
      <c r="D169" s="56">
        <v>2.706</v>
      </c>
      <c r="F169" s="371">
        <v>166.0</v>
      </c>
      <c r="G169" s="372">
        <f t="shared" si="1"/>
        <v>2.969333333</v>
      </c>
    </row>
    <row r="170" ht="15.75" customHeight="1">
      <c r="B170" s="370">
        <f t="shared" si="2"/>
        <v>0.0193287037</v>
      </c>
      <c r="C170" s="56">
        <f t="shared" si="3"/>
        <v>1670</v>
      </c>
      <c r="D170" s="56">
        <v>2.669</v>
      </c>
      <c r="F170" s="371">
        <v>167.0</v>
      </c>
      <c r="G170" s="372">
        <f t="shared" si="1"/>
        <v>2.736333333</v>
      </c>
    </row>
    <row r="171" ht="15.75" customHeight="1">
      <c r="B171" s="370">
        <f t="shared" si="2"/>
        <v>0.01944444444</v>
      </c>
      <c r="C171" s="56">
        <f t="shared" si="3"/>
        <v>1680</v>
      </c>
      <c r="D171" s="56">
        <v>2.458</v>
      </c>
      <c r="F171" s="371">
        <v>168.0</v>
      </c>
      <c r="G171" s="372">
        <f t="shared" si="1"/>
        <v>3.115833333</v>
      </c>
    </row>
    <row r="172" ht="15.75" customHeight="1">
      <c r="B172" s="370">
        <f t="shared" si="2"/>
        <v>0.01956018519</v>
      </c>
      <c r="C172" s="56">
        <f t="shared" si="3"/>
        <v>1690</v>
      </c>
      <c r="D172" s="56">
        <v>2.95</v>
      </c>
      <c r="F172" s="371">
        <v>169.0</v>
      </c>
      <c r="G172" s="372">
        <f t="shared" si="1"/>
        <v>2.628333333</v>
      </c>
    </row>
    <row r="173" ht="15.75" customHeight="1">
      <c r="B173" s="370">
        <f t="shared" si="2"/>
        <v>0.01967592593</v>
      </c>
      <c r="C173" s="56">
        <f t="shared" si="3"/>
        <v>1700</v>
      </c>
      <c r="D173" s="56">
        <v>3.315</v>
      </c>
      <c r="F173" s="371">
        <v>170.0</v>
      </c>
      <c r="G173" s="372">
        <f t="shared" si="1"/>
        <v>2.941833333</v>
      </c>
    </row>
    <row r="174" ht="15.75" customHeight="1">
      <c r="B174" s="370">
        <f t="shared" si="2"/>
        <v>0.01979166667</v>
      </c>
      <c r="C174" s="56">
        <f t="shared" si="3"/>
        <v>1710</v>
      </c>
      <c r="D174" s="56">
        <v>3.37</v>
      </c>
      <c r="F174" s="371">
        <v>171.0</v>
      </c>
      <c r="G174" s="372">
        <f t="shared" si="1"/>
        <v>2.869333333</v>
      </c>
    </row>
    <row r="175" ht="15.75" customHeight="1">
      <c r="B175" s="370">
        <f t="shared" si="2"/>
        <v>0.01990740741</v>
      </c>
      <c r="C175" s="56">
        <f t="shared" si="3"/>
        <v>1720</v>
      </c>
      <c r="D175" s="56">
        <v>3.442</v>
      </c>
      <c r="F175" s="371">
        <v>172.0</v>
      </c>
      <c r="G175" s="372">
        <f t="shared" si="1"/>
        <v>2.686333333</v>
      </c>
    </row>
    <row r="176" ht="15.75" customHeight="1">
      <c r="B176" s="370">
        <f t="shared" si="2"/>
        <v>0.02002314815</v>
      </c>
      <c r="C176" s="56">
        <f t="shared" si="3"/>
        <v>1730</v>
      </c>
      <c r="D176" s="56">
        <v>3.225</v>
      </c>
      <c r="F176" s="371">
        <v>173.0</v>
      </c>
      <c r="G176" s="372">
        <f t="shared" si="1"/>
        <v>3.2165</v>
      </c>
    </row>
    <row r="177" ht="15.75" customHeight="1">
      <c r="B177" s="370">
        <f t="shared" si="2"/>
        <v>0.02013888889</v>
      </c>
      <c r="C177" s="56">
        <f t="shared" si="3"/>
        <v>1740</v>
      </c>
      <c r="D177" s="56">
        <v>2.681</v>
      </c>
      <c r="F177" s="371">
        <v>174.0</v>
      </c>
      <c r="G177" s="372">
        <f t="shared" si="1"/>
        <v>2.666166667</v>
      </c>
    </row>
    <row r="178" ht="15.75" customHeight="1">
      <c r="B178" s="370">
        <f t="shared" si="2"/>
        <v>0.02025462963</v>
      </c>
      <c r="C178" s="56">
        <f t="shared" si="3"/>
        <v>1750</v>
      </c>
      <c r="D178" s="56">
        <v>2.154</v>
      </c>
      <c r="F178" s="371">
        <v>175.0</v>
      </c>
      <c r="G178" s="372">
        <f t="shared" si="1"/>
        <v>2.981833333</v>
      </c>
    </row>
    <row r="179" ht="15.75" customHeight="1">
      <c r="B179" s="370">
        <f t="shared" si="2"/>
        <v>0.02037037037</v>
      </c>
      <c r="C179" s="56">
        <f t="shared" si="3"/>
        <v>1760</v>
      </c>
      <c r="D179" s="56">
        <v>2.009</v>
      </c>
      <c r="F179" s="371">
        <v>176.0</v>
      </c>
      <c r="G179" s="372">
        <f t="shared" si="1"/>
        <v>2.914166667</v>
      </c>
    </row>
    <row r="180" ht="15.75" customHeight="1">
      <c r="B180" s="370">
        <f t="shared" si="2"/>
        <v>0.02048611111</v>
      </c>
      <c r="C180" s="56">
        <f t="shared" si="3"/>
        <v>1770</v>
      </c>
      <c r="D180" s="56">
        <v>2.461</v>
      </c>
      <c r="F180" s="371">
        <v>177.0</v>
      </c>
      <c r="G180" s="372">
        <f t="shared" si="1"/>
        <v>2.7235</v>
      </c>
    </row>
    <row r="181" ht="15.75" customHeight="1">
      <c r="B181" s="370">
        <f t="shared" si="2"/>
        <v>0.02060185185</v>
      </c>
      <c r="C181" s="56">
        <f t="shared" si="3"/>
        <v>1780</v>
      </c>
      <c r="D181" s="56">
        <v>3.003</v>
      </c>
      <c r="F181" s="371">
        <v>178.0</v>
      </c>
      <c r="G181" s="372">
        <f t="shared" si="1"/>
        <v>2.9785</v>
      </c>
    </row>
    <row r="182" ht="15.75" customHeight="1">
      <c r="B182" s="370">
        <f t="shared" si="2"/>
        <v>0.02071759259</v>
      </c>
      <c r="C182" s="56">
        <f t="shared" si="3"/>
        <v>1790</v>
      </c>
      <c r="D182" s="56">
        <v>3.432</v>
      </c>
      <c r="F182" s="371">
        <v>179.0</v>
      </c>
      <c r="G182" s="372">
        <f t="shared" si="1"/>
        <v>2.6755</v>
      </c>
    </row>
    <row r="183" ht="15.75" customHeight="1">
      <c r="B183" s="370">
        <f t="shared" si="2"/>
        <v>0.02083333333</v>
      </c>
      <c r="C183" s="56">
        <f t="shared" si="3"/>
        <v>1800</v>
      </c>
      <c r="D183" s="56">
        <v>3.42</v>
      </c>
      <c r="F183" s="371">
        <v>180.0</v>
      </c>
      <c r="G183" s="372">
        <f t="shared" si="1"/>
        <v>2.975833333</v>
      </c>
    </row>
    <row r="184" ht="15.75" customHeight="1">
      <c r="B184" s="370">
        <f t="shared" si="2"/>
        <v>0.02094907407</v>
      </c>
      <c r="C184" s="56">
        <f t="shared" si="3"/>
        <v>1810</v>
      </c>
      <c r="D184" s="56">
        <v>3.368</v>
      </c>
      <c r="F184" s="371">
        <v>181.0</v>
      </c>
      <c r="G184" s="372">
        <f t="shared" si="1"/>
        <v>2.900666667</v>
      </c>
    </row>
    <row r="185" ht="15.75" customHeight="1">
      <c r="B185" s="370">
        <f t="shared" si="2"/>
        <v>0.02106481481</v>
      </c>
      <c r="C185" s="56">
        <f t="shared" si="3"/>
        <v>1820</v>
      </c>
      <c r="D185" s="56">
        <v>3.191</v>
      </c>
      <c r="F185" s="371">
        <v>182.0</v>
      </c>
      <c r="G185" s="372">
        <f t="shared" si="1"/>
        <v>2.724666667</v>
      </c>
    </row>
    <row r="186" ht="15.75" customHeight="1">
      <c r="B186" s="370">
        <f t="shared" si="2"/>
        <v>0.02118055556</v>
      </c>
      <c r="C186" s="56">
        <f t="shared" si="3"/>
        <v>1830</v>
      </c>
      <c r="D186" s="56">
        <v>2.424</v>
      </c>
      <c r="F186" s="371">
        <v>183.0</v>
      </c>
      <c r="G186" s="372">
        <f t="shared" si="1"/>
        <v>3.211333333</v>
      </c>
    </row>
    <row r="187" ht="15.75" customHeight="1">
      <c r="B187" s="370">
        <f t="shared" si="2"/>
        <v>0.0212962963</v>
      </c>
      <c r="C187" s="56">
        <f t="shared" si="3"/>
        <v>1840</v>
      </c>
      <c r="D187" s="56">
        <v>2.549</v>
      </c>
      <c r="F187" s="371">
        <v>184.0</v>
      </c>
      <c r="G187" s="372">
        <f t="shared" si="1"/>
        <v>2.644666667</v>
      </c>
    </row>
    <row r="188" ht="15.75" customHeight="1">
      <c r="B188" s="370">
        <f t="shared" si="2"/>
        <v>0.02141203704</v>
      </c>
      <c r="C188" s="56">
        <f t="shared" si="3"/>
        <v>1850</v>
      </c>
      <c r="D188" s="56">
        <v>2.689</v>
      </c>
      <c r="F188" s="371">
        <v>185.0</v>
      </c>
      <c r="G188" s="372">
        <f t="shared" si="1"/>
        <v>2.905333333</v>
      </c>
    </row>
    <row r="189" ht="15.75" customHeight="1">
      <c r="B189" s="370">
        <f t="shared" si="2"/>
        <v>0.02152777778</v>
      </c>
      <c r="C189" s="56">
        <f t="shared" si="3"/>
        <v>1860</v>
      </c>
      <c r="D189" s="56">
        <v>2.72</v>
      </c>
      <c r="F189" s="371">
        <v>186.0</v>
      </c>
      <c r="G189" s="372">
        <f t="shared" si="1"/>
        <v>2.892</v>
      </c>
    </row>
    <row r="190" ht="15.75" customHeight="1">
      <c r="B190" s="370">
        <f t="shared" si="2"/>
        <v>0.02164351852</v>
      </c>
      <c r="C190" s="56">
        <f t="shared" si="3"/>
        <v>1870</v>
      </c>
      <c r="D190" s="56">
        <v>2.76</v>
      </c>
      <c r="F190" s="371">
        <v>187.0</v>
      </c>
      <c r="G190" s="372">
        <f t="shared" si="1"/>
        <v>2.676</v>
      </c>
    </row>
    <row r="191" ht="15.75" customHeight="1">
      <c r="B191" s="370">
        <f t="shared" si="2"/>
        <v>0.02175925926</v>
      </c>
      <c r="C191" s="56">
        <f t="shared" si="3"/>
        <v>1880</v>
      </c>
      <c r="D191" s="56">
        <v>2.658</v>
      </c>
      <c r="F191" s="371">
        <v>188.0</v>
      </c>
      <c r="G191" s="372">
        <f t="shared" si="1"/>
        <v>3.083333333</v>
      </c>
    </row>
    <row r="192" ht="15.75" customHeight="1">
      <c r="B192" s="370">
        <f t="shared" si="2"/>
        <v>0.021875</v>
      </c>
      <c r="C192" s="56">
        <f t="shared" si="3"/>
        <v>1890</v>
      </c>
      <c r="D192" s="56">
        <v>2.718</v>
      </c>
      <c r="F192" s="371">
        <v>189.0</v>
      </c>
      <c r="G192" s="372">
        <f t="shared" si="1"/>
        <v>2.697833333</v>
      </c>
    </row>
    <row r="193" ht="15.75" customHeight="1">
      <c r="B193" s="370">
        <f t="shared" si="2"/>
        <v>0.02199074074</v>
      </c>
      <c r="C193" s="56">
        <f t="shared" si="3"/>
        <v>1900</v>
      </c>
      <c r="D193" s="56">
        <v>3.19</v>
      </c>
      <c r="F193" s="371">
        <v>190.0</v>
      </c>
      <c r="G193" s="372">
        <f t="shared" si="1"/>
        <v>3.029166667</v>
      </c>
    </row>
    <row r="194" ht="15.75" customHeight="1">
      <c r="B194" s="370">
        <f t="shared" si="2"/>
        <v>0.02210648148</v>
      </c>
      <c r="C194" s="56">
        <f t="shared" si="3"/>
        <v>1910</v>
      </c>
      <c r="D194" s="56">
        <v>3.249</v>
      </c>
      <c r="F194" s="371">
        <v>191.0</v>
      </c>
      <c r="G194" s="372">
        <f t="shared" si="1"/>
        <v>2.956833333</v>
      </c>
    </row>
    <row r="195" ht="15.75" customHeight="1">
      <c r="B195" s="370">
        <f t="shared" si="2"/>
        <v>0.02222222222</v>
      </c>
      <c r="C195" s="56">
        <f t="shared" si="3"/>
        <v>1920</v>
      </c>
      <c r="D195" s="56">
        <v>1.945</v>
      </c>
      <c r="F195" s="371">
        <v>192.0</v>
      </c>
      <c r="G195" s="372">
        <f t="shared" si="1"/>
        <v>2.726333333</v>
      </c>
    </row>
    <row r="196" ht="15.75" customHeight="1">
      <c r="B196" s="370">
        <f t="shared" si="2"/>
        <v>0.02233796296</v>
      </c>
      <c r="C196" s="56">
        <f t="shared" si="3"/>
        <v>1930</v>
      </c>
      <c r="D196" s="56">
        <v>0.0</v>
      </c>
      <c r="F196" s="371">
        <v>193.0</v>
      </c>
      <c r="G196" s="372">
        <f t="shared" si="1"/>
        <v>3.083</v>
      </c>
    </row>
    <row r="197" ht="15.75" customHeight="1">
      <c r="B197" s="370">
        <f t="shared" si="2"/>
        <v>0.0224537037</v>
      </c>
      <c r="C197" s="56">
        <f t="shared" si="3"/>
        <v>1940</v>
      </c>
      <c r="D197" s="56">
        <v>0.0</v>
      </c>
      <c r="F197" s="371">
        <v>194.0</v>
      </c>
      <c r="G197" s="372">
        <f t="shared" si="1"/>
        <v>2.635666667</v>
      </c>
    </row>
    <row r="198" ht="15.75" customHeight="1">
      <c r="B198" s="370">
        <f t="shared" si="2"/>
        <v>0.02256944444</v>
      </c>
      <c r="C198" s="56">
        <f t="shared" si="3"/>
        <v>1950</v>
      </c>
      <c r="D198" s="56">
        <v>0.0</v>
      </c>
      <c r="F198" s="371">
        <v>195.0</v>
      </c>
      <c r="G198" s="372">
        <f t="shared" si="1"/>
        <v>2.957166667</v>
      </c>
    </row>
    <row r="199" ht="15.75" customHeight="1">
      <c r="B199" s="370">
        <f t="shared" si="2"/>
        <v>0.02268518519</v>
      </c>
      <c r="C199" s="56">
        <f t="shared" si="3"/>
        <v>1960</v>
      </c>
      <c r="D199" s="56">
        <v>0.0</v>
      </c>
      <c r="F199" s="371">
        <v>196.0</v>
      </c>
      <c r="G199" s="372">
        <f t="shared" si="1"/>
        <v>2.8605</v>
      </c>
    </row>
    <row r="200" ht="15.75" customHeight="1">
      <c r="B200" s="370">
        <f t="shared" si="2"/>
        <v>0.02280092593</v>
      </c>
      <c r="C200" s="56">
        <f t="shared" si="3"/>
        <v>1970</v>
      </c>
      <c r="D200" s="56">
        <v>0.0</v>
      </c>
      <c r="F200" s="371">
        <v>197.0</v>
      </c>
      <c r="G200" s="372">
        <f t="shared" si="1"/>
        <v>2.688333333</v>
      </c>
    </row>
    <row r="201" ht="15.75" customHeight="1">
      <c r="B201" s="370">
        <f t="shared" si="2"/>
        <v>0.02291666667</v>
      </c>
      <c r="C201" s="56">
        <f t="shared" si="3"/>
        <v>1980</v>
      </c>
      <c r="D201" s="56">
        <v>0.0</v>
      </c>
      <c r="F201" s="371">
        <v>198.0</v>
      </c>
      <c r="G201" s="372">
        <f t="shared" si="1"/>
        <v>3.2385</v>
      </c>
    </row>
    <row r="202" ht="15.75" customHeight="1">
      <c r="B202" s="370">
        <f t="shared" si="2"/>
        <v>0.02303240741</v>
      </c>
      <c r="C202" s="56">
        <f t="shared" si="3"/>
        <v>1990</v>
      </c>
      <c r="D202" s="56">
        <v>0.0</v>
      </c>
      <c r="F202" s="371">
        <v>199.0</v>
      </c>
      <c r="G202" s="372">
        <f t="shared" si="1"/>
        <v>2.661833333</v>
      </c>
    </row>
    <row r="203" ht="15.75" customHeight="1">
      <c r="B203" s="370">
        <f t="shared" si="2"/>
        <v>0.02314814815</v>
      </c>
      <c r="C203" s="56">
        <f t="shared" si="3"/>
        <v>2000</v>
      </c>
      <c r="D203" s="56">
        <v>0.0</v>
      </c>
      <c r="F203" s="371">
        <v>200.0</v>
      </c>
      <c r="G203" s="372">
        <f t="shared" si="1"/>
        <v>2.944333333</v>
      </c>
    </row>
    <row r="204" ht="15.75" customHeight="1">
      <c r="B204" s="370">
        <f t="shared" si="2"/>
        <v>0.02326388889</v>
      </c>
      <c r="C204" s="56">
        <f t="shared" si="3"/>
        <v>2010</v>
      </c>
      <c r="D204" s="56">
        <v>0.0</v>
      </c>
      <c r="F204" s="371">
        <v>201.0</v>
      </c>
      <c r="G204" s="372">
        <f t="shared" si="1"/>
        <v>2.908833333</v>
      </c>
    </row>
    <row r="205" ht="15.75" customHeight="1">
      <c r="B205" s="370">
        <f t="shared" si="2"/>
        <v>0.02337962963</v>
      </c>
      <c r="C205" s="56">
        <f t="shared" si="3"/>
        <v>2020</v>
      </c>
      <c r="D205" s="56">
        <v>0.0</v>
      </c>
      <c r="F205" s="371">
        <v>202.0</v>
      </c>
      <c r="G205" s="372">
        <f t="shared" si="1"/>
        <v>2.701833333</v>
      </c>
    </row>
    <row r="206" ht="15.75" customHeight="1">
      <c r="B206" s="370">
        <f t="shared" si="2"/>
        <v>0.02349537037</v>
      </c>
      <c r="C206" s="56">
        <f t="shared" si="3"/>
        <v>2030</v>
      </c>
      <c r="D206" s="56">
        <v>0.0</v>
      </c>
      <c r="F206" s="371">
        <v>203.0</v>
      </c>
      <c r="G206" s="372">
        <f t="shared" si="1"/>
        <v>2.962666667</v>
      </c>
    </row>
    <row r="207" ht="15.75" customHeight="1">
      <c r="B207" s="370">
        <f t="shared" si="2"/>
        <v>0.02361111111</v>
      </c>
      <c r="C207" s="56">
        <f t="shared" si="3"/>
        <v>2040</v>
      </c>
      <c r="D207" s="56">
        <v>0.0</v>
      </c>
      <c r="F207" s="371">
        <v>204.0</v>
      </c>
      <c r="G207" s="372">
        <f t="shared" si="1"/>
        <v>2.690166667</v>
      </c>
    </row>
    <row r="208" ht="15.75" customHeight="1">
      <c r="B208" s="370">
        <f t="shared" si="2"/>
        <v>0.02372685185</v>
      </c>
      <c r="C208" s="56">
        <f t="shared" si="3"/>
        <v>2050</v>
      </c>
      <c r="D208" s="56">
        <v>0.0</v>
      </c>
      <c r="F208" s="371">
        <v>205.0</v>
      </c>
      <c r="G208" s="372">
        <f t="shared" si="1"/>
        <v>2.9905</v>
      </c>
    </row>
    <row r="209" ht="15.75" customHeight="1">
      <c r="B209" s="370">
        <f t="shared" si="2"/>
        <v>0.02384259259</v>
      </c>
      <c r="C209" s="56">
        <f t="shared" si="3"/>
        <v>2060</v>
      </c>
      <c r="D209" s="56">
        <v>0.0</v>
      </c>
      <c r="F209" s="371">
        <v>206.0</v>
      </c>
      <c r="G209" s="372">
        <f t="shared" si="1"/>
        <v>2.931833333</v>
      </c>
    </row>
    <row r="210" ht="15.75" customHeight="1">
      <c r="B210" s="370">
        <f t="shared" si="2"/>
        <v>0.02395833333</v>
      </c>
      <c r="C210" s="56">
        <f t="shared" si="3"/>
        <v>2070</v>
      </c>
      <c r="D210" s="56">
        <v>0.0</v>
      </c>
      <c r="F210" s="371">
        <v>207.0</v>
      </c>
      <c r="G210" s="372">
        <f t="shared" si="1"/>
        <v>2.719333333</v>
      </c>
    </row>
    <row r="211" ht="15.75" customHeight="1">
      <c r="B211" s="370">
        <f t="shared" si="2"/>
        <v>0.02407407407</v>
      </c>
      <c r="C211" s="56">
        <f t="shared" si="3"/>
        <v>2080</v>
      </c>
      <c r="D211" s="56">
        <v>0.0</v>
      </c>
      <c r="F211" s="371">
        <v>208.0</v>
      </c>
      <c r="G211" s="372">
        <f t="shared" si="1"/>
        <v>3.181</v>
      </c>
    </row>
    <row r="212" ht="15.75" customHeight="1">
      <c r="B212" s="370">
        <f t="shared" si="2"/>
        <v>0.02418981481</v>
      </c>
      <c r="C212" s="56">
        <f t="shared" si="3"/>
        <v>2090</v>
      </c>
      <c r="D212" s="56">
        <v>0.0</v>
      </c>
      <c r="F212" s="371">
        <v>209.0</v>
      </c>
      <c r="G212" s="372">
        <f t="shared" si="1"/>
        <v>2.6345</v>
      </c>
    </row>
    <row r="213" ht="15.75" customHeight="1">
      <c r="B213" s="370">
        <f t="shared" si="2"/>
        <v>0.02430555556</v>
      </c>
      <c r="C213" s="56">
        <f t="shared" si="3"/>
        <v>2100</v>
      </c>
      <c r="D213" s="56">
        <v>0.0</v>
      </c>
      <c r="F213" s="371">
        <v>210.0</v>
      </c>
      <c r="G213" s="372">
        <f t="shared" si="1"/>
        <v>2.916666667</v>
      </c>
    </row>
    <row r="214" ht="15.75" customHeight="1">
      <c r="B214" s="370">
        <f t="shared" si="2"/>
        <v>0.0244212963</v>
      </c>
      <c r="C214" s="56">
        <f t="shared" si="3"/>
        <v>2110</v>
      </c>
      <c r="D214" s="56">
        <v>0.0</v>
      </c>
      <c r="F214" s="371">
        <v>211.0</v>
      </c>
      <c r="G214" s="372">
        <f t="shared" si="1"/>
        <v>2.901</v>
      </c>
    </row>
    <row r="215" ht="15.75" customHeight="1">
      <c r="B215" s="370">
        <f t="shared" si="2"/>
        <v>0.02453703704</v>
      </c>
      <c r="C215" s="56">
        <f t="shared" si="3"/>
        <v>2120</v>
      </c>
      <c r="D215" s="56">
        <v>0.0</v>
      </c>
      <c r="F215" s="371">
        <v>212.0</v>
      </c>
      <c r="G215" s="372">
        <f t="shared" si="1"/>
        <v>2.6785</v>
      </c>
    </row>
    <row r="216" ht="15.75" customHeight="1">
      <c r="B216" s="370">
        <f t="shared" si="2"/>
        <v>0.02465277778</v>
      </c>
      <c r="C216" s="56">
        <f t="shared" si="3"/>
        <v>2130</v>
      </c>
      <c r="D216" s="56">
        <v>0.0</v>
      </c>
      <c r="F216" s="371">
        <v>213.0</v>
      </c>
      <c r="G216" s="372">
        <f t="shared" si="1"/>
        <v>3.103166667</v>
      </c>
    </row>
    <row r="217" ht="15.75" customHeight="1">
      <c r="B217" s="370">
        <f t="shared" si="2"/>
        <v>0.02476851852</v>
      </c>
      <c r="C217" s="56">
        <f t="shared" si="3"/>
        <v>2140</v>
      </c>
      <c r="D217" s="56">
        <v>0.0</v>
      </c>
      <c r="F217" s="371">
        <v>214.0</v>
      </c>
      <c r="G217" s="372">
        <f t="shared" si="1"/>
        <v>2.700333333</v>
      </c>
    </row>
    <row r="218" ht="15.75" customHeight="1">
      <c r="B218" s="370">
        <f t="shared" si="2"/>
        <v>0.02488425926</v>
      </c>
      <c r="C218" s="56">
        <f t="shared" si="3"/>
        <v>2150</v>
      </c>
      <c r="D218" s="56">
        <v>0.0</v>
      </c>
      <c r="F218" s="371">
        <v>215.0</v>
      </c>
      <c r="G218" s="372">
        <f t="shared" si="1"/>
        <v>3.033666667</v>
      </c>
    </row>
    <row r="219" ht="15.75" customHeight="1">
      <c r="B219" s="370">
        <f t="shared" si="2"/>
        <v>0.025</v>
      </c>
      <c r="C219" s="56">
        <f t="shared" si="3"/>
        <v>2160</v>
      </c>
      <c r="D219" s="56">
        <v>0.0</v>
      </c>
      <c r="F219" s="371">
        <v>216.0</v>
      </c>
      <c r="G219" s="372">
        <f t="shared" si="1"/>
        <v>2.936166667</v>
      </c>
    </row>
    <row r="220" ht="15.75" customHeight="1">
      <c r="B220" s="370">
        <f t="shared" si="2"/>
        <v>0.02511574074</v>
      </c>
      <c r="C220" s="56">
        <f t="shared" si="3"/>
        <v>2170</v>
      </c>
      <c r="D220" s="56">
        <v>0.0</v>
      </c>
      <c r="F220" s="371">
        <v>217.0</v>
      </c>
      <c r="G220" s="372">
        <f t="shared" si="1"/>
        <v>1.3695</v>
      </c>
    </row>
    <row r="221" ht="15.75" customHeight="1">
      <c r="B221" s="370">
        <f t="shared" si="2"/>
        <v>0.02523148148</v>
      </c>
      <c r="C221" s="56">
        <f t="shared" si="3"/>
        <v>2180</v>
      </c>
      <c r="D221" s="56">
        <v>0.0</v>
      </c>
      <c r="F221" s="371">
        <v>218.0</v>
      </c>
      <c r="G221" s="372">
        <f t="shared" si="1"/>
        <v>0</v>
      </c>
    </row>
    <row r="222" ht="15.75" customHeight="1">
      <c r="B222" s="370">
        <f t="shared" si="2"/>
        <v>0.02534722222</v>
      </c>
      <c r="C222" s="56">
        <f t="shared" si="3"/>
        <v>2190</v>
      </c>
      <c r="D222" s="56">
        <v>0.0</v>
      </c>
      <c r="F222" s="371">
        <v>219.0</v>
      </c>
      <c r="G222" s="372">
        <f t="shared" si="1"/>
        <v>0</v>
      </c>
    </row>
    <row r="223" ht="15.75" customHeight="1">
      <c r="B223" s="370">
        <f t="shared" si="2"/>
        <v>0.02546296296</v>
      </c>
      <c r="C223" s="56">
        <f t="shared" si="3"/>
        <v>2200</v>
      </c>
      <c r="D223" s="56">
        <v>0.0</v>
      </c>
      <c r="F223" s="371">
        <v>220.0</v>
      </c>
      <c r="G223" s="372">
        <f t="shared" si="1"/>
        <v>0</v>
      </c>
    </row>
    <row r="224" ht="15.75" customHeight="1">
      <c r="B224" s="370">
        <f t="shared" si="2"/>
        <v>0.0255787037</v>
      </c>
      <c r="C224" s="56">
        <f t="shared" si="3"/>
        <v>2210</v>
      </c>
      <c r="D224" s="56">
        <v>0.0</v>
      </c>
      <c r="F224" s="371">
        <v>221.0</v>
      </c>
      <c r="G224" s="372">
        <f t="shared" si="1"/>
        <v>0</v>
      </c>
    </row>
    <row r="225" ht="15.75" customHeight="1">
      <c r="B225" s="370">
        <f t="shared" si="2"/>
        <v>0.02569444444</v>
      </c>
      <c r="C225" s="56">
        <f t="shared" si="3"/>
        <v>2220</v>
      </c>
      <c r="D225" s="56">
        <v>0.0</v>
      </c>
      <c r="F225" s="371">
        <v>222.0</v>
      </c>
      <c r="G225" s="372">
        <f t="shared" si="1"/>
        <v>0</v>
      </c>
    </row>
    <row r="226" ht="15.75" customHeight="1">
      <c r="B226" s="370">
        <f t="shared" si="2"/>
        <v>0.02581018519</v>
      </c>
      <c r="C226" s="56">
        <f t="shared" si="3"/>
        <v>2230</v>
      </c>
      <c r="D226" s="56">
        <v>0.0</v>
      </c>
      <c r="F226" s="371">
        <v>223.0</v>
      </c>
      <c r="G226" s="372">
        <f t="shared" si="1"/>
        <v>0</v>
      </c>
    </row>
    <row r="227" ht="15.75" customHeight="1">
      <c r="B227" s="370">
        <f t="shared" si="2"/>
        <v>0.02592592593</v>
      </c>
      <c r="C227" s="56">
        <f t="shared" si="3"/>
        <v>2240</v>
      </c>
      <c r="D227" s="56">
        <v>0.0</v>
      </c>
      <c r="F227" s="371">
        <v>224.0</v>
      </c>
      <c r="G227" s="372">
        <f t="shared" si="1"/>
        <v>0</v>
      </c>
    </row>
    <row r="228" ht="15.75" customHeight="1">
      <c r="B228" s="370">
        <f t="shared" si="2"/>
        <v>0.02604166667</v>
      </c>
      <c r="C228" s="56">
        <f t="shared" si="3"/>
        <v>2250</v>
      </c>
      <c r="D228" s="56">
        <v>0.0</v>
      </c>
      <c r="F228" s="371">
        <v>225.0</v>
      </c>
      <c r="G228" s="372">
        <f t="shared" si="1"/>
        <v>0</v>
      </c>
    </row>
    <row r="229" ht="15.75" customHeight="1">
      <c r="B229" s="370">
        <f t="shared" si="2"/>
        <v>0.02615740741</v>
      </c>
      <c r="C229" s="56">
        <f t="shared" si="3"/>
        <v>2260</v>
      </c>
      <c r="D229" s="56">
        <v>0.0</v>
      </c>
      <c r="F229" s="371">
        <v>226.0</v>
      </c>
      <c r="G229" s="372">
        <f t="shared" si="1"/>
        <v>0</v>
      </c>
    </row>
    <row r="230" ht="15.75" customHeight="1">
      <c r="B230" s="370">
        <f t="shared" si="2"/>
        <v>0.02627314815</v>
      </c>
      <c r="C230" s="56">
        <f t="shared" si="3"/>
        <v>2270</v>
      </c>
      <c r="D230" s="56">
        <v>0.0</v>
      </c>
      <c r="F230" s="371">
        <v>227.0</v>
      </c>
      <c r="G230" s="372">
        <f t="shared" si="1"/>
        <v>0</v>
      </c>
    </row>
    <row r="231" ht="15.75" customHeight="1">
      <c r="B231" s="370">
        <f t="shared" si="2"/>
        <v>0.02638888889</v>
      </c>
      <c r="C231" s="56">
        <f t="shared" si="3"/>
        <v>2280</v>
      </c>
      <c r="D231" s="56">
        <v>0.0</v>
      </c>
      <c r="F231" s="371">
        <v>228.0</v>
      </c>
      <c r="G231" s="372">
        <f t="shared" si="1"/>
        <v>0</v>
      </c>
    </row>
    <row r="232" ht="15.75" customHeight="1">
      <c r="B232" s="370">
        <f t="shared" si="2"/>
        <v>0.02650462963</v>
      </c>
      <c r="C232" s="56">
        <f t="shared" si="3"/>
        <v>2290</v>
      </c>
      <c r="D232" s="56">
        <v>0.0</v>
      </c>
      <c r="F232" s="371">
        <v>229.0</v>
      </c>
      <c r="G232" s="372">
        <f t="shared" si="1"/>
        <v>0</v>
      </c>
    </row>
    <row r="233" ht="15.75" customHeight="1">
      <c r="B233" s="370">
        <f t="shared" si="2"/>
        <v>0.02662037037</v>
      </c>
      <c r="C233" s="56">
        <f t="shared" si="3"/>
        <v>2300</v>
      </c>
      <c r="D233" s="56">
        <v>0.0</v>
      </c>
      <c r="F233" s="371">
        <v>230.0</v>
      </c>
      <c r="G233" s="372">
        <f t="shared" si="1"/>
        <v>0</v>
      </c>
    </row>
    <row r="234" ht="15.75" customHeight="1">
      <c r="B234" s="370">
        <f t="shared" si="2"/>
        <v>0.02673611111</v>
      </c>
      <c r="C234" s="56">
        <f t="shared" si="3"/>
        <v>2310</v>
      </c>
      <c r="D234" s="56">
        <v>0.0</v>
      </c>
      <c r="F234" s="371">
        <v>231.0</v>
      </c>
      <c r="G234" s="372">
        <f t="shared" si="1"/>
        <v>0</v>
      </c>
    </row>
    <row r="235" ht="15.75" customHeight="1">
      <c r="B235" s="370">
        <f t="shared" si="2"/>
        <v>0.02685185185</v>
      </c>
      <c r="C235" s="56">
        <f t="shared" si="3"/>
        <v>2320</v>
      </c>
      <c r="D235" s="56">
        <v>0.0</v>
      </c>
      <c r="F235" s="371">
        <v>232.0</v>
      </c>
      <c r="G235" s="372">
        <f t="shared" si="1"/>
        <v>0</v>
      </c>
    </row>
    <row r="236" ht="15.75" customHeight="1">
      <c r="B236" s="370">
        <f t="shared" si="2"/>
        <v>0.02696759259</v>
      </c>
      <c r="C236" s="56">
        <f t="shared" si="3"/>
        <v>2330</v>
      </c>
      <c r="D236" s="56">
        <v>0.0</v>
      </c>
      <c r="F236" s="371">
        <v>233.0</v>
      </c>
      <c r="G236" s="372">
        <f t="shared" si="1"/>
        <v>0</v>
      </c>
    </row>
    <row r="237" ht="15.75" customHeight="1">
      <c r="B237" s="370">
        <f t="shared" si="2"/>
        <v>0.02708333333</v>
      </c>
      <c r="C237" s="56">
        <f t="shared" si="3"/>
        <v>2340</v>
      </c>
      <c r="D237" s="56">
        <v>0.0</v>
      </c>
      <c r="F237" s="371">
        <v>234.0</v>
      </c>
      <c r="G237" s="372">
        <f t="shared" si="1"/>
        <v>0</v>
      </c>
    </row>
    <row r="238" ht="15.75" customHeight="1">
      <c r="B238" s="370">
        <f t="shared" si="2"/>
        <v>0.02719907407</v>
      </c>
      <c r="C238" s="56">
        <f t="shared" si="3"/>
        <v>2350</v>
      </c>
      <c r="D238" s="56">
        <v>0.0</v>
      </c>
      <c r="F238" s="371">
        <v>235.0</v>
      </c>
      <c r="G238" s="372">
        <f t="shared" si="1"/>
        <v>0</v>
      </c>
    </row>
    <row r="239" ht="15.75" customHeight="1">
      <c r="B239" s="370">
        <f t="shared" si="2"/>
        <v>0.02731481481</v>
      </c>
      <c r="C239" s="56">
        <f t="shared" si="3"/>
        <v>2360</v>
      </c>
      <c r="D239" s="56">
        <v>0.0</v>
      </c>
      <c r="F239" s="371">
        <v>236.0</v>
      </c>
      <c r="G239" s="372">
        <f t="shared" si="1"/>
        <v>0</v>
      </c>
    </row>
    <row r="240" ht="15.75" customHeight="1">
      <c r="B240" s="370">
        <f t="shared" si="2"/>
        <v>0.02743055556</v>
      </c>
      <c r="C240" s="56">
        <f t="shared" si="3"/>
        <v>2370</v>
      </c>
      <c r="D240" s="56">
        <v>0.0</v>
      </c>
      <c r="F240" s="371">
        <v>237.0</v>
      </c>
      <c r="G240" s="372">
        <f t="shared" si="1"/>
        <v>0</v>
      </c>
    </row>
    <row r="241" ht="15.75" customHeight="1">
      <c r="B241" s="370">
        <f t="shared" si="2"/>
        <v>0.0275462963</v>
      </c>
      <c r="C241" s="56">
        <f t="shared" si="3"/>
        <v>2380</v>
      </c>
      <c r="D241" s="56">
        <v>0.0</v>
      </c>
      <c r="F241" s="371">
        <v>238.0</v>
      </c>
      <c r="G241" s="372">
        <f t="shared" si="1"/>
        <v>0</v>
      </c>
    </row>
    <row r="242" ht="15.75" customHeight="1">
      <c r="B242" s="370">
        <f t="shared" si="2"/>
        <v>0.02766203704</v>
      </c>
      <c r="C242" s="56">
        <f t="shared" si="3"/>
        <v>2390</v>
      </c>
      <c r="D242" s="56">
        <v>0.0</v>
      </c>
      <c r="F242" s="371">
        <v>239.0</v>
      </c>
      <c r="G242" s="372">
        <f t="shared" si="1"/>
        <v>0</v>
      </c>
    </row>
    <row r="243" ht="15.75" customHeight="1">
      <c r="B243" s="370">
        <f t="shared" si="2"/>
        <v>0.02777777778</v>
      </c>
      <c r="C243" s="56">
        <f t="shared" si="3"/>
        <v>2400</v>
      </c>
      <c r="D243" s="56">
        <v>0.0</v>
      </c>
      <c r="F243" s="371">
        <v>240.0</v>
      </c>
      <c r="G243" s="372">
        <f t="shared" si="1"/>
        <v>0</v>
      </c>
    </row>
    <row r="244" ht="15.75" customHeight="1">
      <c r="B244" s="370">
        <f t="shared" si="2"/>
        <v>0.02789351852</v>
      </c>
      <c r="C244" s="56">
        <f t="shared" si="3"/>
        <v>2410</v>
      </c>
      <c r="D244" s="56">
        <v>0.0</v>
      </c>
      <c r="F244" s="371">
        <v>241.0</v>
      </c>
      <c r="G244" s="372">
        <f t="shared" si="1"/>
        <v>0</v>
      </c>
    </row>
    <row r="245" ht="15.75" customHeight="1">
      <c r="B245" s="370">
        <f t="shared" si="2"/>
        <v>0.02800925926</v>
      </c>
      <c r="C245" s="56">
        <f t="shared" si="3"/>
        <v>2420</v>
      </c>
      <c r="D245" s="56">
        <v>0.0</v>
      </c>
      <c r="F245" s="371">
        <v>242.0</v>
      </c>
      <c r="G245" s="372">
        <f t="shared" si="1"/>
        <v>0</v>
      </c>
    </row>
    <row r="246" ht="15.75" customHeight="1">
      <c r="B246" s="370">
        <f t="shared" si="2"/>
        <v>0.028125</v>
      </c>
      <c r="C246" s="56">
        <f t="shared" si="3"/>
        <v>2430</v>
      </c>
      <c r="D246" s="56">
        <v>0.0</v>
      </c>
      <c r="F246" s="371">
        <v>243.0</v>
      </c>
      <c r="G246" s="372">
        <f t="shared" si="1"/>
        <v>0</v>
      </c>
    </row>
    <row r="247" ht="15.75" customHeight="1">
      <c r="B247" s="370">
        <f t="shared" si="2"/>
        <v>0.02824074074</v>
      </c>
      <c r="C247" s="56">
        <f t="shared" si="3"/>
        <v>2440</v>
      </c>
      <c r="D247" s="56">
        <v>0.0</v>
      </c>
      <c r="F247" s="371">
        <v>244.0</v>
      </c>
      <c r="G247" s="372">
        <f t="shared" si="1"/>
        <v>0</v>
      </c>
    </row>
    <row r="248" ht="15.75" customHeight="1">
      <c r="B248" s="370">
        <f t="shared" si="2"/>
        <v>0.02835648148</v>
      </c>
      <c r="C248" s="56">
        <f t="shared" si="3"/>
        <v>2450</v>
      </c>
      <c r="D248" s="56">
        <v>0.0</v>
      </c>
      <c r="F248" s="371">
        <v>245.0</v>
      </c>
      <c r="G248" s="372">
        <f t="shared" si="1"/>
        <v>0</v>
      </c>
    </row>
    <row r="249" ht="15.75" customHeight="1">
      <c r="B249" s="370">
        <f t="shared" si="2"/>
        <v>0.02847222222</v>
      </c>
      <c r="C249" s="56">
        <f t="shared" si="3"/>
        <v>2460</v>
      </c>
      <c r="D249" s="56">
        <v>0.0</v>
      </c>
      <c r="F249" s="371">
        <v>246.0</v>
      </c>
      <c r="G249" s="372">
        <f t="shared" si="1"/>
        <v>0</v>
      </c>
    </row>
    <row r="250" ht="15.75" customHeight="1">
      <c r="B250" s="370">
        <f t="shared" si="2"/>
        <v>0.02858796296</v>
      </c>
      <c r="C250" s="56">
        <f t="shared" si="3"/>
        <v>2470</v>
      </c>
      <c r="D250" s="56">
        <v>0.0</v>
      </c>
      <c r="F250" s="371">
        <v>247.0</v>
      </c>
      <c r="G250" s="372">
        <f t="shared" si="1"/>
        <v>0</v>
      </c>
    </row>
    <row r="251" ht="15.75" customHeight="1">
      <c r="B251" s="370">
        <f t="shared" si="2"/>
        <v>0.0287037037</v>
      </c>
      <c r="C251" s="56">
        <f t="shared" si="3"/>
        <v>2480</v>
      </c>
      <c r="D251" s="56">
        <v>0.0</v>
      </c>
      <c r="F251" s="371">
        <v>248.0</v>
      </c>
      <c r="G251" s="372">
        <f t="shared" si="1"/>
        <v>0</v>
      </c>
    </row>
    <row r="252" ht="15.75" customHeight="1">
      <c r="B252" s="370">
        <f t="shared" si="2"/>
        <v>0.02881944444</v>
      </c>
      <c r="C252" s="56">
        <f t="shared" si="3"/>
        <v>2490</v>
      </c>
      <c r="D252" s="56">
        <v>0.0</v>
      </c>
      <c r="F252" s="371">
        <v>249.0</v>
      </c>
      <c r="G252" s="372">
        <f t="shared" si="1"/>
        <v>0</v>
      </c>
    </row>
    <row r="253" ht="15.75" customHeight="1">
      <c r="B253" s="370">
        <f t="shared" si="2"/>
        <v>0.02893518519</v>
      </c>
      <c r="C253" s="56">
        <f t="shared" si="3"/>
        <v>2500</v>
      </c>
      <c r="D253" s="56">
        <v>0.0</v>
      </c>
      <c r="F253" s="371">
        <v>250.0</v>
      </c>
      <c r="G253" s="372">
        <f t="shared" si="1"/>
        <v>0</v>
      </c>
    </row>
    <row r="254" ht="15.75" customHeight="1">
      <c r="B254" s="370">
        <f t="shared" si="2"/>
        <v>0.02905092593</v>
      </c>
      <c r="C254" s="56">
        <f t="shared" si="3"/>
        <v>2510</v>
      </c>
      <c r="D254" s="56">
        <v>0.0</v>
      </c>
      <c r="F254" s="371">
        <v>251.0</v>
      </c>
      <c r="G254" s="372">
        <f t="shared" si="1"/>
        <v>0</v>
      </c>
    </row>
    <row r="255" ht="15.75" customHeight="1">
      <c r="B255" s="370">
        <f t="shared" si="2"/>
        <v>0.02916666667</v>
      </c>
      <c r="C255" s="56">
        <f t="shared" si="3"/>
        <v>2520</v>
      </c>
      <c r="D255" s="56">
        <v>0.0</v>
      </c>
      <c r="F255" s="371">
        <v>252.0</v>
      </c>
      <c r="G255" s="372">
        <f t="shared" si="1"/>
        <v>2.551</v>
      </c>
    </row>
    <row r="256" ht="15.75" customHeight="1">
      <c r="B256" s="370">
        <f t="shared" si="2"/>
        <v>0.02928240741</v>
      </c>
      <c r="C256" s="56">
        <f t="shared" si="3"/>
        <v>2530</v>
      </c>
      <c r="D256" s="56">
        <v>0.0</v>
      </c>
      <c r="F256" s="371">
        <v>253.0</v>
      </c>
      <c r="G256" s="372">
        <f t="shared" si="1"/>
        <v>3.006166667</v>
      </c>
    </row>
    <row r="257" ht="15.75" customHeight="1">
      <c r="B257" s="370">
        <f t="shared" si="2"/>
        <v>0.02939814815</v>
      </c>
      <c r="C257" s="56">
        <f t="shared" si="3"/>
        <v>2540</v>
      </c>
      <c r="D257" s="56">
        <v>0.0</v>
      </c>
      <c r="F257" s="371">
        <v>254.0</v>
      </c>
      <c r="G257" s="372">
        <f t="shared" si="1"/>
        <v>2.690333333</v>
      </c>
    </row>
    <row r="258" ht="15.75" customHeight="1">
      <c r="B258" s="370">
        <f t="shared" si="2"/>
        <v>0.02951388889</v>
      </c>
      <c r="C258" s="56">
        <f t="shared" si="3"/>
        <v>2550</v>
      </c>
      <c r="D258" s="56">
        <v>0.0</v>
      </c>
      <c r="F258" s="371">
        <v>255.0</v>
      </c>
      <c r="G258" s="372">
        <f t="shared" si="1"/>
        <v>2.9955</v>
      </c>
    </row>
    <row r="259" ht="15.75" customHeight="1">
      <c r="B259" s="370">
        <f t="shared" si="2"/>
        <v>0.02962962963</v>
      </c>
      <c r="C259" s="56">
        <f t="shared" si="3"/>
        <v>2560</v>
      </c>
      <c r="D259" s="56">
        <v>0.0</v>
      </c>
      <c r="F259" s="371">
        <v>256.0</v>
      </c>
      <c r="G259" s="372">
        <f t="shared" si="1"/>
        <v>2.966833333</v>
      </c>
    </row>
    <row r="260" ht="15.75" customHeight="1">
      <c r="B260" s="370">
        <f t="shared" si="2"/>
        <v>0.02974537037</v>
      </c>
      <c r="C260" s="56">
        <f t="shared" si="3"/>
        <v>2570</v>
      </c>
      <c r="D260" s="56">
        <v>0.0</v>
      </c>
      <c r="F260" s="371">
        <v>257.0</v>
      </c>
      <c r="G260" s="372">
        <f t="shared" si="1"/>
        <v>2.733833333</v>
      </c>
    </row>
    <row r="261" ht="15.75" customHeight="1">
      <c r="B261" s="370">
        <f t="shared" si="2"/>
        <v>0.02986111111</v>
      </c>
      <c r="C261" s="56">
        <f t="shared" si="3"/>
        <v>2580</v>
      </c>
      <c r="D261" s="56">
        <v>0.0</v>
      </c>
      <c r="F261" s="371">
        <v>258.0</v>
      </c>
      <c r="G261" s="372">
        <f t="shared" si="1"/>
        <v>3.133</v>
      </c>
    </row>
    <row r="262" ht="15.75" customHeight="1">
      <c r="B262" s="370">
        <f t="shared" si="2"/>
        <v>0.02997685185</v>
      </c>
      <c r="C262" s="56">
        <f t="shared" si="3"/>
        <v>2590</v>
      </c>
      <c r="D262" s="56">
        <v>0.0</v>
      </c>
      <c r="F262" s="371">
        <v>259.0</v>
      </c>
      <c r="G262" s="372">
        <f t="shared" si="1"/>
        <v>2.637666667</v>
      </c>
    </row>
    <row r="263" ht="15.75" customHeight="1">
      <c r="B263" s="370">
        <f t="shared" si="2"/>
        <v>0.03009259259</v>
      </c>
      <c r="C263" s="56">
        <f t="shared" si="3"/>
        <v>2600</v>
      </c>
      <c r="D263" s="56">
        <v>0.0</v>
      </c>
      <c r="F263" s="371">
        <v>260.0</v>
      </c>
      <c r="G263" s="372">
        <f t="shared" si="1"/>
        <v>2.934666667</v>
      </c>
    </row>
    <row r="264" ht="15.75" customHeight="1">
      <c r="B264" s="370">
        <f t="shared" si="2"/>
        <v>0.03020833333</v>
      </c>
      <c r="C264" s="56">
        <f t="shared" si="3"/>
        <v>2610</v>
      </c>
      <c r="D264" s="56">
        <v>0.0</v>
      </c>
      <c r="F264" s="371">
        <v>261.0</v>
      </c>
      <c r="G264" s="372">
        <f t="shared" si="1"/>
        <v>2.897833333</v>
      </c>
    </row>
    <row r="265" ht="15.75" customHeight="1">
      <c r="B265" s="370">
        <f t="shared" si="2"/>
        <v>0.03032407407</v>
      </c>
      <c r="C265" s="56">
        <f t="shared" si="3"/>
        <v>2620</v>
      </c>
      <c r="D265" s="56">
        <v>0.0</v>
      </c>
      <c r="F265" s="371">
        <v>262.0</v>
      </c>
      <c r="G265" s="372">
        <f t="shared" si="1"/>
        <v>2.669333333</v>
      </c>
    </row>
    <row r="266" ht="15.75" customHeight="1">
      <c r="B266" s="370">
        <f t="shared" si="2"/>
        <v>0.03043981481</v>
      </c>
      <c r="C266" s="56">
        <f t="shared" si="3"/>
        <v>2630</v>
      </c>
      <c r="D266" s="56">
        <v>0.0</v>
      </c>
      <c r="F266" s="371">
        <v>263.0</v>
      </c>
      <c r="G266" s="372">
        <f t="shared" si="1"/>
        <v>3.159333333</v>
      </c>
    </row>
    <row r="267" ht="15.75" customHeight="1">
      <c r="B267" s="370">
        <f t="shared" si="2"/>
        <v>0.03055555556</v>
      </c>
      <c r="C267" s="56">
        <f t="shared" si="3"/>
        <v>2640</v>
      </c>
      <c r="D267" s="56">
        <v>0.0</v>
      </c>
      <c r="F267" s="371">
        <v>264.0</v>
      </c>
      <c r="G267" s="372">
        <f t="shared" si="1"/>
        <v>2.678</v>
      </c>
    </row>
    <row r="268" ht="15.75" customHeight="1">
      <c r="B268" s="370">
        <f t="shared" si="2"/>
        <v>0.0306712963</v>
      </c>
      <c r="C268" s="56">
        <f t="shared" si="3"/>
        <v>2650</v>
      </c>
      <c r="D268" s="56">
        <v>0.0</v>
      </c>
      <c r="F268" s="371">
        <v>265.0</v>
      </c>
      <c r="G268" s="372">
        <f t="shared" si="1"/>
        <v>3.016833333</v>
      </c>
    </row>
    <row r="269" ht="15.75" customHeight="1">
      <c r="B269" s="370">
        <f t="shared" si="2"/>
        <v>0.03078703704</v>
      </c>
      <c r="C269" s="56">
        <f t="shared" si="3"/>
        <v>2660</v>
      </c>
      <c r="D269" s="56">
        <v>0.0</v>
      </c>
      <c r="F269" s="371">
        <v>266.0</v>
      </c>
      <c r="G269" s="372">
        <f t="shared" si="1"/>
        <v>2.930666667</v>
      </c>
    </row>
    <row r="270" ht="15.75" customHeight="1">
      <c r="B270" s="370">
        <f t="shared" si="2"/>
        <v>0.03090277778</v>
      </c>
      <c r="C270" s="56">
        <f t="shared" si="3"/>
        <v>2670</v>
      </c>
      <c r="D270" s="56">
        <v>0.0</v>
      </c>
      <c r="F270" s="371">
        <v>267.0</v>
      </c>
      <c r="G270" s="372">
        <f t="shared" si="1"/>
        <v>2.737333333</v>
      </c>
    </row>
    <row r="271" ht="15.75" customHeight="1">
      <c r="B271" s="370">
        <f t="shared" si="2"/>
        <v>0.03101851852</v>
      </c>
      <c r="C271" s="56">
        <f t="shared" si="3"/>
        <v>2680</v>
      </c>
      <c r="D271" s="56">
        <v>0.0</v>
      </c>
      <c r="F271" s="371">
        <v>268.0</v>
      </c>
      <c r="G271" s="372">
        <f t="shared" si="1"/>
        <v>2.998166667</v>
      </c>
    </row>
    <row r="272" ht="15.75" customHeight="1">
      <c r="B272" s="370">
        <f t="shared" si="2"/>
        <v>0.03113425926</v>
      </c>
      <c r="C272" s="56">
        <f t="shared" si="3"/>
        <v>2690</v>
      </c>
      <c r="D272" s="56">
        <v>0.0</v>
      </c>
      <c r="F272" s="371">
        <v>269.0</v>
      </c>
      <c r="G272" s="372">
        <f t="shared" si="1"/>
        <v>2.657166667</v>
      </c>
    </row>
    <row r="273" ht="15.75" customHeight="1">
      <c r="B273" s="370">
        <f t="shared" si="2"/>
        <v>0.03125</v>
      </c>
      <c r="C273" s="56">
        <f t="shared" si="3"/>
        <v>2700</v>
      </c>
      <c r="D273" s="56">
        <v>0.0</v>
      </c>
      <c r="F273" s="371">
        <v>270.0</v>
      </c>
      <c r="G273" s="372">
        <f t="shared" si="1"/>
        <v>2.967333333</v>
      </c>
    </row>
    <row r="274" ht="15.75" customHeight="1">
      <c r="B274" s="370">
        <f t="shared" si="2"/>
        <v>0.03136574074</v>
      </c>
      <c r="C274" s="56">
        <f t="shared" si="3"/>
        <v>2710</v>
      </c>
      <c r="D274" s="56">
        <v>0.0</v>
      </c>
      <c r="F274" s="371">
        <v>271.0</v>
      </c>
      <c r="G274" s="372">
        <f t="shared" si="1"/>
        <v>2.869833333</v>
      </c>
    </row>
    <row r="275" ht="15.75" customHeight="1">
      <c r="B275" s="370">
        <f t="shared" si="2"/>
        <v>0.03148148148</v>
      </c>
      <c r="C275" s="56">
        <f t="shared" si="3"/>
        <v>2720</v>
      </c>
      <c r="D275" s="56">
        <v>0.0</v>
      </c>
      <c r="F275" s="371">
        <v>272.0</v>
      </c>
      <c r="G275" s="372">
        <f t="shared" si="1"/>
        <v>2.6975</v>
      </c>
    </row>
    <row r="276" ht="15.75" customHeight="1">
      <c r="B276" s="370">
        <f t="shared" si="2"/>
        <v>0.03159722222</v>
      </c>
      <c r="C276" s="56">
        <f t="shared" si="3"/>
        <v>2730</v>
      </c>
      <c r="D276" s="56">
        <v>0.0</v>
      </c>
      <c r="F276" s="371">
        <v>273.0</v>
      </c>
      <c r="G276" s="372">
        <f t="shared" si="1"/>
        <v>3.247333333</v>
      </c>
    </row>
    <row r="277" ht="15.75" customHeight="1">
      <c r="B277" s="370">
        <f t="shared" si="2"/>
        <v>0.03171296296</v>
      </c>
      <c r="C277" s="56">
        <f t="shared" si="3"/>
        <v>2740</v>
      </c>
      <c r="D277" s="56">
        <v>0.0</v>
      </c>
      <c r="F277" s="371">
        <v>274.0</v>
      </c>
      <c r="G277" s="372">
        <f t="shared" si="1"/>
        <v>2.655166667</v>
      </c>
    </row>
    <row r="278" ht="15.75" customHeight="1">
      <c r="B278" s="370">
        <f t="shared" si="2"/>
        <v>0.0318287037</v>
      </c>
      <c r="C278" s="56">
        <f t="shared" si="3"/>
        <v>2750</v>
      </c>
      <c r="D278" s="56">
        <v>0.0</v>
      </c>
      <c r="F278" s="371">
        <v>275.0</v>
      </c>
      <c r="G278" s="372">
        <f t="shared" si="1"/>
        <v>2.89</v>
      </c>
    </row>
    <row r="279" ht="15.75" customHeight="1">
      <c r="B279" s="370">
        <f t="shared" si="2"/>
        <v>0.03194444444</v>
      </c>
      <c r="C279" s="56">
        <f t="shared" si="3"/>
        <v>2760</v>
      </c>
      <c r="D279" s="56">
        <v>0.0</v>
      </c>
      <c r="F279" s="371">
        <v>276.0</v>
      </c>
      <c r="G279" s="372">
        <f t="shared" si="1"/>
        <v>2.913333333</v>
      </c>
    </row>
    <row r="280" ht="15.75" customHeight="1">
      <c r="B280" s="370">
        <f t="shared" si="2"/>
        <v>0.03206018519</v>
      </c>
      <c r="C280" s="56">
        <f t="shared" si="3"/>
        <v>2770</v>
      </c>
      <c r="D280" s="56">
        <v>0.0</v>
      </c>
      <c r="F280" s="371">
        <v>277.0</v>
      </c>
      <c r="G280" s="372">
        <f t="shared" si="1"/>
        <v>2.693666667</v>
      </c>
    </row>
    <row r="281" ht="15.75" customHeight="1">
      <c r="B281" s="370">
        <f t="shared" si="2"/>
        <v>0.03217592593</v>
      </c>
      <c r="C281" s="56">
        <f t="shared" si="3"/>
        <v>2780</v>
      </c>
      <c r="D281" s="56">
        <v>0.0</v>
      </c>
      <c r="F281" s="371">
        <v>278.0</v>
      </c>
      <c r="G281" s="372">
        <f t="shared" si="1"/>
        <v>3.038</v>
      </c>
    </row>
    <row r="282" ht="15.75" customHeight="1">
      <c r="B282" s="370">
        <f t="shared" si="2"/>
        <v>0.03229166667</v>
      </c>
      <c r="C282" s="56">
        <f t="shared" si="3"/>
        <v>2790</v>
      </c>
      <c r="D282" s="56">
        <v>0.0</v>
      </c>
      <c r="F282" s="371">
        <v>279.0</v>
      </c>
      <c r="G282" s="372">
        <f t="shared" si="1"/>
        <v>2.6845</v>
      </c>
    </row>
    <row r="283" ht="15.75" customHeight="1">
      <c r="B283" s="370">
        <f t="shared" si="2"/>
        <v>0.03240740741</v>
      </c>
      <c r="C283" s="56">
        <f t="shared" si="3"/>
        <v>2800</v>
      </c>
      <c r="D283" s="56">
        <v>0.0</v>
      </c>
      <c r="F283" s="371">
        <v>280.0</v>
      </c>
      <c r="G283" s="372">
        <f t="shared" si="1"/>
        <v>3.008</v>
      </c>
    </row>
    <row r="284" ht="15.75" customHeight="1">
      <c r="B284" s="370">
        <f t="shared" si="2"/>
        <v>0.03252314815</v>
      </c>
      <c r="C284" s="56">
        <f t="shared" si="3"/>
        <v>2810</v>
      </c>
      <c r="D284" s="56">
        <v>0.0</v>
      </c>
      <c r="F284" s="371">
        <v>281.0</v>
      </c>
      <c r="G284" s="372">
        <f t="shared" si="1"/>
        <v>2.967666667</v>
      </c>
    </row>
    <row r="285" ht="15.75" customHeight="1">
      <c r="B285" s="370">
        <f t="shared" si="2"/>
        <v>0.03263888889</v>
      </c>
      <c r="C285" s="56">
        <f t="shared" si="3"/>
        <v>2820</v>
      </c>
      <c r="D285" s="56">
        <v>0.0</v>
      </c>
      <c r="F285" s="371">
        <v>282.0</v>
      </c>
      <c r="G285" s="372">
        <f t="shared" si="1"/>
        <v>2.7345</v>
      </c>
    </row>
    <row r="286" ht="15.75" customHeight="1">
      <c r="B286" s="370">
        <f t="shared" si="2"/>
        <v>0.03275462963</v>
      </c>
      <c r="C286" s="56">
        <f t="shared" si="3"/>
        <v>2830</v>
      </c>
      <c r="D286" s="56">
        <v>0.0</v>
      </c>
      <c r="F286" s="371">
        <v>283.0</v>
      </c>
      <c r="G286" s="372">
        <f t="shared" si="1"/>
        <v>3.118833333</v>
      </c>
    </row>
    <row r="287" ht="15.75" customHeight="1">
      <c r="B287" s="370">
        <f t="shared" si="2"/>
        <v>0.03287037037</v>
      </c>
      <c r="C287" s="56">
        <f t="shared" si="3"/>
        <v>2840</v>
      </c>
      <c r="D287" s="56">
        <v>0.0</v>
      </c>
      <c r="F287" s="371">
        <v>284.0</v>
      </c>
      <c r="G287" s="372">
        <f t="shared" si="1"/>
        <v>2.639333333</v>
      </c>
    </row>
    <row r="288" ht="15.75" customHeight="1">
      <c r="B288" s="370">
        <f t="shared" si="2"/>
        <v>0.03298611111</v>
      </c>
      <c r="C288" s="56">
        <f t="shared" si="3"/>
        <v>2850</v>
      </c>
      <c r="D288" s="56">
        <v>0.0</v>
      </c>
      <c r="F288" s="371">
        <v>285.0</v>
      </c>
      <c r="G288" s="372">
        <f t="shared" si="1"/>
        <v>2.9275</v>
      </c>
    </row>
    <row r="289" ht="15.75" customHeight="1">
      <c r="B289" s="370">
        <f t="shared" si="2"/>
        <v>0.03310185185</v>
      </c>
      <c r="C289" s="56">
        <f t="shared" si="3"/>
        <v>2860</v>
      </c>
      <c r="D289" s="56">
        <v>0.0</v>
      </c>
      <c r="F289" s="371">
        <v>286.0</v>
      </c>
      <c r="G289" s="372">
        <f t="shared" si="1"/>
        <v>2.883166667</v>
      </c>
    </row>
    <row r="290" ht="15.75" customHeight="1">
      <c r="B290" s="370">
        <f t="shared" si="2"/>
        <v>0.03321759259</v>
      </c>
      <c r="C290" s="56">
        <f t="shared" si="3"/>
        <v>2870</v>
      </c>
      <c r="D290" s="56">
        <v>0.0</v>
      </c>
      <c r="F290" s="371">
        <v>287.0</v>
      </c>
      <c r="G290" s="372">
        <f t="shared" si="1"/>
        <v>2.6705</v>
      </c>
    </row>
    <row r="291" ht="15.75" customHeight="1">
      <c r="B291" s="370">
        <f t="shared" si="2"/>
        <v>0.03333333333</v>
      </c>
      <c r="C291" s="56">
        <f t="shared" si="3"/>
        <v>2880</v>
      </c>
      <c r="D291" s="56">
        <v>0.0</v>
      </c>
      <c r="F291" s="371">
        <v>288.0</v>
      </c>
      <c r="G291" s="372">
        <f t="shared" si="1"/>
        <v>3.1985</v>
      </c>
    </row>
    <row r="292" ht="15.75" customHeight="1">
      <c r="B292" s="370">
        <f t="shared" si="2"/>
        <v>0.03344907407</v>
      </c>
      <c r="C292" s="56">
        <f t="shared" si="3"/>
        <v>2890</v>
      </c>
      <c r="D292" s="56">
        <v>0.0</v>
      </c>
      <c r="F292" s="371">
        <v>289.0</v>
      </c>
      <c r="G292" s="372">
        <f t="shared" si="1"/>
        <v>2.680833333</v>
      </c>
    </row>
    <row r="293" ht="15.75" customHeight="1">
      <c r="B293" s="370">
        <f t="shared" si="2"/>
        <v>0.03356481481</v>
      </c>
      <c r="C293" s="56">
        <f t="shared" si="3"/>
        <v>2900</v>
      </c>
      <c r="D293" s="56">
        <v>0.0</v>
      </c>
      <c r="F293" s="371">
        <v>290.0</v>
      </c>
      <c r="G293" s="372">
        <f t="shared" si="1"/>
        <v>2.993</v>
      </c>
    </row>
    <row r="294" ht="15.75" customHeight="1">
      <c r="B294" s="370">
        <f t="shared" si="2"/>
        <v>0.03368055556</v>
      </c>
      <c r="C294" s="56">
        <f t="shared" si="3"/>
        <v>2910</v>
      </c>
      <c r="D294" s="56">
        <v>0.0</v>
      </c>
      <c r="F294" s="371">
        <v>291.0</v>
      </c>
      <c r="G294" s="372">
        <f t="shared" si="1"/>
        <v>2.9215</v>
      </c>
    </row>
    <row r="295" ht="15.75" customHeight="1">
      <c r="B295" s="370">
        <f t="shared" si="2"/>
        <v>0.0337962963</v>
      </c>
      <c r="C295" s="56">
        <f t="shared" si="3"/>
        <v>2920</v>
      </c>
      <c r="D295" s="56">
        <v>0.0</v>
      </c>
      <c r="F295" s="371">
        <v>292.0</v>
      </c>
      <c r="G295" s="372">
        <f t="shared" si="1"/>
        <v>2.726</v>
      </c>
    </row>
    <row r="296" ht="15.75" customHeight="1">
      <c r="B296" s="370">
        <f t="shared" si="2"/>
        <v>0.03391203704</v>
      </c>
      <c r="C296" s="56">
        <f t="shared" si="3"/>
        <v>2930</v>
      </c>
      <c r="D296" s="56">
        <v>0.0</v>
      </c>
      <c r="F296" s="371">
        <v>293.0</v>
      </c>
      <c r="G296" s="372">
        <f t="shared" si="1"/>
        <v>2.9765</v>
      </c>
    </row>
    <row r="297" ht="15.75" customHeight="1">
      <c r="B297" s="370">
        <f t="shared" si="2"/>
        <v>0.03402777778</v>
      </c>
      <c r="C297" s="56">
        <f t="shared" si="3"/>
        <v>2940</v>
      </c>
      <c r="D297" s="56">
        <v>0.0</v>
      </c>
      <c r="F297" s="371">
        <v>294.0</v>
      </c>
      <c r="G297" s="372">
        <f t="shared" si="1"/>
        <v>2.668666667</v>
      </c>
    </row>
    <row r="298" ht="15.75" customHeight="1">
      <c r="B298" s="370">
        <f t="shared" si="2"/>
        <v>0.03414351852</v>
      </c>
      <c r="C298" s="56">
        <f t="shared" si="3"/>
        <v>2950</v>
      </c>
      <c r="D298" s="56">
        <v>0.0</v>
      </c>
      <c r="F298" s="371">
        <v>295.0</v>
      </c>
      <c r="G298" s="372">
        <f t="shared" si="1"/>
        <v>2.9675</v>
      </c>
    </row>
    <row r="299" ht="15.75" customHeight="1">
      <c r="B299" s="370">
        <f t="shared" si="2"/>
        <v>0.03425925926</v>
      </c>
      <c r="C299" s="56">
        <f t="shared" si="3"/>
        <v>2960</v>
      </c>
      <c r="D299" s="56">
        <v>0.0</v>
      </c>
      <c r="F299" s="371">
        <v>296.0</v>
      </c>
      <c r="G299" s="372">
        <f t="shared" si="1"/>
        <v>2.887833333</v>
      </c>
    </row>
    <row r="300" ht="15.75" customHeight="1">
      <c r="B300" s="370">
        <f t="shared" si="2"/>
        <v>0.034375</v>
      </c>
      <c r="C300" s="56">
        <f t="shared" si="3"/>
        <v>2970</v>
      </c>
      <c r="D300" s="56">
        <v>0.0</v>
      </c>
      <c r="F300" s="371">
        <v>297.0</v>
      </c>
      <c r="G300" s="372">
        <f t="shared" si="1"/>
        <v>2.705</v>
      </c>
    </row>
    <row r="301" ht="15.75" customHeight="1">
      <c r="B301" s="370">
        <f t="shared" si="2"/>
        <v>0.03449074074</v>
      </c>
      <c r="C301" s="56">
        <f t="shared" si="3"/>
        <v>2980</v>
      </c>
      <c r="D301" s="56">
        <v>0.0</v>
      </c>
      <c r="F301" s="371">
        <v>298.0</v>
      </c>
      <c r="G301" s="372">
        <f t="shared" si="1"/>
        <v>3.231666667</v>
      </c>
    </row>
    <row r="302" ht="15.75" customHeight="1">
      <c r="B302" s="370">
        <f t="shared" si="2"/>
        <v>0.03460648148</v>
      </c>
      <c r="C302" s="56">
        <f t="shared" si="3"/>
        <v>2990</v>
      </c>
      <c r="D302" s="56">
        <v>0.0</v>
      </c>
      <c r="F302" s="371">
        <v>299.0</v>
      </c>
      <c r="G302" s="372">
        <f t="shared" si="1"/>
        <v>2.658666667</v>
      </c>
    </row>
    <row r="303" ht="15.75" customHeight="1">
      <c r="B303" s="370">
        <f t="shared" si="2"/>
        <v>0.03472222222</v>
      </c>
      <c r="C303" s="56">
        <f t="shared" si="3"/>
        <v>3000</v>
      </c>
      <c r="D303" s="56">
        <v>0.0</v>
      </c>
      <c r="F303" s="371">
        <v>300.0</v>
      </c>
      <c r="G303" s="372">
        <f t="shared" si="1"/>
        <v>2.882833333</v>
      </c>
    </row>
    <row r="304" ht="15.75" customHeight="1">
      <c r="B304" s="370">
        <f t="shared" si="2"/>
        <v>0.03483796296</v>
      </c>
      <c r="C304" s="56">
        <f t="shared" si="3"/>
        <v>3010</v>
      </c>
      <c r="D304" s="56">
        <v>0.0</v>
      </c>
      <c r="F304" s="371">
        <v>301.0</v>
      </c>
      <c r="G304" s="372">
        <f t="shared" si="1"/>
        <v>2.9025</v>
      </c>
    </row>
    <row r="305" ht="15.75" customHeight="1">
      <c r="B305" s="370">
        <f t="shared" si="2"/>
        <v>0.0349537037</v>
      </c>
      <c r="C305" s="56">
        <f t="shared" si="3"/>
        <v>3020</v>
      </c>
      <c r="D305" s="56">
        <v>0.0</v>
      </c>
      <c r="F305" s="371">
        <v>302.0</v>
      </c>
      <c r="G305" s="372">
        <f t="shared" si="1"/>
        <v>2.677833333</v>
      </c>
    </row>
    <row r="306" ht="15.75" customHeight="1">
      <c r="B306" s="370">
        <f t="shared" si="2"/>
        <v>0.03506944444</v>
      </c>
      <c r="C306" s="56">
        <f t="shared" si="3"/>
        <v>3030</v>
      </c>
      <c r="D306" s="56">
        <v>0.0</v>
      </c>
      <c r="F306" s="371">
        <v>303.0</v>
      </c>
      <c r="G306" s="372">
        <f t="shared" si="1"/>
        <v>3.074833333</v>
      </c>
    </row>
    <row r="307" ht="15.75" customHeight="1">
      <c r="B307" s="370">
        <f t="shared" si="2"/>
        <v>0.03518518519</v>
      </c>
      <c r="C307" s="56">
        <f t="shared" si="3"/>
        <v>3040</v>
      </c>
      <c r="D307" s="56">
        <v>0.0</v>
      </c>
      <c r="F307" s="371">
        <v>304.0</v>
      </c>
      <c r="G307" s="372">
        <f t="shared" si="1"/>
        <v>2.697</v>
      </c>
    </row>
    <row r="308" ht="15.75" customHeight="1">
      <c r="B308" s="370">
        <f t="shared" si="2"/>
        <v>0.03530092593</v>
      </c>
      <c r="C308" s="56">
        <f t="shared" si="3"/>
        <v>3050</v>
      </c>
      <c r="D308" s="56">
        <v>0.0</v>
      </c>
      <c r="F308" s="371">
        <v>305.0</v>
      </c>
      <c r="G308" s="372">
        <f t="shared" si="1"/>
        <v>3.029333333</v>
      </c>
    </row>
    <row r="309" ht="15.75" customHeight="1">
      <c r="B309" s="370">
        <f t="shared" si="2"/>
        <v>0.03541666667</v>
      </c>
      <c r="C309" s="56">
        <f t="shared" si="3"/>
        <v>3060</v>
      </c>
      <c r="D309" s="56">
        <v>0.0</v>
      </c>
      <c r="F309" s="371">
        <v>306.0</v>
      </c>
      <c r="G309" s="372">
        <f t="shared" si="1"/>
        <v>2.959</v>
      </c>
    </row>
    <row r="310" ht="15.75" customHeight="1">
      <c r="B310" s="370">
        <f t="shared" si="2"/>
        <v>0.03553240741</v>
      </c>
      <c r="C310" s="56">
        <f t="shared" si="3"/>
        <v>3070</v>
      </c>
      <c r="D310" s="56">
        <v>0.0</v>
      </c>
      <c r="F310" s="371">
        <v>307.0</v>
      </c>
      <c r="G310" s="372">
        <f t="shared" si="1"/>
        <v>2.7245</v>
      </c>
    </row>
    <row r="311" ht="15.75" customHeight="1">
      <c r="B311" s="370">
        <f t="shared" si="2"/>
        <v>0.03564814815</v>
      </c>
      <c r="C311" s="56">
        <f t="shared" si="3"/>
        <v>3080</v>
      </c>
      <c r="D311" s="56">
        <v>0.0</v>
      </c>
      <c r="F311" s="371">
        <v>308.0</v>
      </c>
      <c r="G311" s="372">
        <f t="shared" si="1"/>
        <v>3.095333333</v>
      </c>
    </row>
    <row r="312" ht="15.75" customHeight="1">
      <c r="B312" s="370">
        <f t="shared" si="2"/>
        <v>0.03576388889</v>
      </c>
      <c r="C312" s="56">
        <f t="shared" si="3"/>
        <v>3090</v>
      </c>
      <c r="D312" s="56">
        <v>0.0</v>
      </c>
      <c r="F312" s="371">
        <v>309.0</v>
      </c>
      <c r="G312" s="372">
        <f t="shared" si="1"/>
        <v>2.630333333</v>
      </c>
    </row>
    <row r="313" ht="15.75" customHeight="1">
      <c r="B313" s="370">
        <f t="shared" si="2"/>
        <v>0.03587962963</v>
      </c>
      <c r="C313" s="56">
        <f t="shared" si="3"/>
        <v>3100</v>
      </c>
      <c r="D313" s="56">
        <v>0.0</v>
      </c>
      <c r="F313" s="371">
        <v>310.0</v>
      </c>
      <c r="G313" s="372">
        <f t="shared" si="1"/>
        <v>0.671</v>
      </c>
    </row>
    <row r="314" ht="15.75" customHeight="1">
      <c r="B314" s="370">
        <f t="shared" si="2"/>
        <v>0.03599537037</v>
      </c>
      <c r="C314" s="56">
        <f t="shared" si="3"/>
        <v>3110</v>
      </c>
      <c r="D314" s="56">
        <v>0.0</v>
      </c>
      <c r="F314" s="371">
        <v>311.0</v>
      </c>
      <c r="G314" s="372">
        <f t="shared" si="1"/>
        <v>0</v>
      </c>
    </row>
    <row r="315" ht="15.75" customHeight="1">
      <c r="B315" s="370">
        <f t="shared" si="2"/>
        <v>0.03611111111</v>
      </c>
      <c r="C315" s="56">
        <f t="shared" si="3"/>
        <v>3120</v>
      </c>
      <c r="D315" s="56">
        <v>0.0</v>
      </c>
      <c r="F315" s="371">
        <v>312.0</v>
      </c>
      <c r="G315" s="372">
        <f t="shared" si="1"/>
        <v>0</v>
      </c>
    </row>
    <row r="316" ht="15.75" customHeight="1">
      <c r="B316" s="370">
        <f t="shared" si="2"/>
        <v>0.03622685185</v>
      </c>
      <c r="C316" s="56">
        <f t="shared" si="3"/>
        <v>3130</v>
      </c>
      <c r="D316" s="56">
        <v>0.0</v>
      </c>
      <c r="F316" s="371">
        <v>313.0</v>
      </c>
      <c r="G316" s="372">
        <f t="shared" si="1"/>
        <v>0</v>
      </c>
    </row>
    <row r="317" ht="15.75" customHeight="1">
      <c r="B317" s="370">
        <f t="shared" si="2"/>
        <v>0.03634259259</v>
      </c>
      <c r="C317" s="56">
        <f t="shared" si="3"/>
        <v>3140</v>
      </c>
      <c r="D317" s="56">
        <v>0.0</v>
      </c>
      <c r="F317" s="371">
        <v>314.0</v>
      </c>
      <c r="G317" s="372">
        <f t="shared" si="1"/>
        <v>0</v>
      </c>
    </row>
    <row r="318" ht="15.75" customHeight="1">
      <c r="B318" s="370">
        <f t="shared" si="2"/>
        <v>0.03645833333</v>
      </c>
      <c r="C318" s="56">
        <f t="shared" si="3"/>
        <v>3150</v>
      </c>
      <c r="D318" s="56">
        <v>0.0</v>
      </c>
      <c r="F318" s="371">
        <v>315.0</v>
      </c>
      <c r="G318" s="372">
        <f t="shared" si="1"/>
        <v>0</v>
      </c>
    </row>
    <row r="319" ht="15.75" customHeight="1">
      <c r="B319" s="370">
        <f t="shared" si="2"/>
        <v>0.03657407407</v>
      </c>
      <c r="C319" s="56">
        <f t="shared" si="3"/>
        <v>3160</v>
      </c>
      <c r="D319" s="56">
        <v>0.0</v>
      </c>
      <c r="F319" s="371">
        <v>316.0</v>
      </c>
      <c r="G319" s="372">
        <f t="shared" si="1"/>
        <v>0</v>
      </c>
    </row>
    <row r="320" ht="15.75" customHeight="1">
      <c r="B320" s="370">
        <f t="shared" si="2"/>
        <v>0.03668981481</v>
      </c>
      <c r="C320" s="56">
        <f t="shared" si="3"/>
        <v>3170</v>
      </c>
      <c r="D320" s="56">
        <v>0.0</v>
      </c>
      <c r="F320" s="371">
        <v>317.0</v>
      </c>
      <c r="G320" s="372">
        <f t="shared" si="1"/>
        <v>0</v>
      </c>
    </row>
    <row r="321" ht="15.75" customHeight="1">
      <c r="B321" s="370">
        <f t="shared" si="2"/>
        <v>0.03680555556</v>
      </c>
      <c r="C321" s="56">
        <f t="shared" si="3"/>
        <v>3180</v>
      </c>
      <c r="D321" s="56">
        <v>0.0</v>
      </c>
      <c r="F321" s="371">
        <v>318.0</v>
      </c>
      <c r="G321" s="372">
        <f t="shared" si="1"/>
        <v>0</v>
      </c>
    </row>
    <row r="322" ht="15.75" customHeight="1">
      <c r="B322" s="370">
        <f t="shared" si="2"/>
        <v>0.0369212963</v>
      </c>
      <c r="C322" s="56">
        <f t="shared" si="3"/>
        <v>3190</v>
      </c>
      <c r="D322" s="56">
        <v>0.0</v>
      </c>
      <c r="F322" s="371">
        <v>319.0</v>
      </c>
      <c r="G322" s="372">
        <f t="shared" si="1"/>
        <v>0</v>
      </c>
    </row>
    <row r="323" ht="15.75" customHeight="1">
      <c r="B323" s="370">
        <f t="shared" si="2"/>
        <v>0.03703703704</v>
      </c>
      <c r="C323" s="56">
        <f t="shared" si="3"/>
        <v>3200</v>
      </c>
      <c r="D323" s="56">
        <v>0.0</v>
      </c>
      <c r="F323" s="371">
        <v>320.0</v>
      </c>
      <c r="G323" s="372">
        <f t="shared" si="1"/>
        <v>0</v>
      </c>
    </row>
    <row r="324" ht="15.75" customHeight="1">
      <c r="B324" s="370">
        <f t="shared" si="2"/>
        <v>0.03715277778</v>
      </c>
      <c r="C324" s="56">
        <f t="shared" si="3"/>
        <v>3210</v>
      </c>
      <c r="D324" s="56">
        <v>0.0</v>
      </c>
      <c r="F324" s="371">
        <v>321.0</v>
      </c>
      <c r="G324" s="372">
        <f t="shared" si="1"/>
        <v>0</v>
      </c>
    </row>
    <row r="325" ht="15.75" customHeight="1">
      <c r="B325" s="370">
        <f t="shared" si="2"/>
        <v>0.03726851852</v>
      </c>
      <c r="C325" s="56">
        <f t="shared" si="3"/>
        <v>3220</v>
      </c>
      <c r="D325" s="56">
        <v>0.0</v>
      </c>
      <c r="F325" s="371">
        <v>322.0</v>
      </c>
      <c r="G325" s="372">
        <f t="shared" si="1"/>
        <v>0</v>
      </c>
    </row>
    <row r="326" ht="15.75" customHeight="1">
      <c r="B326" s="370">
        <f t="shared" si="2"/>
        <v>0.03738425926</v>
      </c>
      <c r="C326" s="56">
        <f t="shared" si="3"/>
        <v>3230</v>
      </c>
      <c r="D326" s="56">
        <v>0.0</v>
      </c>
      <c r="F326" s="371">
        <v>323.0</v>
      </c>
      <c r="G326" s="372">
        <f t="shared" si="1"/>
        <v>0</v>
      </c>
    </row>
    <row r="327" ht="15.75" customHeight="1">
      <c r="B327" s="370">
        <f t="shared" si="2"/>
        <v>0.0375</v>
      </c>
      <c r="C327" s="56">
        <f t="shared" si="3"/>
        <v>3240</v>
      </c>
      <c r="D327" s="56">
        <v>0.0</v>
      </c>
      <c r="F327" s="371">
        <v>324.0</v>
      </c>
      <c r="G327" s="372">
        <f t="shared" si="1"/>
        <v>0</v>
      </c>
    </row>
    <row r="328" ht="15.75" customHeight="1">
      <c r="B328" s="370">
        <f t="shared" si="2"/>
        <v>0.03761574074</v>
      </c>
      <c r="C328" s="56">
        <f t="shared" si="3"/>
        <v>3250</v>
      </c>
      <c r="D328" s="56">
        <v>0.0</v>
      </c>
      <c r="F328" s="371">
        <v>325.0</v>
      </c>
      <c r="G328" s="372">
        <f t="shared" si="1"/>
        <v>0</v>
      </c>
    </row>
    <row r="329" ht="15.75" customHeight="1">
      <c r="B329" s="370">
        <f t="shared" si="2"/>
        <v>0.03773148148</v>
      </c>
      <c r="C329" s="56">
        <f t="shared" si="3"/>
        <v>3260</v>
      </c>
      <c r="D329" s="56">
        <v>0.0</v>
      </c>
      <c r="F329" s="371">
        <v>326.0</v>
      </c>
      <c r="G329" s="372">
        <f t="shared" si="1"/>
        <v>0</v>
      </c>
    </row>
    <row r="330" ht="15.75" customHeight="1">
      <c r="B330" s="370">
        <f t="shared" si="2"/>
        <v>0.03784722222</v>
      </c>
      <c r="C330" s="56">
        <f t="shared" si="3"/>
        <v>3270</v>
      </c>
      <c r="D330" s="56">
        <v>0.0</v>
      </c>
      <c r="F330" s="371">
        <v>327.0</v>
      </c>
      <c r="G330" s="372">
        <f t="shared" si="1"/>
        <v>0</v>
      </c>
    </row>
    <row r="331" ht="15.75" customHeight="1">
      <c r="B331" s="370">
        <f t="shared" si="2"/>
        <v>0.03796296296</v>
      </c>
      <c r="C331" s="56">
        <f t="shared" si="3"/>
        <v>3280</v>
      </c>
      <c r="D331" s="56">
        <v>0.0</v>
      </c>
      <c r="F331" s="371">
        <v>328.0</v>
      </c>
      <c r="G331" s="372">
        <f t="shared" si="1"/>
        <v>0</v>
      </c>
    </row>
    <row r="332" ht="15.75" customHeight="1">
      <c r="B332" s="370">
        <f t="shared" si="2"/>
        <v>0.0380787037</v>
      </c>
      <c r="C332" s="56">
        <f t="shared" si="3"/>
        <v>3290</v>
      </c>
      <c r="D332" s="56">
        <v>0.0</v>
      </c>
      <c r="F332" s="371">
        <v>329.0</v>
      </c>
      <c r="G332" s="372">
        <f t="shared" si="1"/>
        <v>0</v>
      </c>
    </row>
    <row r="333" ht="15.75" customHeight="1">
      <c r="B333" s="370">
        <f t="shared" si="2"/>
        <v>0.03819444444</v>
      </c>
      <c r="C333" s="56">
        <f t="shared" si="3"/>
        <v>3300</v>
      </c>
      <c r="D333" s="56">
        <v>0.0</v>
      </c>
      <c r="F333" s="371">
        <v>330.0</v>
      </c>
      <c r="G333" s="372">
        <f t="shared" si="1"/>
        <v>0</v>
      </c>
    </row>
    <row r="334" ht="15.75" customHeight="1">
      <c r="B334" s="370">
        <f t="shared" si="2"/>
        <v>0.03831018519</v>
      </c>
      <c r="C334" s="56">
        <f t="shared" si="3"/>
        <v>3310</v>
      </c>
      <c r="D334" s="56">
        <v>0.0</v>
      </c>
      <c r="F334" s="371">
        <v>331.0</v>
      </c>
      <c r="G334" s="372">
        <f t="shared" si="1"/>
        <v>0</v>
      </c>
    </row>
    <row r="335" ht="15.75" customHeight="1">
      <c r="B335" s="370">
        <f t="shared" si="2"/>
        <v>0.03842592593</v>
      </c>
      <c r="C335" s="56">
        <f t="shared" si="3"/>
        <v>3320</v>
      </c>
      <c r="D335" s="56">
        <v>0.0</v>
      </c>
      <c r="F335" s="371">
        <v>332.0</v>
      </c>
      <c r="G335" s="372">
        <f t="shared" si="1"/>
        <v>0</v>
      </c>
    </row>
    <row r="336" ht="15.75" customHeight="1">
      <c r="B336" s="370">
        <f t="shared" si="2"/>
        <v>0.03854166667</v>
      </c>
      <c r="C336" s="56">
        <f t="shared" si="3"/>
        <v>3330</v>
      </c>
      <c r="D336" s="56">
        <v>0.0</v>
      </c>
      <c r="F336" s="371">
        <v>333.0</v>
      </c>
      <c r="G336" s="372">
        <f t="shared" si="1"/>
        <v>0</v>
      </c>
    </row>
    <row r="337" ht="15.75" customHeight="1">
      <c r="B337" s="370">
        <f t="shared" si="2"/>
        <v>0.03865740741</v>
      </c>
      <c r="C337" s="56">
        <f t="shared" si="3"/>
        <v>3340</v>
      </c>
      <c r="D337" s="56">
        <v>0.0</v>
      </c>
      <c r="F337" s="371">
        <v>334.0</v>
      </c>
      <c r="G337" s="372">
        <f t="shared" si="1"/>
        <v>0</v>
      </c>
    </row>
    <row r="338" ht="15.75" customHeight="1">
      <c r="B338" s="370">
        <f t="shared" si="2"/>
        <v>0.03877314815</v>
      </c>
      <c r="C338" s="56">
        <f t="shared" si="3"/>
        <v>3350</v>
      </c>
      <c r="D338" s="56">
        <v>0.0</v>
      </c>
      <c r="F338" s="371">
        <v>335.0</v>
      </c>
      <c r="G338" s="372">
        <f t="shared" si="1"/>
        <v>0</v>
      </c>
    </row>
    <row r="339" ht="15.75" customHeight="1">
      <c r="B339" s="370">
        <f t="shared" si="2"/>
        <v>0.03888888889</v>
      </c>
      <c r="C339" s="56">
        <f t="shared" si="3"/>
        <v>3360</v>
      </c>
      <c r="D339" s="56">
        <v>0.0</v>
      </c>
      <c r="F339" s="371">
        <v>336.0</v>
      </c>
      <c r="G339" s="372">
        <f t="shared" si="1"/>
        <v>0</v>
      </c>
    </row>
    <row r="340" ht="15.75" customHeight="1">
      <c r="B340" s="370">
        <f t="shared" si="2"/>
        <v>0.03900462963</v>
      </c>
      <c r="C340" s="56">
        <f t="shared" si="3"/>
        <v>3370</v>
      </c>
      <c r="D340" s="56">
        <v>0.0</v>
      </c>
      <c r="F340" s="371">
        <v>337.0</v>
      </c>
      <c r="G340" s="372">
        <f t="shared" si="1"/>
        <v>0</v>
      </c>
    </row>
    <row r="341" ht="15.75" customHeight="1">
      <c r="B341" s="370">
        <f t="shared" si="2"/>
        <v>0.03912037037</v>
      </c>
      <c r="C341" s="56">
        <f t="shared" si="3"/>
        <v>3380</v>
      </c>
      <c r="D341" s="56">
        <v>0.0</v>
      </c>
      <c r="F341" s="371">
        <v>338.0</v>
      </c>
      <c r="G341" s="372">
        <f t="shared" si="1"/>
        <v>0</v>
      </c>
    </row>
    <row r="342" ht="15.75" customHeight="1">
      <c r="B342" s="370">
        <f t="shared" si="2"/>
        <v>0.03923611111</v>
      </c>
      <c r="C342" s="56">
        <f t="shared" si="3"/>
        <v>3390</v>
      </c>
      <c r="D342" s="56">
        <v>0.0</v>
      </c>
      <c r="F342" s="371">
        <v>339.0</v>
      </c>
      <c r="G342" s="372">
        <f t="shared" si="1"/>
        <v>0</v>
      </c>
    </row>
    <row r="343" ht="15.75" customHeight="1">
      <c r="B343" s="370">
        <f t="shared" si="2"/>
        <v>0.03935185185</v>
      </c>
      <c r="C343" s="56">
        <f t="shared" si="3"/>
        <v>3400</v>
      </c>
      <c r="D343" s="56">
        <v>0.0</v>
      </c>
      <c r="F343" s="371">
        <v>340.0</v>
      </c>
      <c r="G343" s="372">
        <f t="shared" si="1"/>
        <v>0</v>
      </c>
    </row>
    <row r="344" ht="15.75" customHeight="1">
      <c r="B344" s="370">
        <f t="shared" si="2"/>
        <v>0.03946759259</v>
      </c>
      <c r="C344" s="56">
        <f t="shared" si="3"/>
        <v>3410</v>
      </c>
      <c r="D344" s="56">
        <v>0.0</v>
      </c>
      <c r="F344" s="371">
        <v>341.0</v>
      </c>
      <c r="G344" s="372">
        <f t="shared" si="1"/>
        <v>0</v>
      </c>
    </row>
    <row r="345" ht="15.75" customHeight="1">
      <c r="B345" s="370">
        <f t="shared" si="2"/>
        <v>0.03958333333</v>
      </c>
      <c r="C345" s="56">
        <f t="shared" si="3"/>
        <v>3420</v>
      </c>
      <c r="D345" s="56">
        <v>0.0</v>
      </c>
      <c r="F345" s="371">
        <v>342.0</v>
      </c>
      <c r="G345" s="372">
        <f t="shared" si="1"/>
        <v>0</v>
      </c>
    </row>
    <row r="346" ht="15.75" customHeight="1">
      <c r="B346" s="370">
        <f t="shared" si="2"/>
        <v>0.03969907407</v>
      </c>
      <c r="C346" s="56">
        <f t="shared" si="3"/>
        <v>3430</v>
      </c>
      <c r="D346" s="56">
        <v>0.0</v>
      </c>
      <c r="F346" s="371">
        <v>343.0</v>
      </c>
      <c r="G346" s="372">
        <f t="shared" si="1"/>
        <v>0</v>
      </c>
    </row>
    <row r="347" ht="15.75" customHeight="1">
      <c r="B347" s="370">
        <f t="shared" si="2"/>
        <v>0.03981481481</v>
      </c>
      <c r="C347" s="56">
        <f t="shared" si="3"/>
        <v>3440</v>
      </c>
      <c r="D347" s="56">
        <v>0.0</v>
      </c>
      <c r="F347" s="371">
        <v>344.0</v>
      </c>
      <c r="G347" s="372">
        <f t="shared" si="1"/>
        <v>0.7465</v>
      </c>
    </row>
    <row r="348" ht="15.75" customHeight="1">
      <c r="B348" s="370">
        <f t="shared" si="2"/>
        <v>0.03993055556</v>
      </c>
      <c r="C348" s="56">
        <f t="shared" si="3"/>
        <v>3450</v>
      </c>
      <c r="D348" s="56">
        <v>0.0</v>
      </c>
      <c r="F348" s="371">
        <v>345.0</v>
      </c>
      <c r="G348" s="372">
        <f t="shared" si="1"/>
        <v>2.994666667</v>
      </c>
    </row>
    <row r="349" ht="15.75" customHeight="1">
      <c r="B349" s="370">
        <f t="shared" si="2"/>
        <v>0.0400462963</v>
      </c>
      <c r="C349" s="56">
        <f t="shared" si="3"/>
        <v>3460</v>
      </c>
      <c r="D349" s="56">
        <v>0.0</v>
      </c>
      <c r="F349" s="371">
        <v>346.0</v>
      </c>
      <c r="G349" s="372">
        <f t="shared" si="1"/>
        <v>2.9505</v>
      </c>
    </row>
    <row r="350" ht="15.75" customHeight="1">
      <c r="B350" s="370">
        <f t="shared" si="2"/>
        <v>0.04016203704</v>
      </c>
      <c r="C350" s="56">
        <f t="shared" si="3"/>
        <v>3470</v>
      </c>
      <c r="D350" s="56">
        <v>0.0</v>
      </c>
      <c r="F350" s="371">
        <v>347.0</v>
      </c>
      <c r="G350" s="372">
        <f t="shared" si="1"/>
        <v>2.707166667</v>
      </c>
    </row>
    <row r="351" ht="15.75" customHeight="1">
      <c r="B351" s="370">
        <f t="shared" si="2"/>
        <v>0.04027777778</v>
      </c>
      <c r="C351" s="56">
        <f t="shared" si="3"/>
        <v>3480</v>
      </c>
      <c r="D351" s="56">
        <v>0.0</v>
      </c>
      <c r="F351" s="371">
        <v>348.0</v>
      </c>
      <c r="G351" s="372">
        <f t="shared" si="1"/>
        <v>3.172666667</v>
      </c>
    </row>
    <row r="352" ht="15.75" customHeight="1">
      <c r="B352" s="370">
        <f t="shared" si="2"/>
        <v>0.04039351852</v>
      </c>
      <c r="C352" s="56">
        <f t="shared" si="3"/>
        <v>3490</v>
      </c>
      <c r="D352" s="56">
        <v>0.0</v>
      </c>
      <c r="F352" s="371">
        <v>349.0</v>
      </c>
      <c r="G352" s="372">
        <f t="shared" si="1"/>
        <v>2.633833333</v>
      </c>
    </row>
    <row r="353" ht="15.75" customHeight="1">
      <c r="B353" s="370">
        <f t="shared" si="2"/>
        <v>0.04050925926</v>
      </c>
      <c r="C353" s="56">
        <f t="shared" si="3"/>
        <v>3500</v>
      </c>
      <c r="D353" s="56">
        <v>0.0</v>
      </c>
      <c r="F353" s="371">
        <v>350.0</v>
      </c>
      <c r="G353" s="372">
        <f t="shared" si="1"/>
        <v>2.917833333</v>
      </c>
    </row>
    <row r="354" ht="15.75" customHeight="1">
      <c r="B354" s="370">
        <f t="shared" si="2"/>
        <v>0.040625</v>
      </c>
      <c r="C354" s="56">
        <f t="shared" si="3"/>
        <v>3510</v>
      </c>
      <c r="D354" s="56">
        <v>0.0</v>
      </c>
      <c r="F354" s="371">
        <v>351.0</v>
      </c>
      <c r="G354" s="372">
        <f t="shared" si="1"/>
        <v>2.909166667</v>
      </c>
    </row>
    <row r="355" ht="15.75" customHeight="1">
      <c r="B355" s="370">
        <f t="shared" si="2"/>
        <v>0.04074074074</v>
      </c>
      <c r="C355" s="56">
        <f t="shared" si="3"/>
        <v>3520</v>
      </c>
      <c r="D355" s="56">
        <v>0.0</v>
      </c>
      <c r="F355" s="371">
        <v>352.0</v>
      </c>
      <c r="G355" s="372">
        <f t="shared" si="1"/>
        <v>2.668833333</v>
      </c>
    </row>
    <row r="356" ht="15.75" customHeight="1">
      <c r="B356" s="370">
        <f t="shared" si="2"/>
        <v>0.04085648148</v>
      </c>
      <c r="C356" s="56">
        <f t="shared" si="3"/>
        <v>3530</v>
      </c>
      <c r="D356" s="56">
        <v>0.0</v>
      </c>
      <c r="F356" s="371">
        <v>353.0</v>
      </c>
      <c r="G356" s="372">
        <f t="shared" si="1"/>
        <v>3.124833333</v>
      </c>
    </row>
    <row r="357" ht="15.75" customHeight="1">
      <c r="B357" s="370">
        <f t="shared" si="2"/>
        <v>0.04097222222</v>
      </c>
      <c r="C357" s="56">
        <f t="shared" si="3"/>
        <v>3540</v>
      </c>
      <c r="D357" s="56">
        <v>0.0</v>
      </c>
      <c r="F357" s="371">
        <v>354.0</v>
      </c>
      <c r="G357" s="372">
        <f t="shared" si="1"/>
        <v>2.694666667</v>
      </c>
    </row>
    <row r="358" ht="15.75" customHeight="1">
      <c r="B358" s="370">
        <f t="shared" si="2"/>
        <v>0.04108796296</v>
      </c>
      <c r="C358" s="56">
        <f t="shared" si="3"/>
        <v>3550</v>
      </c>
      <c r="D358" s="56">
        <v>0.0</v>
      </c>
      <c r="F358" s="371">
        <v>355.0</v>
      </c>
      <c r="G358" s="372">
        <f t="shared" si="1"/>
        <v>3.040166667</v>
      </c>
    </row>
    <row r="359" ht="15.75" customHeight="1">
      <c r="B359" s="370">
        <f t="shared" si="2"/>
        <v>0.0412037037</v>
      </c>
      <c r="C359" s="56">
        <f t="shared" si="3"/>
        <v>3560</v>
      </c>
      <c r="D359" s="56">
        <v>0.0</v>
      </c>
      <c r="F359" s="371">
        <v>356.0</v>
      </c>
      <c r="G359" s="372">
        <f t="shared" si="1"/>
        <v>2.935833333</v>
      </c>
    </row>
    <row r="360" ht="15.75" customHeight="1">
      <c r="B360" s="370">
        <f t="shared" si="2"/>
        <v>0.04131944444</v>
      </c>
      <c r="C360" s="56">
        <f t="shared" si="3"/>
        <v>3570</v>
      </c>
      <c r="D360" s="56">
        <v>0.0</v>
      </c>
      <c r="F360" s="371">
        <v>357.0</v>
      </c>
      <c r="G360" s="372">
        <f t="shared" si="1"/>
        <v>2.721166667</v>
      </c>
    </row>
    <row r="361" ht="15.75" customHeight="1">
      <c r="B361" s="370">
        <f t="shared" si="2"/>
        <v>0.04143518519</v>
      </c>
      <c r="C361" s="56">
        <f t="shared" si="3"/>
        <v>3580</v>
      </c>
      <c r="D361" s="56">
        <v>0.0</v>
      </c>
      <c r="F361" s="371">
        <v>358.0</v>
      </c>
      <c r="G361" s="372">
        <f t="shared" si="1"/>
        <v>3.028833333</v>
      </c>
    </row>
    <row r="362" ht="15.75" customHeight="1">
      <c r="B362" s="370">
        <f t="shared" si="2"/>
        <v>0.04155092593</v>
      </c>
      <c r="C362" s="56">
        <f t="shared" si="3"/>
        <v>3590</v>
      </c>
      <c r="D362" s="56">
        <v>0.0</v>
      </c>
      <c r="F362" s="371">
        <v>359.0</v>
      </c>
      <c r="G362" s="372">
        <f t="shared" si="1"/>
        <v>2.654166667</v>
      </c>
    </row>
    <row r="363" ht="15.75" customHeight="1">
      <c r="B363" s="370">
        <f t="shared" si="2"/>
        <v>0.04166666667</v>
      </c>
      <c r="C363" s="56">
        <f t="shared" si="3"/>
        <v>3600</v>
      </c>
      <c r="D363" s="56">
        <v>0.0</v>
      </c>
      <c r="F363" s="371">
        <v>360.0</v>
      </c>
      <c r="G363" s="372">
        <f t="shared" si="1"/>
        <v>2.970666667</v>
      </c>
    </row>
    <row r="364" ht="15.75" customHeight="1">
      <c r="B364" s="370">
        <f t="shared" si="2"/>
        <v>0.04178240741</v>
      </c>
      <c r="C364" s="56">
        <f t="shared" si="3"/>
        <v>3610</v>
      </c>
      <c r="D364" s="56">
        <v>0.0</v>
      </c>
      <c r="F364" s="371">
        <v>361.0</v>
      </c>
      <c r="G364" s="372">
        <f t="shared" si="1"/>
        <v>2.8705</v>
      </c>
    </row>
    <row r="365" ht="15.75" customHeight="1">
      <c r="B365" s="370">
        <f t="shared" si="2"/>
        <v>0.04189814815</v>
      </c>
      <c r="C365" s="56">
        <f t="shared" si="3"/>
        <v>3620</v>
      </c>
      <c r="D365" s="56">
        <v>0.0</v>
      </c>
      <c r="F365" s="371">
        <v>362.0</v>
      </c>
      <c r="G365" s="372">
        <f t="shared" si="1"/>
        <v>2.677166667</v>
      </c>
    </row>
    <row r="366" ht="15.75" customHeight="1">
      <c r="B366" s="370">
        <f t="shared" si="2"/>
        <v>0.04201388889</v>
      </c>
      <c r="C366" s="56">
        <f t="shared" si="3"/>
        <v>3630</v>
      </c>
      <c r="D366" s="56">
        <v>0.0</v>
      </c>
      <c r="F366" s="371">
        <v>363.0</v>
      </c>
      <c r="G366" s="372">
        <f t="shared" si="1"/>
        <v>3.249166667</v>
      </c>
    </row>
    <row r="367" ht="15.75" customHeight="1">
      <c r="B367" s="370">
        <f t="shared" si="2"/>
        <v>0.04212962963</v>
      </c>
      <c r="C367" s="56">
        <f t="shared" si="3"/>
        <v>3640</v>
      </c>
      <c r="D367" s="56">
        <v>0.0</v>
      </c>
      <c r="F367" s="371">
        <v>364.0</v>
      </c>
      <c r="G367" s="372">
        <f t="shared" si="1"/>
        <v>2.657</v>
      </c>
    </row>
    <row r="368" ht="15.75" customHeight="1">
      <c r="B368" s="370">
        <f t="shared" si="2"/>
        <v>0.04224537037</v>
      </c>
      <c r="C368" s="56">
        <f t="shared" si="3"/>
        <v>3650</v>
      </c>
      <c r="D368" s="56">
        <v>0.0</v>
      </c>
      <c r="F368" s="371">
        <v>365.0</v>
      </c>
      <c r="G368" s="372">
        <f t="shared" si="1"/>
        <v>2.892333333</v>
      </c>
    </row>
    <row r="369" ht="15.75" customHeight="1">
      <c r="B369" s="370">
        <f t="shared" si="2"/>
        <v>0.04236111111</v>
      </c>
      <c r="C369" s="56">
        <f t="shared" si="3"/>
        <v>3660</v>
      </c>
      <c r="D369" s="56">
        <v>0.0</v>
      </c>
      <c r="F369" s="371">
        <v>366.0</v>
      </c>
      <c r="G369" s="372">
        <f t="shared" si="1"/>
        <v>2.931333333</v>
      </c>
    </row>
    <row r="370" ht="15.75" customHeight="1">
      <c r="B370" s="370">
        <f t="shared" si="2"/>
        <v>0.04247685185</v>
      </c>
      <c r="C370" s="56">
        <f t="shared" si="3"/>
        <v>3670</v>
      </c>
      <c r="D370" s="56">
        <v>0.0</v>
      </c>
      <c r="F370" s="371">
        <v>367.0</v>
      </c>
      <c r="G370" s="372">
        <f t="shared" si="1"/>
        <v>2.696166667</v>
      </c>
    </row>
    <row r="371" ht="15.75" customHeight="1">
      <c r="B371" s="370">
        <f t="shared" si="2"/>
        <v>0.04259259259</v>
      </c>
      <c r="C371" s="56">
        <f t="shared" si="3"/>
        <v>3680</v>
      </c>
      <c r="D371" s="56">
        <v>0.0</v>
      </c>
      <c r="F371" s="371">
        <v>368.0</v>
      </c>
      <c r="G371" s="372">
        <f t="shared" si="1"/>
        <v>3.000666667</v>
      </c>
    </row>
    <row r="372" ht="15.75" customHeight="1">
      <c r="B372" s="370">
        <f t="shared" si="2"/>
        <v>0.04270833333</v>
      </c>
      <c r="C372" s="56">
        <f t="shared" si="3"/>
        <v>3690</v>
      </c>
      <c r="D372" s="56">
        <v>0.0</v>
      </c>
      <c r="F372" s="371">
        <v>369.0</v>
      </c>
      <c r="G372" s="372">
        <f t="shared" si="1"/>
        <v>2.6875</v>
      </c>
    </row>
    <row r="373" ht="15.75" customHeight="1">
      <c r="B373" s="370">
        <f t="shared" si="2"/>
        <v>0.04282407407</v>
      </c>
      <c r="C373" s="56">
        <f t="shared" si="3"/>
        <v>3700</v>
      </c>
      <c r="D373" s="56">
        <v>0.0</v>
      </c>
      <c r="F373" s="371">
        <v>370.0</v>
      </c>
      <c r="G373" s="372">
        <f t="shared" si="1"/>
        <v>2.995833333</v>
      </c>
    </row>
    <row r="374" ht="15.75" customHeight="1">
      <c r="B374" s="370">
        <f t="shared" si="2"/>
        <v>0.04293981481</v>
      </c>
      <c r="C374" s="56">
        <f t="shared" si="3"/>
        <v>3710</v>
      </c>
      <c r="D374" s="56">
        <v>0.0</v>
      </c>
      <c r="F374" s="371">
        <v>371.0</v>
      </c>
      <c r="G374" s="372">
        <f t="shared" si="1"/>
        <v>2.967833333</v>
      </c>
    </row>
    <row r="375" ht="15.75" customHeight="1">
      <c r="B375" s="370">
        <f t="shared" si="2"/>
        <v>0.04305555556</v>
      </c>
      <c r="C375" s="56">
        <f t="shared" si="3"/>
        <v>3720</v>
      </c>
      <c r="D375" s="56">
        <v>0.0</v>
      </c>
      <c r="F375" s="371">
        <v>372.0</v>
      </c>
      <c r="G375" s="372">
        <f t="shared" si="1"/>
        <v>2.713333333</v>
      </c>
    </row>
    <row r="376" ht="15.75" customHeight="1">
      <c r="B376" s="370">
        <f t="shared" si="2"/>
        <v>0.0431712963</v>
      </c>
      <c r="C376" s="56">
        <f t="shared" si="3"/>
        <v>3730</v>
      </c>
      <c r="D376" s="56">
        <v>0.0</v>
      </c>
      <c r="F376" s="371">
        <v>373.0</v>
      </c>
      <c r="G376" s="372">
        <f t="shared" si="1"/>
        <v>3.1495</v>
      </c>
    </row>
    <row r="377" ht="15.75" customHeight="1">
      <c r="B377" s="370">
        <f t="shared" si="2"/>
        <v>0.04328703704</v>
      </c>
      <c r="C377" s="56">
        <f t="shared" si="3"/>
        <v>3740</v>
      </c>
      <c r="D377" s="56">
        <v>0.0</v>
      </c>
      <c r="F377" s="371">
        <v>374.0</v>
      </c>
      <c r="G377" s="372">
        <f t="shared" si="1"/>
        <v>2.637</v>
      </c>
    </row>
    <row r="378" ht="15.75" customHeight="1">
      <c r="B378" s="370">
        <f t="shared" si="2"/>
        <v>0.04340277778</v>
      </c>
      <c r="C378" s="56">
        <f t="shared" si="3"/>
        <v>3750</v>
      </c>
      <c r="D378" s="56">
        <v>0.0</v>
      </c>
      <c r="F378" s="371">
        <v>375.0</v>
      </c>
      <c r="G378" s="372">
        <f t="shared" si="1"/>
        <v>2.925</v>
      </c>
    </row>
    <row r="379" ht="15.75" customHeight="1">
      <c r="B379" s="370">
        <f t="shared" si="2"/>
        <v>0.04351851852</v>
      </c>
      <c r="C379" s="56">
        <f t="shared" si="3"/>
        <v>3760</v>
      </c>
      <c r="D379" s="56">
        <v>0.0</v>
      </c>
      <c r="F379" s="371">
        <v>376.0</v>
      </c>
      <c r="G379" s="372">
        <f t="shared" si="1"/>
        <v>2.911166667</v>
      </c>
    </row>
    <row r="380" ht="15.75" customHeight="1">
      <c r="B380" s="370">
        <f t="shared" si="2"/>
        <v>0.04363425926</v>
      </c>
      <c r="C380" s="56">
        <f t="shared" si="3"/>
        <v>3770</v>
      </c>
      <c r="D380" s="56">
        <v>0.0</v>
      </c>
      <c r="F380" s="371">
        <v>377.0</v>
      </c>
      <c r="G380" s="372">
        <f t="shared" si="1"/>
        <v>2.6625</v>
      </c>
    </row>
    <row r="381" ht="15.75" customHeight="1">
      <c r="B381" s="370">
        <f t="shared" si="2"/>
        <v>0.04375</v>
      </c>
      <c r="C381" s="56">
        <f t="shared" si="3"/>
        <v>3780</v>
      </c>
      <c r="D381" s="56">
        <v>0.0</v>
      </c>
      <c r="F381" s="371">
        <v>378.0</v>
      </c>
      <c r="G381" s="372">
        <f t="shared" si="1"/>
        <v>3.145333333</v>
      </c>
    </row>
    <row r="382" ht="15.75" customHeight="1">
      <c r="B382" s="370">
        <f t="shared" si="2"/>
        <v>0.04386574074</v>
      </c>
      <c r="C382" s="56">
        <f t="shared" si="3"/>
        <v>3790</v>
      </c>
      <c r="D382" s="56">
        <v>0.0</v>
      </c>
      <c r="F382" s="371">
        <v>379.0</v>
      </c>
      <c r="G382" s="372">
        <f t="shared" si="1"/>
        <v>2.681166667</v>
      </c>
    </row>
    <row r="383" ht="15.75" customHeight="1">
      <c r="B383" s="370">
        <f t="shared" si="2"/>
        <v>0.04398148148</v>
      </c>
      <c r="C383" s="56">
        <f t="shared" si="3"/>
        <v>3800</v>
      </c>
      <c r="D383" s="56">
        <v>0.0</v>
      </c>
      <c r="F383" s="371">
        <v>380.0</v>
      </c>
      <c r="G383" s="372">
        <f t="shared" si="1"/>
        <v>3.031666667</v>
      </c>
    </row>
    <row r="384" ht="15.75" customHeight="1">
      <c r="B384" s="370">
        <f t="shared" si="2"/>
        <v>0.04409722222</v>
      </c>
      <c r="C384" s="56">
        <f t="shared" si="3"/>
        <v>3810</v>
      </c>
      <c r="D384" s="56">
        <v>0.0</v>
      </c>
      <c r="F384" s="371">
        <v>381.0</v>
      </c>
      <c r="G384" s="372">
        <f t="shared" si="1"/>
        <v>2.9365</v>
      </c>
    </row>
    <row r="385" ht="15.75" customHeight="1">
      <c r="B385" s="370">
        <f t="shared" si="2"/>
        <v>0.04421296296</v>
      </c>
      <c r="C385" s="56">
        <f t="shared" si="3"/>
        <v>3820</v>
      </c>
      <c r="D385" s="56">
        <v>0.0</v>
      </c>
      <c r="F385" s="371">
        <v>382.0</v>
      </c>
      <c r="G385" s="372">
        <f t="shared" si="1"/>
        <v>2.728833333</v>
      </c>
    </row>
    <row r="386" ht="15.75" customHeight="1">
      <c r="B386" s="370">
        <f t="shared" si="2"/>
        <v>0.0443287037</v>
      </c>
      <c r="C386" s="56">
        <f t="shared" si="3"/>
        <v>3830</v>
      </c>
      <c r="D386" s="56">
        <v>0.0</v>
      </c>
      <c r="F386" s="371">
        <v>383.0</v>
      </c>
      <c r="G386" s="372">
        <f t="shared" si="1"/>
        <v>3.016</v>
      </c>
    </row>
    <row r="387" ht="15.75" customHeight="1">
      <c r="B387" s="370">
        <f t="shared" si="2"/>
        <v>0.04444444444</v>
      </c>
      <c r="C387" s="56">
        <f t="shared" si="3"/>
        <v>3840</v>
      </c>
      <c r="D387" s="56">
        <v>0.0</v>
      </c>
      <c r="F387" s="371">
        <v>384.0</v>
      </c>
      <c r="G387" s="372">
        <f t="shared" si="1"/>
        <v>2.652666667</v>
      </c>
    </row>
    <row r="388" ht="15.75" customHeight="1">
      <c r="B388" s="370">
        <f t="shared" si="2"/>
        <v>0.04456018519</v>
      </c>
      <c r="C388" s="56">
        <f t="shared" si="3"/>
        <v>3850</v>
      </c>
      <c r="D388" s="56">
        <v>0.0</v>
      </c>
      <c r="F388" s="371">
        <v>385.0</v>
      </c>
      <c r="G388" s="372">
        <f t="shared" si="1"/>
        <v>2.97</v>
      </c>
    </row>
    <row r="389" ht="15.75" customHeight="1">
      <c r="B389" s="370">
        <f t="shared" si="2"/>
        <v>0.04467592593</v>
      </c>
      <c r="C389" s="56">
        <f t="shared" si="3"/>
        <v>3860</v>
      </c>
      <c r="D389" s="56">
        <v>0.0</v>
      </c>
      <c r="F389" s="371">
        <v>386.0</v>
      </c>
      <c r="G389" s="372">
        <f t="shared" si="1"/>
        <v>2.862333333</v>
      </c>
    </row>
    <row r="390" ht="15.75" customHeight="1">
      <c r="B390" s="370">
        <f t="shared" si="2"/>
        <v>0.04479166667</v>
      </c>
      <c r="C390" s="56">
        <f t="shared" si="3"/>
        <v>3870</v>
      </c>
      <c r="D390" s="56">
        <v>0.0</v>
      </c>
      <c r="F390" s="371">
        <v>387.0</v>
      </c>
      <c r="G390" s="372">
        <f t="shared" si="1"/>
        <v>2.698666667</v>
      </c>
    </row>
    <row r="391" ht="15.75" customHeight="1">
      <c r="B391" s="370">
        <f t="shared" si="2"/>
        <v>0.04490740741</v>
      </c>
      <c r="C391" s="56">
        <f t="shared" si="3"/>
        <v>3880</v>
      </c>
      <c r="D391" s="56">
        <v>0.0</v>
      </c>
      <c r="F391" s="371">
        <v>388.0</v>
      </c>
      <c r="G391" s="372">
        <f t="shared" si="1"/>
        <v>3.244833333</v>
      </c>
    </row>
    <row r="392" ht="15.75" customHeight="1">
      <c r="B392" s="370">
        <f t="shared" si="2"/>
        <v>0.04502314815</v>
      </c>
      <c r="C392" s="56">
        <f t="shared" si="3"/>
        <v>3890</v>
      </c>
      <c r="D392" s="56">
        <v>0.0</v>
      </c>
      <c r="F392" s="371">
        <v>389.0</v>
      </c>
      <c r="G392" s="372">
        <f t="shared" si="1"/>
        <v>2.6545</v>
      </c>
    </row>
    <row r="393" ht="15.75" customHeight="1">
      <c r="B393" s="370">
        <f t="shared" si="2"/>
        <v>0.04513888889</v>
      </c>
      <c r="C393" s="56">
        <f t="shared" si="3"/>
        <v>3900</v>
      </c>
      <c r="D393" s="56">
        <v>0.0</v>
      </c>
      <c r="F393" s="371">
        <v>390.0</v>
      </c>
      <c r="G393" s="372">
        <f t="shared" si="1"/>
        <v>2.877333333</v>
      </c>
    </row>
    <row r="394" ht="15.75" customHeight="1">
      <c r="B394" s="370">
        <f t="shared" si="2"/>
        <v>0.04525462963</v>
      </c>
      <c r="C394" s="56">
        <f t="shared" si="3"/>
        <v>3910</v>
      </c>
      <c r="D394" s="56">
        <v>0.0</v>
      </c>
      <c r="F394" s="371">
        <v>391.0</v>
      </c>
      <c r="G394" s="372">
        <f t="shared" si="1"/>
        <v>2.933166667</v>
      </c>
    </row>
    <row r="395" ht="15.75" customHeight="1">
      <c r="B395" s="370">
        <f t="shared" si="2"/>
        <v>0.04537037037</v>
      </c>
      <c r="C395" s="56">
        <f t="shared" si="3"/>
        <v>3920</v>
      </c>
      <c r="D395" s="56">
        <v>0.0</v>
      </c>
      <c r="F395" s="371">
        <v>392.0</v>
      </c>
      <c r="G395" s="372">
        <f t="shared" si="1"/>
        <v>2.69</v>
      </c>
    </row>
    <row r="396" ht="15.75" customHeight="1">
      <c r="B396" s="370">
        <f t="shared" si="2"/>
        <v>0.04548611111</v>
      </c>
      <c r="C396" s="56">
        <f t="shared" si="3"/>
        <v>3930</v>
      </c>
      <c r="D396" s="56">
        <v>0.0</v>
      </c>
      <c r="F396" s="371">
        <v>393.0</v>
      </c>
      <c r="G396" s="372">
        <f t="shared" si="1"/>
        <v>3.023666667</v>
      </c>
    </row>
    <row r="397" ht="15.75" customHeight="1">
      <c r="B397" s="370">
        <f t="shared" si="2"/>
        <v>0.04560185185</v>
      </c>
      <c r="C397" s="56">
        <f t="shared" si="3"/>
        <v>3940</v>
      </c>
      <c r="D397" s="56">
        <v>0.0</v>
      </c>
      <c r="F397" s="371">
        <v>394.0</v>
      </c>
      <c r="G397" s="372">
        <f t="shared" si="1"/>
        <v>2.677333333</v>
      </c>
    </row>
    <row r="398" ht="15.75" customHeight="1">
      <c r="B398" s="370">
        <f t="shared" si="2"/>
        <v>0.04571759259</v>
      </c>
      <c r="C398" s="56">
        <f t="shared" si="3"/>
        <v>3950</v>
      </c>
      <c r="D398" s="56">
        <v>0.0</v>
      </c>
      <c r="F398" s="371">
        <v>395.0</v>
      </c>
      <c r="G398" s="372">
        <f t="shared" si="1"/>
        <v>3.003166667</v>
      </c>
    </row>
    <row r="399" ht="15.75" customHeight="1">
      <c r="B399" s="370">
        <f t="shared" si="2"/>
        <v>0.04583333333</v>
      </c>
      <c r="C399" s="56">
        <f t="shared" si="3"/>
        <v>3960</v>
      </c>
      <c r="D399" s="56">
        <v>0.0</v>
      </c>
      <c r="F399" s="371">
        <v>396.0</v>
      </c>
      <c r="G399" s="372">
        <f t="shared" si="1"/>
        <v>2.974666667</v>
      </c>
    </row>
    <row r="400" ht="15.75" customHeight="1">
      <c r="B400" s="370">
        <f t="shared" si="2"/>
        <v>0.04594907407</v>
      </c>
      <c r="C400" s="56">
        <f t="shared" si="3"/>
        <v>3970</v>
      </c>
      <c r="D400" s="56">
        <v>0.0</v>
      </c>
      <c r="F400" s="371">
        <v>397.0</v>
      </c>
      <c r="G400" s="372">
        <f t="shared" si="1"/>
        <v>2.723</v>
      </c>
    </row>
    <row r="401" ht="15.75" customHeight="1">
      <c r="B401" s="370">
        <f t="shared" si="2"/>
        <v>0.04606481481</v>
      </c>
      <c r="C401" s="56">
        <f t="shared" si="3"/>
        <v>3980</v>
      </c>
      <c r="D401" s="56">
        <v>0.0</v>
      </c>
      <c r="F401" s="371">
        <v>398.0</v>
      </c>
      <c r="G401" s="372">
        <f t="shared" si="1"/>
        <v>3.136</v>
      </c>
    </row>
    <row r="402" ht="15.75" customHeight="1">
      <c r="B402" s="370">
        <f t="shared" si="2"/>
        <v>0.04618055556</v>
      </c>
      <c r="C402" s="56">
        <f t="shared" si="3"/>
        <v>3990</v>
      </c>
      <c r="D402" s="56">
        <v>0.031</v>
      </c>
      <c r="F402" s="371">
        <v>399.0</v>
      </c>
      <c r="G402" s="372">
        <f t="shared" si="1"/>
        <v>2.6375</v>
      </c>
    </row>
    <row r="403" ht="15.75" customHeight="1">
      <c r="B403" s="370">
        <f t="shared" si="2"/>
        <v>0.0462962963</v>
      </c>
      <c r="C403" s="56">
        <f t="shared" si="3"/>
        <v>4000</v>
      </c>
      <c r="D403" s="56">
        <v>3.008</v>
      </c>
      <c r="F403" s="371">
        <v>400.0</v>
      </c>
      <c r="G403" s="372">
        <f t="shared" si="1"/>
        <v>2.927666667</v>
      </c>
    </row>
    <row r="404" ht="15.75" customHeight="1">
      <c r="B404" s="370">
        <f t="shared" si="2"/>
        <v>0.04641203704</v>
      </c>
      <c r="C404" s="56">
        <f t="shared" si="3"/>
        <v>4010</v>
      </c>
      <c r="D404" s="56">
        <v>2.992</v>
      </c>
      <c r="F404" s="371">
        <v>401.0</v>
      </c>
      <c r="G404" s="372">
        <f t="shared" si="1"/>
        <v>2.904</v>
      </c>
    </row>
    <row r="405" ht="15.75" customHeight="1">
      <c r="B405" s="370">
        <f t="shared" si="2"/>
        <v>0.04652777778</v>
      </c>
      <c r="C405" s="56">
        <f t="shared" si="3"/>
        <v>4020</v>
      </c>
      <c r="D405" s="56">
        <v>2.783</v>
      </c>
      <c r="F405" s="371">
        <v>402.0</v>
      </c>
      <c r="G405" s="372">
        <f t="shared" si="1"/>
        <v>2.4475</v>
      </c>
    </row>
    <row r="406" ht="15.75" customHeight="1">
      <c r="B406" s="370">
        <f t="shared" si="2"/>
        <v>0.04664351852</v>
      </c>
      <c r="C406" s="56">
        <f t="shared" si="3"/>
        <v>4030</v>
      </c>
      <c r="D406" s="56">
        <v>2.933</v>
      </c>
      <c r="F406" s="371">
        <v>403.0</v>
      </c>
      <c r="G406" s="372">
        <f t="shared" si="1"/>
        <v>0</v>
      </c>
    </row>
    <row r="407" ht="15.75" customHeight="1">
      <c r="B407" s="370">
        <f t="shared" si="2"/>
        <v>0.04675925926</v>
      </c>
      <c r="C407" s="56">
        <f t="shared" si="3"/>
        <v>4040</v>
      </c>
      <c r="D407" s="56">
        <v>2.839</v>
      </c>
      <c r="F407" s="371">
        <v>404.0</v>
      </c>
      <c r="G407" s="372">
        <f t="shared" si="1"/>
        <v>0</v>
      </c>
    </row>
    <row r="408" ht="15.75" customHeight="1">
      <c r="B408" s="370">
        <f t="shared" si="2"/>
        <v>0.046875</v>
      </c>
      <c r="C408" s="56">
        <f t="shared" si="3"/>
        <v>4050</v>
      </c>
      <c r="D408" s="56">
        <v>2.734</v>
      </c>
      <c r="F408" s="371">
        <v>405.0</v>
      </c>
      <c r="G408" s="372">
        <f t="shared" si="1"/>
        <v>0</v>
      </c>
    </row>
    <row r="409" ht="15.75" customHeight="1">
      <c r="B409" s="370">
        <f t="shared" si="2"/>
        <v>0.04699074074</v>
      </c>
      <c r="C409" s="56">
        <f t="shared" si="3"/>
        <v>4060</v>
      </c>
      <c r="D409" s="56">
        <v>2.578</v>
      </c>
      <c r="F409" s="371">
        <v>406.0</v>
      </c>
      <c r="G409" s="372">
        <f t="shared" si="1"/>
        <v>0</v>
      </c>
    </row>
    <row r="410" ht="15.75" customHeight="1">
      <c r="B410" s="370">
        <f t="shared" si="2"/>
        <v>0.04710648148</v>
      </c>
      <c r="C410" s="56">
        <f t="shared" si="3"/>
        <v>4070</v>
      </c>
      <c r="D410" s="56">
        <v>2.401</v>
      </c>
      <c r="F410" s="371">
        <v>407.0</v>
      </c>
      <c r="G410" s="372">
        <f t="shared" si="1"/>
        <v>0</v>
      </c>
    </row>
    <row r="411" ht="15.75" customHeight="1">
      <c r="B411" s="370">
        <f t="shared" si="2"/>
        <v>0.04722222222</v>
      </c>
      <c r="C411" s="56">
        <f t="shared" si="3"/>
        <v>4080</v>
      </c>
      <c r="D411" s="56">
        <v>2.377</v>
      </c>
      <c r="F411" s="371">
        <v>408.0</v>
      </c>
      <c r="G411" s="372">
        <f t="shared" si="1"/>
        <v>0</v>
      </c>
    </row>
    <row r="412" ht="15.75" customHeight="1">
      <c r="B412" s="370">
        <f t="shared" si="2"/>
        <v>0.04733796296</v>
      </c>
      <c r="C412" s="56">
        <f t="shared" si="3"/>
        <v>4090</v>
      </c>
      <c r="D412" s="56">
        <v>3.239</v>
      </c>
      <c r="F412" s="371">
        <v>409.0</v>
      </c>
      <c r="G412" s="372">
        <f t="shared" si="1"/>
        <v>0</v>
      </c>
    </row>
    <row r="413" ht="15.75" customHeight="1">
      <c r="B413" s="370">
        <f t="shared" si="2"/>
        <v>0.0474537037</v>
      </c>
      <c r="C413" s="56">
        <f t="shared" si="3"/>
        <v>4100</v>
      </c>
      <c r="D413" s="56">
        <v>3.473</v>
      </c>
      <c r="F413" s="371">
        <v>410.0</v>
      </c>
      <c r="G413" s="372">
        <f t="shared" si="1"/>
        <v>0</v>
      </c>
    </row>
    <row r="414" ht="15.75" customHeight="1">
      <c r="B414" s="370">
        <f t="shared" si="2"/>
        <v>0.04756944444</v>
      </c>
      <c r="C414" s="56">
        <f t="shared" si="3"/>
        <v>4110</v>
      </c>
      <c r="D414" s="56">
        <v>3.496</v>
      </c>
      <c r="F414" s="371">
        <v>411.0</v>
      </c>
      <c r="G414" s="372">
        <f t="shared" si="1"/>
        <v>0</v>
      </c>
    </row>
    <row r="415" ht="15.75" customHeight="1">
      <c r="B415" s="370">
        <f t="shared" si="2"/>
        <v>0.04768518519</v>
      </c>
      <c r="C415" s="56">
        <f t="shared" si="3"/>
        <v>4120</v>
      </c>
      <c r="D415" s="56">
        <v>3.502</v>
      </c>
      <c r="F415" s="371">
        <v>412.0</v>
      </c>
      <c r="G415" s="372">
        <f t="shared" si="1"/>
        <v>0</v>
      </c>
    </row>
    <row r="416" ht="15.75" customHeight="1">
      <c r="B416" s="370">
        <f t="shared" si="2"/>
        <v>0.04780092593</v>
      </c>
      <c r="C416" s="56">
        <f t="shared" si="3"/>
        <v>4130</v>
      </c>
      <c r="D416" s="56">
        <v>3.128</v>
      </c>
      <c r="F416" s="371">
        <v>413.0</v>
      </c>
      <c r="G416" s="372">
        <f t="shared" si="1"/>
        <v>0</v>
      </c>
    </row>
    <row r="417" ht="15.75" customHeight="1">
      <c r="B417" s="370">
        <f t="shared" si="2"/>
        <v>0.04791666667</v>
      </c>
      <c r="C417" s="56">
        <f t="shared" si="3"/>
        <v>4140</v>
      </c>
      <c r="D417" s="56">
        <v>2.33</v>
      </c>
      <c r="F417" s="371">
        <v>414.0</v>
      </c>
      <c r="G417" s="372">
        <f t="shared" si="1"/>
        <v>0</v>
      </c>
    </row>
    <row r="418" ht="15.75" customHeight="1">
      <c r="B418" s="370">
        <f t="shared" si="2"/>
        <v>0.04803240741</v>
      </c>
      <c r="C418" s="56">
        <f t="shared" si="3"/>
        <v>4150</v>
      </c>
      <c r="D418" s="56">
        <v>2.051</v>
      </c>
      <c r="F418" s="371">
        <v>415.0</v>
      </c>
      <c r="G418" s="372">
        <f t="shared" si="1"/>
        <v>0</v>
      </c>
    </row>
    <row r="419" ht="15.75" customHeight="1">
      <c r="B419" s="370">
        <f t="shared" si="2"/>
        <v>0.04814814815</v>
      </c>
      <c r="C419" s="56">
        <f t="shared" si="3"/>
        <v>4160</v>
      </c>
      <c r="D419" s="56">
        <v>2.329</v>
      </c>
      <c r="F419" s="371">
        <v>416.0</v>
      </c>
      <c r="G419" s="372">
        <f t="shared" si="1"/>
        <v>0</v>
      </c>
    </row>
    <row r="420" ht="15.75" customHeight="1">
      <c r="B420" s="370">
        <f t="shared" si="2"/>
        <v>0.04826388889</v>
      </c>
      <c r="C420" s="56">
        <f t="shared" si="3"/>
        <v>4170</v>
      </c>
      <c r="D420" s="56">
        <v>2.723</v>
      </c>
      <c r="F420" s="371">
        <v>417.0</v>
      </c>
      <c r="G420" s="372">
        <f t="shared" si="1"/>
        <v>0</v>
      </c>
    </row>
    <row r="421" ht="15.75" customHeight="1">
      <c r="B421" s="370">
        <f t="shared" si="2"/>
        <v>0.04837962963</v>
      </c>
      <c r="C421" s="56">
        <f t="shared" si="3"/>
        <v>4180</v>
      </c>
      <c r="D421" s="56">
        <v>3.057</v>
      </c>
      <c r="F421" s="371">
        <v>418.0</v>
      </c>
      <c r="G421" s="372">
        <f t="shared" si="1"/>
        <v>0</v>
      </c>
    </row>
    <row r="422" ht="15.75" customHeight="1">
      <c r="B422" s="370">
        <f t="shared" si="2"/>
        <v>0.04849537037</v>
      </c>
      <c r="C422" s="56">
        <f t="shared" si="3"/>
        <v>4190</v>
      </c>
      <c r="D422" s="56">
        <v>3.301</v>
      </c>
      <c r="F422" s="371">
        <v>419.0</v>
      </c>
      <c r="G422" s="372">
        <f t="shared" si="1"/>
        <v>0</v>
      </c>
    </row>
    <row r="423" ht="15.75" customHeight="1">
      <c r="B423" s="370">
        <f t="shared" si="2"/>
        <v>0.04861111111</v>
      </c>
      <c r="C423" s="56">
        <f t="shared" si="3"/>
        <v>4200</v>
      </c>
      <c r="D423" s="56">
        <v>3.219</v>
      </c>
      <c r="F423" s="371">
        <v>420.0</v>
      </c>
      <c r="G423" s="372">
        <f t="shared" si="1"/>
        <v>0</v>
      </c>
    </row>
    <row r="424" ht="15.75" customHeight="1">
      <c r="B424" s="370">
        <f t="shared" si="2"/>
        <v>0.04872685185</v>
      </c>
      <c r="C424" s="56">
        <f t="shared" si="3"/>
        <v>4210</v>
      </c>
      <c r="D424" s="56">
        <v>3.14</v>
      </c>
      <c r="F424" s="371">
        <v>421.0</v>
      </c>
      <c r="G424" s="372">
        <f t="shared" si="1"/>
        <v>0</v>
      </c>
    </row>
    <row r="425" ht="15.75" customHeight="1">
      <c r="B425" s="370">
        <f t="shared" si="2"/>
        <v>0.04884259259</v>
      </c>
      <c r="C425" s="56">
        <f t="shared" si="3"/>
        <v>4220</v>
      </c>
      <c r="D425" s="56">
        <v>2.871</v>
      </c>
      <c r="F425" s="371">
        <v>422.0</v>
      </c>
      <c r="G425" s="372">
        <f t="shared" si="1"/>
        <v>0</v>
      </c>
    </row>
    <row r="426" ht="15.75" customHeight="1">
      <c r="B426" s="370">
        <f t="shared" si="2"/>
        <v>0.04895833333</v>
      </c>
      <c r="C426" s="56">
        <f t="shared" si="3"/>
        <v>4230</v>
      </c>
      <c r="D426" s="56">
        <v>2.765</v>
      </c>
      <c r="F426" s="371">
        <v>423.0</v>
      </c>
      <c r="G426" s="372">
        <f t="shared" si="1"/>
        <v>0</v>
      </c>
    </row>
    <row r="427" ht="15.75" customHeight="1">
      <c r="B427" s="370">
        <f t="shared" si="2"/>
        <v>0.04907407407</v>
      </c>
      <c r="C427" s="56">
        <f t="shared" si="3"/>
        <v>4240</v>
      </c>
      <c r="D427" s="56">
        <v>2.775</v>
      </c>
      <c r="F427" s="371">
        <v>424.0</v>
      </c>
      <c r="G427" s="372">
        <f t="shared" si="1"/>
        <v>0</v>
      </c>
    </row>
    <row r="428" ht="15.75" customHeight="1">
      <c r="B428" s="370">
        <f t="shared" si="2"/>
        <v>0.04918981481</v>
      </c>
      <c r="C428" s="56">
        <f t="shared" si="3"/>
        <v>4250</v>
      </c>
      <c r="D428" s="56">
        <v>2.753</v>
      </c>
      <c r="F428" s="371">
        <v>425.0</v>
      </c>
      <c r="G428" s="372">
        <f t="shared" si="1"/>
        <v>0</v>
      </c>
    </row>
    <row r="429" ht="15.75" customHeight="1">
      <c r="B429" s="370">
        <f t="shared" si="2"/>
        <v>0.04930555556</v>
      </c>
      <c r="C429" s="56">
        <f t="shared" si="3"/>
        <v>4260</v>
      </c>
      <c r="D429" s="56">
        <v>2.661</v>
      </c>
      <c r="F429" s="371">
        <v>426.0</v>
      </c>
      <c r="G429" s="372">
        <f t="shared" si="1"/>
        <v>0</v>
      </c>
    </row>
    <row r="430" ht="15.75" customHeight="1">
      <c r="B430" s="370">
        <f t="shared" si="2"/>
        <v>0.0494212963</v>
      </c>
      <c r="C430" s="56">
        <f t="shared" si="3"/>
        <v>4270</v>
      </c>
      <c r="D430" s="56">
        <v>2.555</v>
      </c>
      <c r="F430" s="371">
        <v>427.0</v>
      </c>
      <c r="G430" s="372">
        <f t="shared" si="1"/>
        <v>0</v>
      </c>
    </row>
    <row r="431" ht="15.75" customHeight="1">
      <c r="B431" s="370">
        <f t="shared" si="2"/>
        <v>0.04953703704</v>
      </c>
      <c r="C431" s="56">
        <f t="shared" si="3"/>
        <v>4280</v>
      </c>
      <c r="D431" s="56">
        <v>2.23</v>
      </c>
      <c r="F431" s="371">
        <v>428.0</v>
      </c>
      <c r="G431" s="372">
        <f t="shared" si="1"/>
        <v>0</v>
      </c>
    </row>
    <row r="432" ht="15.75" customHeight="1">
      <c r="B432" s="370">
        <f t="shared" si="2"/>
        <v>0.04965277778</v>
      </c>
      <c r="C432" s="56">
        <f t="shared" si="3"/>
        <v>4290</v>
      </c>
      <c r="D432" s="56">
        <v>3.101</v>
      </c>
      <c r="F432" s="371">
        <v>429.0</v>
      </c>
      <c r="G432" s="372">
        <f t="shared" si="1"/>
        <v>0</v>
      </c>
    </row>
    <row r="433" ht="15.75" customHeight="1">
      <c r="B433" s="370">
        <f t="shared" si="2"/>
        <v>0.04976851852</v>
      </c>
      <c r="C433" s="56">
        <f t="shared" si="3"/>
        <v>4300</v>
      </c>
      <c r="D433" s="56">
        <v>3.405</v>
      </c>
      <c r="F433" s="371">
        <v>430.0</v>
      </c>
      <c r="G433" s="372">
        <f t="shared" si="1"/>
        <v>0</v>
      </c>
    </row>
    <row r="434" ht="15.75" customHeight="1">
      <c r="B434" s="370">
        <f t="shared" si="2"/>
        <v>0.04988425926</v>
      </c>
      <c r="C434" s="56">
        <f t="shared" si="3"/>
        <v>4310</v>
      </c>
      <c r="D434" s="56">
        <v>3.439</v>
      </c>
      <c r="F434" s="371">
        <v>431.0</v>
      </c>
      <c r="G434" s="372">
        <f t="shared" si="1"/>
        <v>0</v>
      </c>
    </row>
    <row r="435" ht="15.75" customHeight="1">
      <c r="B435" s="370">
        <f t="shared" si="2"/>
        <v>0.05</v>
      </c>
      <c r="C435" s="56">
        <f t="shared" si="3"/>
        <v>4320</v>
      </c>
      <c r="D435" s="56">
        <v>3.484</v>
      </c>
      <c r="F435" s="371">
        <v>432.0</v>
      </c>
      <c r="G435" s="372">
        <f t="shared" si="1"/>
        <v>0</v>
      </c>
    </row>
    <row r="436" ht="15.75" customHeight="1">
      <c r="B436" s="370">
        <f t="shared" si="2"/>
        <v>0.05011574074</v>
      </c>
      <c r="C436" s="56">
        <f t="shared" si="3"/>
        <v>4330</v>
      </c>
      <c r="D436" s="56">
        <v>3.198</v>
      </c>
      <c r="F436" s="371">
        <v>433.0</v>
      </c>
      <c r="G436" s="372">
        <f t="shared" si="1"/>
        <v>0</v>
      </c>
    </row>
    <row r="437" ht="15.75" customHeight="1">
      <c r="B437" s="370">
        <f t="shared" si="2"/>
        <v>0.05023148148</v>
      </c>
      <c r="C437" s="56">
        <f t="shared" si="3"/>
        <v>4340</v>
      </c>
      <c r="D437" s="56">
        <v>2.56</v>
      </c>
      <c r="F437" s="371">
        <v>434.0</v>
      </c>
      <c r="G437" s="372">
        <f t="shared" si="1"/>
        <v>0</v>
      </c>
    </row>
    <row r="438" ht="15.75" customHeight="1">
      <c r="B438" s="370">
        <f t="shared" si="2"/>
        <v>0.05034722222</v>
      </c>
      <c r="C438" s="56">
        <f t="shared" si="3"/>
        <v>4350</v>
      </c>
      <c r="D438" s="56">
        <v>1.998</v>
      </c>
      <c r="F438" s="371">
        <v>435.0</v>
      </c>
      <c r="G438" s="372">
        <f t="shared" si="1"/>
        <v>0</v>
      </c>
    </row>
    <row r="439" ht="15.75" customHeight="1">
      <c r="B439" s="370">
        <f t="shared" si="2"/>
        <v>0.05046296296</v>
      </c>
      <c r="C439" s="56">
        <f t="shared" si="3"/>
        <v>4360</v>
      </c>
      <c r="D439" s="56">
        <v>2.187</v>
      </c>
      <c r="F439" s="371">
        <v>436.0</v>
      </c>
      <c r="G439" s="372">
        <f t="shared" si="1"/>
        <v>0</v>
      </c>
    </row>
    <row r="440" ht="15.75" customHeight="1">
      <c r="B440" s="370">
        <f t="shared" si="2"/>
        <v>0.0505787037</v>
      </c>
      <c r="C440" s="56">
        <f t="shared" si="3"/>
        <v>4370</v>
      </c>
      <c r="D440" s="56">
        <v>2.62</v>
      </c>
      <c r="F440" s="371">
        <v>437.0</v>
      </c>
      <c r="G440" s="372">
        <f t="shared" si="1"/>
        <v>1.370333333</v>
      </c>
    </row>
    <row r="441" ht="15.75" customHeight="1">
      <c r="B441" s="370">
        <f t="shared" si="2"/>
        <v>0.05069444444</v>
      </c>
      <c r="C441" s="56">
        <f t="shared" si="3"/>
        <v>4380</v>
      </c>
      <c r="D441" s="56">
        <v>3.046</v>
      </c>
      <c r="F441" s="371">
        <v>438.0</v>
      </c>
      <c r="G441" s="372">
        <f t="shared" si="1"/>
        <v>3.21</v>
      </c>
    </row>
    <row r="442" ht="15.75" customHeight="1">
      <c r="B442" s="370">
        <f t="shared" si="2"/>
        <v>0.05081018519</v>
      </c>
      <c r="C442" s="56">
        <f t="shared" si="3"/>
        <v>4390</v>
      </c>
      <c r="D442" s="56">
        <v>3.389</v>
      </c>
      <c r="F442" s="371">
        <v>439.0</v>
      </c>
      <c r="G442" s="372">
        <f t="shared" si="1"/>
        <v>2.652</v>
      </c>
    </row>
    <row r="443" ht="15.75" customHeight="1">
      <c r="B443" s="370">
        <f t="shared" si="2"/>
        <v>0.05092592593</v>
      </c>
      <c r="C443" s="56">
        <f t="shared" si="3"/>
        <v>4400</v>
      </c>
      <c r="D443" s="56">
        <v>3.339</v>
      </c>
      <c r="F443" s="371">
        <v>440.0</v>
      </c>
      <c r="G443" s="372">
        <f t="shared" si="1"/>
        <v>2.8965</v>
      </c>
    </row>
    <row r="444" ht="15.75" customHeight="1">
      <c r="B444" s="370">
        <f t="shared" si="2"/>
        <v>0.05104166667</v>
      </c>
      <c r="C444" s="56">
        <f t="shared" si="3"/>
        <v>4410</v>
      </c>
      <c r="D444" s="56">
        <v>3.27</v>
      </c>
      <c r="F444" s="371">
        <v>441.0</v>
      </c>
      <c r="G444" s="372">
        <f t="shared" si="1"/>
        <v>2.907833333</v>
      </c>
    </row>
    <row r="445" ht="15.75" customHeight="1">
      <c r="B445" s="370">
        <f t="shared" si="2"/>
        <v>0.05115740741</v>
      </c>
      <c r="C445" s="56">
        <f t="shared" si="3"/>
        <v>4420</v>
      </c>
      <c r="D445" s="56">
        <v>2.99</v>
      </c>
      <c r="F445" s="371">
        <v>442.0</v>
      </c>
      <c r="G445" s="372">
        <f t="shared" si="1"/>
        <v>2.659666667</v>
      </c>
    </row>
    <row r="446" ht="15.75" customHeight="1">
      <c r="B446" s="370">
        <f t="shared" si="2"/>
        <v>0.05127314815</v>
      </c>
      <c r="C446" s="56">
        <f t="shared" si="3"/>
        <v>4430</v>
      </c>
      <c r="D446" s="56">
        <v>2.59</v>
      </c>
      <c r="F446" s="371">
        <v>443.0</v>
      </c>
      <c r="G446" s="372">
        <f t="shared" si="1"/>
        <v>3.092833333</v>
      </c>
    </row>
    <row r="447" ht="15.75" customHeight="1">
      <c r="B447" s="370">
        <f t="shared" si="2"/>
        <v>0.05138888889</v>
      </c>
      <c r="C447" s="56">
        <f t="shared" si="3"/>
        <v>4440</v>
      </c>
      <c r="D447" s="56">
        <v>2.673</v>
      </c>
      <c r="F447" s="371">
        <v>444.0</v>
      </c>
      <c r="G447" s="372">
        <f t="shared" si="1"/>
        <v>2.686666667</v>
      </c>
    </row>
    <row r="448" ht="15.75" customHeight="1">
      <c r="B448" s="370">
        <f t="shared" si="2"/>
        <v>0.05150462963</v>
      </c>
      <c r="C448" s="56">
        <f t="shared" si="3"/>
        <v>4450</v>
      </c>
      <c r="D448" s="56">
        <v>2.734</v>
      </c>
      <c r="F448" s="371">
        <v>445.0</v>
      </c>
      <c r="G448" s="372">
        <f t="shared" si="1"/>
        <v>3.035833333</v>
      </c>
    </row>
    <row r="449" ht="15.75" customHeight="1">
      <c r="B449" s="370">
        <f t="shared" si="2"/>
        <v>0.05162037037</v>
      </c>
      <c r="C449" s="56">
        <f t="shared" si="3"/>
        <v>4460</v>
      </c>
      <c r="D449" s="56">
        <v>2.706</v>
      </c>
      <c r="F449" s="371">
        <v>446.0</v>
      </c>
      <c r="G449" s="372">
        <f t="shared" si="1"/>
        <v>2.963333333</v>
      </c>
    </row>
    <row r="450" ht="15.75" customHeight="1">
      <c r="B450" s="370">
        <f t="shared" si="2"/>
        <v>0.05173611111</v>
      </c>
      <c r="C450" s="56">
        <f t="shared" si="3"/>
        <v>4470</v>
      </c>
      <c r="D450" s="56">
        <v>2.662</v>
      </c>
      <c r="F450" s="371">
        <v>447.0</v>
      </c>
      <c r="G450" s="372">
        <f t="shared" si="1"/>
        <v>2.718166667</v>
      </c>
    </row>
    <row r="451" ht="15.75" customHeight="1">
      <c r="B451" s="370">
        <f t="shared" si="2"/>
        <v>0.05185185185</v>
      </c>
      <c r="C451" s="56">
        <f t="shared" si="3"/>
        <v>4480</v>
      </c>
      <c r="D451" s="56">
        <v>2.493</v>
      </c>
      <c r="F451" s="371">
        <v>448.0</v>
      </c>
      <c r="G451" s="372">
        <f t="shared" si="1"/>
        <v>3.085833333</v>
      </c>
    </row>
    <row r="452" ht="15.75" customHeight="1">
      <c r="B452" s="370">
        <f t="shared" si="2"/>
        <v>0.05196759259</v>
      </c>
      <c r="C452" s="56">
        <f t="shared" si="3"/>
        <v>4490</v>
      </c>
      <c r="D452" s="56">
        <v>2.88</v>
      </c>
      <c r="F452" s="371">
        <v>449.0</v>
      </c>
      <c r="G452" s="372">
        <f t="shared" si="1"/>
        <v>2.633666667</v>
      </c>
    </row>
    <row r="453" ht="15.75" customHeight="1">
      <c r="B453" s="370">
        <f t="shared" si="2"/>
        <v>0.05208333333</v>
      </c>
      <c r="C453" s="56">
        <f t="shared" si="3"/>
        <v>4500</v>
      </c>
      <c r="D453" s="56">
        <v>3.302</v>
      </c>
      <c r="F453" s="371">
        <v>450.0</v>
      </c>
      <c r="G453" s="372">
        <f t="shared" si="1"/>
        <v>2.962166667</v>
      </c>
    </row>
    <row r="454" ht="15.75" customHeight="1">
      <c r="B454" s="370">
        <f t="shared" si="2"/>
        <v>0.05219907407</v>
      </c>
      <c r="C454" s="56">
        <f t="shared" si="3"/>
        <v>4510</v>
      </c>
      <c r="D454" s="56">
        <v>3.365</v>
      </c>
      <c r="F454" s="371">
        <v>451.0</v>
      </c>
      <c r="G454" s="372">
        <f t="shared" si="1"/>
        <v>2.874333333</v>
      </c>
    </row>
    <row r="455" ht="15.75" customHeight="1">
      <c r="B455" s="370">
        <f t="shared" si="2"/>
        <v>0.05231481481</v>
      </c>
      <c r="C455" s="56">
        <f t="shared" si="3"/>
        <v>4520</v>
      </c>
      <c r="D455" s="56">
        <v>3.435</v>
      </c>
      <c r="F455" s="371">
        <v>452.0</v>
      </c>
      <c r="G455" s="372">
        <f t="shared" si="1"/>
        <v>2.676166667</v>
      </c>
    </row>
    <row r="456" ht="15.75" customHeight="1">
      <c r="B456" s="370">
        <f t="shared" si="2"/>
        <v>0.05243055556</v>
      </c>
      <c r="C456" s="56">
        <f t="shared" si="3"/>
        <v>4530</v>
      </c>
      <c r="D456" s="56">
        <v>3.229</v>
      </c>
      <c r="F456" s="371">
        <v>453.0</v>
      </c>
      <c r="G456" s="372">
        <f t="shared" si="1"/>
        <v>3.237333333</v>
      </c>
    </row>
    <row r="457" ht="15.75" customHeight="1">
      <c r="B457" s="370">
        <f t="shared" si="2"/>
        <v>0.0525462963</v>
      </c>
      <c r="C457" s="56">
        <f t="shared" si="3"/>
        <v>4540</v>
      </c>
      <c r="D457" s="56">
        <v>2.69</v>
      </c>
      <c r="F457" s="371">
        <v>454.0</v>
      </c>
      <c r="G457" s="372">
        <f t="shared" si="1"/>
        <v>2.663166667</v>
      </c>
    </row>
    <row r="458" ht="15.75" customHeight="1">
      <c r="B458" s="370">
        <f t="shared" si="2"/>
        <v>0.05266203704</v>
      </c>
      <c r="C458" s="56">
        <f t="shared" si="3"/>
        <v>4550</v>
      </c>
      <c r="D458" s="56">
        <v>2.233</v>
      </c>
      <c r="F458" s="371">
        <v>455.0</v>
      </c>
      <c r="G458" s="372">
        <f t="shared" si="1"/>
        <v>2.944833333</v>
      </c>
    </row>
    <row r="459" ht="15.75" customHeight="1">
      <c r="B459" s="370">
        <f t="shared" si="2"/>
        <v>0.05277777778</v>
      </c>
      <c r="C459" s="56">
        <f t="shared" si="3"/>
        <v>4560</v>
      </c>
      <c r="D459" s="56">
        <v>1.951</v>
      </c>
      <c r="F459" s="371">
        <v>456.0</v>
      </c>
      <c r="G459" s="372">
        <f t="shared" si="1"/>
        <v>2.920333333</v>
      </c>
    </row>
    <row r="460" ht="15.75" customHeight="1">
      <c r="B460" s="370">
        <f t="shared" si="2"/>
        <v>0.05289351852</v>
      </c>
      <c r="C460" s="56">
        <f t="shared" si="3"/>
        <v>4570</v>
      </c>
      <c r="D460" s="56">
        <v>2.478</v>
      </c>
      <c r="F460" s="371">
        <v>457.0</v>
      </c>
      <c r="G460" s="372">
        <f t="shared" si="1"/>
        <v>2.692166667</v>
      </c>
    </row>
    <row r="461" ht="15.75" customHeight="1">
      <c r="B461" s="370">
        <f t="shared" si="2"/>
        <v>0.05300925926</v>
      </c>
      <c r="C461" s="56">
        <f t="shared" si="3"/>
        <v>4580</v>
      </c>
      <c r="D461" s="56">
        <v>3.001</v>
      </c>
      <c r="F461" s="371">
        <v>458.0</v>
      </c>
      <c r="G461" s="372">
        <f t="shared" si="1"/>
        <v>2.974166667</v>
      </c>
    </row>
    <row r="462" ht="15.75" customHeight="1">
      <c r="B462" s="370">
        <f t="shared" si="2"/>
        <v>0.053125</v>
      </c>
      <c r="C462" s="56">
        <f t="shared" si="3"/>
        <v>4590</v>
      </c>
      <c r="D462" s="56">
        <v>3.434</v>
      </c>
      <c r="F462" s="371">
        <v>459.0</v>
      </c>
      <c r="G462" s="372">
        <f t="shared" si="1"/>
        <v>2.6785</v>
      </c>
    </row>
    <row r="463" ht="15.75" customHeight="1">
      <c r="B463" s="370">
        <f t="shared" si="2"/>
        <v>0.05324074074</v>
      </c>
      <c r="C463" s="56">
        <f t="shared" si="3"/>
        <v>4600</v>
      </c>
      <c r="D463" s="56">
        <v>3.423</v>
      </c>
      <c r="F463" s="371">
        <v>460.0</v>
      </c>
      <c r="G463" s="372">
        <f t="shared" si="1"/>
        <v>2.998833333</v>
      </c>
    </row>
    <row r="464" ht="15.75" customHeight="1">
      <c r="B464" s="370">
        <f t="shared" si="2"/>
        <v>0.05335648148</v>
      </c>
      <c r="C464" s="56">
        <f t="shared" si="3"/>
        <v>4610</v>
      </c>
      <c r="D464" s="56">
        <v>3.365</v>
      </c>
      <c r="F464" s="371">
        <v>461.0</v>
      </c>
      <c r="G464" s="372">
        <f t="shared" si="1"/>
        <v>2.925666667</v>
      </c>
    </row>
    <row r="465" ht="15.75" customHeight="1">
      <c r="B465" s="370">
        <f t="shared" si="2"/>
        <v>0.05347222222</v>
      </c>
      <c r="C465" s="56">
        <f t="shared" si="3"/>
        <v>4620</v>
      </c>
      <c r="D465" s="56">
        <v>3.198</v>
      </c>
      <c r="F465" s="371">
        <v>462.0</v>
      </c>
      <c r="G465" s="372">
        <f t="shared" si="1"/>
        <v>2.715333333</v>
      </c>
    </row>
    <row r="466" ht="15.75" customHeight="1">
      <c r="B466" s="370">
        <f t="shared" si="2"/>
        <v>0.05358796296</v>
      </c>
      <c r="C466" s="56">
        <f t="shared" si="3"/>
        <v>4630</v>
      </c>
      <c r="D466" s="56">
        <v>2.413</v>
      </c>
      <c r="F466" s="371">
        <v>463.0</v>
      </c>
      <c r="G466" s="372">
        <f t="shared" si="1"/>
        <v>3.1805</v>
      </c>
    </row>
    <row r="467" ht="15.75" customHeight="1">
      <c r="B467" s="370">
        <f t="shared" si="2"/>
        <v>0.0537037037</v>
      </c>
      <c r="C467" s="56">
        <f t="shared" si="3"/>
        <v>4640</v>
      </c>
      <c r="D467" s="56">
        <v>2.537</v>
      </c>
      <c r="F467" s="371">
        <v>464.0</v>
      </c>
      <c r="G467" s="372">
        <f t="shared" si="1"/>
        <v>2.638333333</v>
      </c>
    </row>
    <row r="468" ht="15.75" customHeight="1">
      <c r="B468" s="370">
        <f t="shared" si="2"/>
        <v>0.05381944444</v>
      </c>
      <c r="C468" s="56">
        <f t="shared" si="3"/>
        <v>4650</v>
      </c>
      <c r="D468" s="56">
        <v>2.684</v>
      </c>
      <c r="F468" s="371">
        <v>465.0</v>
      </c>
      <c r="G468" s="372">
        <f t="shared" si="1"/>
        <v>2.916666667</v>
      </c>
    </row>
    <row r="469" ht="15.75" customHeight="1">
      <c r="B469" s="370">
        <f t="shared" si="2"/>
        <v>0.05393518519</v>
      </c>
      <c r="C469" s="56">
        <f t="shared" si="3"/>
        <v>4660</v>
      </c>
      <c r="D469" s="56">
        <v>2.72</v>
      </c>
      <c r="F469" s="371">
        <v>466.0</v>
      </c>
      <c r="G469" s="372">
        <f t="shared" si="1"/>
        <v>2.910833333</v>
      </c>
    </row>
    <row r="470" ht="15.75" customHeight="1">
      <c r="B470" s="370">
        <f t="shared" si="2"/>
        <v>0.05405092593</v>
      </c>
      <c r="C470" s="56">
        <f t="shared" si="3"/>
        <v>4670</v>
      </c>
      <c r="D470" s="56">
        <v>2.765</v>
      </c>
      <c r="F470" s="371">
        <v>467.0</v>
      </c>
      <c r="G470" s="372">
        <f t="shared" si="1"/>
        <v>2.6655</v>
      </c>
    </row>
    <row r="471" ht="15.75" customHeight="1">
      <c r="B471" s="370">
        <f t="shared" si="2"/>
        <v>0.05416666667</v>
      </c>
      <c r="C471" s="56">
        <f t="shared" si="3"/>
        <v>4680</v>
      </c>
      <c r="D471" s="56">
        <v>2.671</v>
      </c>
      <c r="F471" s="371">
        <v>468.0</v>
      </c>
      <c r="G471" s="372">
        <f t="shared" si="1"/>
        <v>3.112</v>
      </c>
    </row>
    <row r="472" ht="15.75" customHeight="1">
      <c r="B472" s="370">
        <f t="shared" si="2"/>
        <v>0.05428240741</v>
      </c>
      <c r="C472" s="56">
        <f t="shared" si="3"/>
        <v>4690</v>
      </c>
      <c r="D472" s="56">
        <v>2.751</v>
      </c>
      <c r="F472" s="371">
        <v>469.0</v>
      </c>
      <c r="G472" s="372">
        <f t="shared" si="1"/>
        <v>2.690666667</v>
      </c>
    </row>
    <row r="473" ht="15.75" customHeight="1">
      <c r="B473" s="370">
        <f t="shared" si="2"/>
        <v>0.05439814815</v>
      </c>
      <c r="C473" s="56">
        <f t="shared" si="3"/>
        <v>4700</v>
      </c>
      <c r="D473" s="56">
        <v>3.171</v>
      </c>
      <c r="F473" s="371">
        <v>470.0</v>
      </c>
      <c r="G473" s="372">
        <f t="shared" si="1"/>
        <v>3.042166667</v>
      </c>
    </row>
    <row r="474" ht="15.75" customHeight="1">
      <c r="B474" s="370">
        <f t="shared" si="2"/>
        <v>0.05451388889</v>
      </c>
      <c r="C474" s="56">
        <f t="shared" si="3"/>
        <v>4710</v>
      </c>
      <c r="D474" s="56">
        <v>3.258</v>
      </c>
      <c r="F474" s="371">
        <v>471.0</v>
      </c>
      <c r="G474" s="372">
        <f t="shared" si="1"/>
        <v>2.945333333</v>
      </c>
    </row>
    <row r="475" ht="15.75" customHeight="1">
      <c r="B475" s="370">
        <f t="shared" si="2"/>
        <v>0.05462962963</v>
      </c>
      <c r="C475" s="56">
        <f t="shared" si="3"/>
        <v>4720</v>
      </c>
      <c r="D475" s="56">
        <v>3.356</v>
      </c>
      <c r="F475" s="371">
        <v>472.0</v>
      </c>
      <c r="G475" s="372">
        <f t="shared" si="1"/>
        <v>2.718666667</v>
      </c>
    </row>
    <row r="476" ht="15.75" customHeight="1">
      <c r="B476" s="370">
        <f t="shared" si="2"/>
        <v>0.05474537037</v>
      </c>
      <c r="C476" s="56">
        <f t="shared" si="3"/>
        <v>4730</v>
      </c>
      <c r="D476" s="56">
        <v>3.223</v>
      </c>
      <c r="F476" s="371">
        <v>473.0</v>
      </c>
      <c r="G476" s="372">
        <f t="shared" si="1"/>
        <v>3.056833333</v>
      </c>
    </row>
    <row r="477" ht="15.75" customHeight="1">
      <c r="B477" s="370">
        <f t="shared" si="2"/>
        <v>0.05486111111</v>
      </c>
      <c r="C477" s="56">
        <f t="shared" si="3"/>
        <v>4740</v>
      </c>
      <c r="D477" s="56">
        <v>2.786</v>
      </c>
      <c r="F477" s="371">
        <v>474.0</v>
      </c>
      <c r="G477" s="372">
        <f t="shared" si="1"/>
        <v>2.6415</v>
      </c>
    </row>
    <row r="478" ht="15.75" customHeight="1">
      <c r="B478" s="370">
        <f t="shared" si="2"/>
        <v>0.05497685185</v>
      </c>
      <c r="C478" s="56">
        <f t="shared" si="3"/>
        <v>4750</v>
      </c>
      <c r="D478" s="56">
        <v>2.359</v>
      </c>
      <c r="F478" s="371">
        <v>475.0</v>
      </c>
      <c r="G478" s="372">
        <f t="shared" si="1"/>
        <v>2.980333333</v>
      </c>
    </row>
    <row r="479" ht="15.75" customHeight="1">
      <c r="B479" s="370">
        <f t="shared" si="2"/>
        <v>0.05509259259</v>
      </c>
      <c r="C479" s="56">
        <f t="shared" si="3"/>
        <v>4760</v>
      </c>
      <c r="D479" s="56">
        <v>2.049</v>
      </c>
      <c r="F479" s="371">
        <v>476.0</v>
      </c>
      <c r="G479" s="372">
        <f t="shared" si="1"/>
        <v>2.875</v>
      </c>
    </row>
    <row r="480" ht="15.75" customHeight="1">
      <c r="B480" s="370">
        <f t="shared" si="2"/>
        <v>0.05520833333</v>
      </c>
      <c r="C480" s="56">
        <f t="shared" si="3"/>
        <v>4770</v>
      </c>
      <c r="D480" s="56">
        <v>2.246</v>
      </c>
      <c r="F480" s="371">
        <v>477.0</v>
      </c>
      <c r="G480" s="372">
        <f t="shared" si="1"/>
        <v>2.6745</v>
      </c>
    </row>
    <row r="481" ht="15.75" customHeight="1">
      <c r="B481" s="370">
        <f t="shared" si="2"/>
        <v>0.05532407407</v>
      </c>
      <c r="C481" s="56">
        <f t="shared" si="3"/>
        <v>4780</v>
      </c>
      <c r="D481" s="56">
        <v>2.917</v>
      </c>
      <c r="F481" s="371">
        <v>478.0</v>
      </c>
      <c r="G481" s="372">
        <f t="shared" si="1"/>
        <v>3.250166667</v>
      </c>
    </row>
    <row r="482" ht="15.75" customHeight="1">
      <c r="B482" s="370">
        <f t="shared" si="2"/>
        <v>0.05543981481</v>
      </c>
      <c r="C482" s="56">
        <f t="shared" si="3"/>
        <v>4790</v>
      </c>
      <c r="D482" s="56">
        <v>3.447</v>
      </c>
      <c r="F482" s="371">
        <v>479.0</v>
      </c>
      <c r="G482" s="372">
        <f t="shared" si="1"/>
        <v>2.651</v>
      </c>
    </row>
    <row r="483" ht="15.75" customHeight="1">
      <c r="B483" s="370">
        <f t="shared" si="2"/>
        <v>0.05555555556</v>
      </c>
      <c r="C483" s="56">
        <f t="shared" si="3"/>
        <v>4800</v>
      </c>
      <c r="D483" s="56">
        <v>3.49</v>
      </c>
      <c r="F483" s="371">
        <v>480.0</v>
      </c>
      <c r="G483" s="372">
        <f t="shared" si="1"/>
        <v>2.908166667</v>
      </c>
    </row>
    <row r="484" ht="15.75" customHeight="1">
      <c r="B484" s="370">
        <f t="shared" si="2"/>
        <v>0.0556712963</v>
      </c>
      <c r="C484" s="56">
        <f t="shared" si="3"/>
        <v>4810</v>
      </c>
      <c r="D484" s="56">
        <v>3.45</v>
      </c>
      <c r="F484" s="371">
        <v>481.0</v>
      </c>
      <c r="G484" s="372">
        <f t="shared" si="1"/>
        <v>2.931166667</v>
      </c>
    </row>
    <row r="485" ht="15.75" customHeight="1">
      <c r="B485" s="370">
        <f t="shared" si="2"/>
        <v>0.05578703704</v>
      </c>
      <c r="C485" s="56">
        <f t="shared" si="3"/>
        <v>4820</v>
      </c>
      <c r="D485" s="56">
        <v>3.325</v>
      </c>
      <c r="F485" s="371">
        <v>482.0</v>
      </c>
      <c r="G485" s="372">
        <f t="shared" si="1"/>
        <v>2.697</v>
      </c>
    </row>
    <row r="486" ht="15.75" customHeight="1">
      <c r="B486" s="370">
        <f t="shared" si="2"/>
        <v>0.05590277778</v>
      </c>
      <c r="C486" s="56">
        <f t="shared" si="3"/>
        <v>4830</v>
      </c>
      <c r="D486" s="56">
        <v>2.642</v>
      </c>
      <c r="F486" s="371">
        <v>483.0</v>
      </c>
      <c r="G486" s="372">
        <f t="shared" si="1"/>
        <v>2.991666667</v>
      </c>
    </row>
    <row r="487" ht="15.75" customHeight="1">
      <c r="B487" s="370">
        <f t="shared" si="2"/>
        <v>0.05601851852</v>
      </c>
      <c r="C487" s="56">
        <f t="shared" si="3"/>
        <v>4840</v>
      </c>
      <c r="D487" s="56">
        <v>2.35</v>
      </c>
      <c r="F487" s="371">
        <v>484.0</v>
      </c>
      <c r="G487" s="372">
        <f t="shared" si="1"/>
        <v>2.6845</v>
      </c>
    </row>
    <row r="488" ht="15.75" customHeight="1">
      <c r="B488" s="370">
        <f t="shared" si="2"/>
        <v>0.05613425926</v>
      </c>
      <c r="C488" s="56">
        <f t="shared" si="3"/>
        <v>4850</v>
      </c>
      <c r="D488" s="56">
        <v>2.599</v>
      </c>
      <c r="F488" s="371">
        <v>485.0</v>
      </c>
      <c r="G488" s="372">
        <f t="shared" si="1"/>
        <v>3.0075</v>
      </c>
    </row>
    <row r="489" ht="15.75" customHeight="1">
      <c r="B489" s="370">
        <f t="shared" si="2"/>
        <v>0.05625</v>
      </c>
      <c r="C489" s="56">
        <f t="shared" si="3"/>
        <v>4860</v>
      </c>
      <c r="D489" s="56">
        <v>2.699</v>
      </c>
      <c r="F489" s="371">
        <v>486.0</v>
      </c>
      <c r="G489" s="372">
        <f t="shared" si="1"/>
        <v>2.948666667</v>
      </c>
    </row>
    <row r="490" ht="15.75" customHeight="1">
      <c r="B490" s="370">
        <f t="shared" si="2"/>
        <v>0.05636574074</v>
      </c>
      <c r="C490" s="56">
        <f t="shared" si="3"/>
        <v>4870</v>
      </c>
      <c r="D490" s="56">
        <v>2.818</v>
      </c>
      <c r="F490" s="371">
        <v>487.0</v>
      </c>
      <c r="G490" s="372">
        <f t="shared" si="1"/>
        <v>2.717666667</v>
      </c>
    </row>
    <row r="491" ht="15.75" customHeight="1">
      <c r="B491" s="370">
        <f t="shared" si="2"/>
        <v>0.05648148148</v>
      </c>
      <c r="C491" s="56">
        <f t="shared" si="3"/>
        <v>4880</v>
      </c>
      <c r="D491" s="56">
        <v>2.815</v>
      </c>
      <c r="F491" s="371">
        <v>488.0</v>
      </c>
      <c r="G491" s="372">
        <f t="shared" si="1"/>
        <v>3.157</v>
      </c>
    </row>
    <row r="492" ht="15.75" customHeight="1">
      <c r="B492" s="370">
        <f t="shared" si="2"/>
        <v>0.05659722222</v>
      </c>
      <c r="C492" s="56">
        <f t="shared" si="3"/>
        <v>4890</v>
      </c>
      <c r="D492" s="56">
        <v>2.714</v>
      </c>
      <c r="F492" s="371">
        <v>489.0</v>
      </c>
      <c r="G492" s="372">
        <f t="shared" si="1"/>
        <v>2.631</v>
      </c>
    </row>
    <row r="493" ht="15.75" customHeight="1">
      <c r="B493" s="370">
        <f t="shared" si="2"/>
        <v>0.05671296296</v>
      </c>
      <c r="C493" s="56">
        <f t="shared" si="3"/>
        <v>4900</v>
      </c>
      <c r="D493" s="56">
        <v>3.031</v>
      </c>
      <c r="F493" s="371">
        <v>490.0</v>
      </c>
      <c r="G493" s="372">
        <f t="shared" si="1"/>
        <v>2.932</v>
      </c>
    </row>
    <row r="494" ht="15.75" customHeight="1">
      <c r="B494" s="370">
        <f t="shared" si="2"/>
        <v>0.0568287037</v>
      </c>
      <c r="C494" s="56">
        <f t="shared" si="3"/>
        <v>4910</v>
      </c>
      <c r="D494" s="56">
        <v>3.074</v>
      </c>
      <c r="F494" s="371">
        <v>491.0</v>
      </c>
      <c r="G494" s="372">
        <f t="shared" si="1"/>
        <v>2.913</v>
      </c>
    </row>
    <row r="495" ht="15.75" customHeight="1">
      <c r="B495" s="370">
        <f t="shared" si="2"/>
        <v>0.05694444444</v>
      </c>
      <c r="C495" s="56">
        <f t="shared" si="3"/>
        <v>4920</v>
      </c>
      <c r="D495" s="56">
        <v>3.236</v>
      </c>
      <c r="F495" s="371">
        <v>492.0</v>
      </c>
      <c r="G495" s="372">
        <f t="shared" si="1"/>
        <v>2.664833333</v>
      </c>
    </row>
    <row r="496" ht="15.75" customHeight="1">
      <c r="B496" s="370">
        <f t="shared" si="2"/>
        <v>0.05706018519</v>
      </c>
      <c r="C496" s="56">
        <f t="shared" si="3"/>
        <v>4930</v>
      </c>
      <c r="D496" s="56">
        <v>3.184</v>
      </c>
      <c r="F496" s="371">
        <v>493.0</v>
      </c>
      <c r="G496" s="372">
        <f t="shared" si="1"/>
        <v>3.126666667</v>
      </c>
    </row>
    <row r="497" ht="15.75" customHeight="1">
      <c r="B497" s="370">
        <f t="shared" si="2"/>
        <v>0.05717592593</v>
      </c>
      <c r="C497" s="56">
        <f t="shared" si="3"/>
        <v>4940</v>
      </c>
      <c r="D497" s="56">
        <v>2.846</v>
      </c>
      <c r="F497" s="371">
        <v>494.0</v>
      </c>
      <c r="G497" s="372">
        <f t="shared" si="1"/>
        <v>2.6855</v>
      </c>
    </row>
    <row r="498" ht="15.75" customHeight="1">
      <c r="B498" s="370">
        <f t="shared" si="2"/>
        <v>0.05729166667</v>
      </c>
      <c r="C498" s="56">
        <f t="shared" si="3"/>
        <v>4950</v>
      </c>
      <c r="D498" s="56">
        <v>2.54</v>
      </c>
      <c r="F498" s="371">
        <v>495.0</v>
      </c>
      <c r="G498" s="372">
        <f t="shared" si="1"/>
        <v>2.058</v>
      </c>
    </row>
    <row r="499" ht="15.75" customHeight="1">
      <c r="B499" s="370">
        <f t="shared" si="2"/>
        <v>0.05740740741</v>
      </c>
      <c r="C499" s="56">
        <f t="shared" si="3"/>
        <v>4960</v>
      </c>
      <c r="D499" s="56">
        <v>2.233</v>
      </c>
      <c r="F499" s="371">
        <v>496.0</v>
      </c>
      <c r="G499" s="372">
        <f t="shared" si="1"/>
        <v>0</v>
      </c>
    </row>
    <row r="500" ht="15.75" customHeight="1">
      <c r="B500" s="370">
        <f t="shared" si="2"/>
        <v>0.05752314815</v>
      </c>
      <c r="C500" s="56">
        <f t="shared" si="3"/>
        <v>4970</v>
      </c>
      <c r="D500" s="56">
        <v>2.103</v>
      </c>
      <c r="F500" s="371">
        <v>497.0</v>
      </c>
      <c r="G500" s="372">
        <f t="shared" si="1"/>
        <v>0</v>
      </c>
    </row>
    <row r="501" ht="15.75" customHeight="1">
      <c r="B501" s="370">
        <f t="shared" si="2"/>
        <v>0.05763888889</v>
      </c>
      <c r="C501" s="56">
        <f t="shared" si="3"/>
        <v>4980</v>
      </c>
      <c r="D501" s="56">
        <v>2.802</v>
      </c>
      <c r="F501" s="371">
        <v>498.0</v>
      </c>
      <c r="G501" s="372">
        <f t="shared" si="1"/>
        <v>0</v>
      </c>
    </row>
    <row r="502" ht="15.75" customHeight="1">
      <c r="B502" s="370">
        <f t="shared" si="2"/>
        <v>0.05775462963</v>
      </c>
      <c r="C502" s="56">
        <f t="shared" si="3"/>
        <v>4990</v>
      </c>
      <c r="D502" s="56">
        <v>3.429</v>
      </c>
      <c r="F502" s="371">
        <v>499.0</v>
      </c>
      <c r="G502" s="372">
        <f t="shared" si="1"/>
        <v>0</v>
      </c>
    </row>
    <row r="503" ht="15.75" customHeight="1">
      <c r="B503" s="370">
        <f t="shared" si="2"/>
        <v>0.05787037037</v>
      </c>
      <c r="C503" s="56">
        <f t="shared" si="3"/>
        <v>5000</v>
      </c>
      <c r="D503" s="56">
        <v>3.52</v>
      </c>
      <c r="F503" s="371">
        <v>500.0</v>
      </c>
      <c r="G503" s="372">
        <f t="shared" si="1"/>
        <v>0</v>
      </c>
    </row>
    <row r="504" ht="15.75" customHeight="1">
      <c r="B504" s="370">
        <f t="shared" si="2"/>
        <v>0.05798611111</v>
      </c>
      <c r="C504" s="56">
        <f t="shared" si="3"/>
        <v>5010</v>
      </c>
      <c r="D504" s="56">
        <v>3.5</v>
      </c>
      <c r="F504" s="371">
        <v>501.0</v>
      </c>
      <c r="G504" s="372">
        <f t="shared" si="1"/>
        <v>0</v>
      </c>
    </row>
    <row r="505" ht="15.75" customHeight="1">
      <c r="B505" s="370">
        <f t="shared" si="2"/>
        <v>0.05810185185</v>
      </c>
      <c r="C505" s="56">
        <f t="shared" si="3"/>
        <v>5020</v>
      </c>
      <c r="D505" s="56">
        <v>3.408</v>
      </c>
      <c r="F505" s="371">
        <v>502.0</v>
      </c>
      <c r="G505" s="372">
        <f t="shared" si="1"/>
        <v>0</v>
      </c>
    </row>
    <row r="506" ht="15.75" customHeight="1">
      <c r="B506" s="370">
        <f t="shared" si="2"/>
        <v>0.05821759259</v>
      </c>
      <c r="C506" s="56">
        <f t="shared" si="3"/>
        <v>5030</v>
      </c>
      <c r="D506" s="56">
        <v>2.767</v>
      </c>
      <c r="F506" s="371">
        <v>503.0</v>
      </c>
      <c r="G506" s="372">
        <f t="shared" si="1"/>
        <v>0</v>
      </c>
    </row>
    <row r="507" ht="15.75" customHeight="1">
      <c r="B507" s="370">
        <f t="shared" si="2"/>
        <v>0.05833333333</v>
      </c>
      <c r="C507" s="56">
        <f t="shared" si="3"/>
        <v>5040</v>
      </c>
      <c r="D507" s="56">
        <v>2.171</v>
      </c>
      <c r="F507" s="371">
        <v>504.0</v>
      </c>
      <c r="G507" s="372">
        <f t="shared" si="1"/>
        <v>0</v>
      </c>
    </row>
    <row r="508" ht="15.75" customHeight="1">
      <c r="B508" s="370">
        <f t="shared" si="2"/>
        <v>0.05844907407</v>
      </c>
      <c r="C508" s="56">
        <f t="shared" si="3"/>
        <v>5050</v>
      </c>
      <c r="D508" s="56">
        <v>2.466</v>
      </c>
      <c r="F508" s="371">
        <v>505.0</v>
      </c>
      <c r="G508" s="372">
        <f t="shared" si="1"/>
        <v>0</v>
      </c>
    </row>
    <row r="509" ht="15.75" customHeight="1">
      <c r="B509" s="370">
        <f t="shared" si="2"/>
        <v>0.05856481481</v>
      </c>
      <c r="C509" s="56">
        <f t="shared" si="3"/>
        <v>5060</v>
      </c>
      <c r="D509" s="56">
        <v>2.639</v>
      </c>
      <c r="F509" s="371">
        <v>506.0</v>
      </c>
      <c r="G509" s="372">
        <f t="shared" si="1"/>
        <v>0</v>
      </c>
    </row>
    <row r="510" ht="15.75" customHeight="1">
      <c r="B510" s="370">
        <f t="shared" si="2"/>
        <v>0.05868055556</v>
      </c>
      <c r="C510" s="56">
        <f t="shared" si="3"/>
        <v>5070</v>
      </c>
      <c r="D510" s="56">
        <v>2.836</v>
      </c>
      <c r="F510" s="371">
        <v>507.0</v>
      </c>
      <c r="G510" s="372">
        <f t="shared" si="1"/>
        <v>0</v>
      </c>
    </row>
    <row r="511" ht="15.75" customHeight="1">
      <c r="B511" s="370">
        <f t="shared" si="2"/>
        <v>0.0587962963</v>
      </c>
      <c r="C511" s="56">
        <f t="shared" si="3"/>
        <v>5080</v>
      </c>
      <c r="D511" s="56">
        <v>2.923</v>
      </c>
      <c r="F511" s="371">
        <v>508.0</v>
      </c>
      <c r="G511" s="372">
        <f t="shared" si="1"/>
        <v>0</v>
      </c>
    </row>
    <row r="512" ht="15.75" customHeight="1">
      <c r="B512" s="370">
        <f t="shared" si="2"/>
        <v>0.05891203704</v>
      </c>
      <c r="C512" s="56">
        <f t="shared" si="3"/>
        <v>5090</v>
      </c>
      <c r="D512" s="56">
        <v>2.979</v>
      </c>
      <c r="F512" s="371">
        <v>509.0</v>
      </c>
      <c r="G512" s="372">
        <f t="shared" si="1"/>
        <v>0</v>
      </c>
    </row>
    <row r="513" ht="15.75" customHeight="1">
      <c r="B513" s="370">
        <f t="shared" si="2"/>
        <v>0.05902777778</v>
      </c>
      <c r="C513" s="56">
        <f t="shared" si="3"/>
        <v>5100</v>
      </c>
      <c r="D513" s="56">
        <v>2.857</v>
      </c>
      <c r="F513" s="371">
        <v>510.0</v>
      </c>
      <c r="G513" s="372">
        <f t="shared" si="1"/>
        <v>0</v>
      </c>
    </row>
    <row r="514" ht="15.75" customHeight="1">
      <c r="B514" s="370">
        <f t="shared" si="2"/>
        <v>0.05914351852</v>
      </c>
      <c r="C514" s="56">
        <f t="shared" si="3"/>
        <v>5110</v>
      </c>
      <c r="D514" s="56">
        <v>2.972</v>
      </c>
      <c r="F514" s="371">
        <v>511.0</v>
      </c>
      <c r="G514" s="372">
        <f t="shared" si="1"/>
        <v>0</v>
      </c>
    </row>
    <row r="515" ht="15.75" customHeight="1">
      <c r="B515" s="370">
        <f t="shared" si="2"/>
        <v>0.05925925926</v>
      </c>
      <c r="C515" s="56">
        <f t="shared" si="3"/>
        <v>5120</v>
      </c>
      <c r="D515" s="56">
        <v>3.086</v>
      </c>
      <c r="F515" s="371">
        <v>512.0</v>
      </c>
      <c r="G515" s="372">
        <f t="shared" si="1"/>
        <v>0</v>
      </c>
    </row>
    <row r="516" ht="15.75" customHeight="1">
      <c r="B516" s="370">
        <f t="shared" si="2"/>
        <v>0.059375</v>
      </c>
      <c r="C516" s="56">
        <f t="shared" si="3"/>
        <v>5130</v>
      </c>
      <c r="D516" s="56">
        <v>3.108</v>
      </c>
      <c r="F516" s="371">
        <v>513.0</v>
      </c>
      <c r="G516" s="372">
        <f t="shared" si="1"/>
        <v>0</v>
      </c>
    </row>
    <row r="517" ht="15.75" customHeight="1">
      <c r="B517" s="370">
        <f t="shared" si="2"/>
        <v>0.05949074074</v>
      </c>
      <c r="C517" s="56">
        <f t="shared" si="3"/>
        <v>5140</v>
      </c>
      <c r="D517" s="56">
        <v>2.87</v>
      </c>
      <c r="F517" s="371">
        <v>514.0</v>
      </c>
      <c r="G517" s="372">
        <f t="shared" si="1"/>
        <v>0</v>
      </c>
    </row>
    <row r="518" ht="15.75" customHeight="1">
      <c r="B518" s="370">
        <f t="shared" si="2"/>
        <v>0.05960648148</v>
      </c>
      <c r="C518" s="56">
        <f t="shared" si="3"/>
        <v>5150</v>
      </c>
      <c r="D518" s="56">
        <v>2.646</v>
      </c>
      <c r="F518" s="371">
        <v>515.0</v>
      </c>
      <c r="G518" s="372">
        <f t="shared" si="1"/>
        <v>0</v>
      </c>
    </row>
    <row r="519" ht="15.75" customHeight="1">
      <c r="B519" s="370">
        <f t="shared" si="2"/>
        <v>0.05972222222</v>
      </c>
      <c r="C519" s="56">
        <f t="shared" si="3"/>
        <v>5160</v>
      </c>
      <c r="D519" s="56">
        <v>2.397</v>
      </c>
      <c r="F519" s="371">
        <v>516.0</v>
      </c>
      <c r="G519" s="372">
        <f t="shared" si="1"/>
        <v>0</v>
      </c>
    </row>
    <row r="520" ht="15.75" customHeight="1">
      <c r="B520" s="370">
        <f t="shared" si="2"/>
        <v>0.05983796296</v>
      </c>
      <c r="C520" s="56">
        <f t="shared" si="3"/>
        <v>5170</v>
      </c>
      <c r="D520" s="56">
        <v>2.028</v>
      </c>
      <c r="F520" s="371">
        <v>517.0</v>
      </c>
      <c r="G520" s="372">
        <f t="shared" si="1"/>
        <v>0</v>
      </c>
    </row>
    <row r="521" ht="15.75" customHeight="1">
      <c r="B521" s="370">
        <f t="shared" si="2"/>
        <v>0.0599537037</v>
      </c>
      <c r="C521" s="56">
        <f t="shared" si="3"/>
        <v>5180</v>
      </c>
      <c r="D521" s="56">
        <v>2.651</v>
      </c>
      <c r="F521" s="371">
        <v>518.0</v>
      </c>
      <c r="G521" s="372">
        <f t="shared" si="1"/>
        <v>0</v>
      </c>
    </row>
    <row r="522" ht="15.75" customHeight="1">
      <c r="B522" s="370">
        <f t="shared" si="2"/>
        <v>0.06006944444</v>
      </c>
      <c r="C522" s="56">
        <f t="shared" si="3"/>
        <v>5190</v>
      </c>
      <c r="D522" s="56">
        <v>3.376</v>
      </c>
      <c r="F522" s="371">
        <v>519.0</v>
      </c>
      <c r="G522" s="372">
        <f t="shared" si="1"/>
        <v>0</v>
      </c>
    </row>
    <row r="523" ht="15.75" customHeight="1">
      <c r="B523" s="370">
        <f t="shared" si="2"/>
        <v>0.06018518519</v>
      </c>
      <c r="C523" s="56">
        <f t="shared" si="3"/>
        <v>5200</v>
      </c>
      <c r="D523" s="56">
        <v>3.521</v>
      </c>
      <c r="F523" s="371">
        <v>520.0</v>
      </c>
      <c r="G523" s="372">
        <f t="shared" si="1"/>
        <v>0</v>
      </c>
    </row>
    <row r="524" ht="15.75" customHeight="1">
      <c r="B524" s="370">
        <f t="shared" si="2"/>
        <v>0.06030092593</v>
      </c>
      <c r="C524" s="56">
        <f t="shared" si="3"/>
        <v>5210</v>
      </c>
      <c r="D524" s="56">
        <v>3.516</v>
      </c>
      <c r="F524" s="371">
        <v>521.0</v>
      </c>
      <c r="G524" s="372">
        <f t="shared" si="1"/>
        <v>0</v>
      </c>
    </row>
    <row r="525" ht="15.75" customHeight="1">
      <c r="B525" s="370">
        <f t="shared" si="2"/>
        <v>0.06041666667</v>
      </c>
      <c r="C525" s="56">
        <f t="shared" si="3"/>
        <v>5220</v>
      </c>
      <c r="D525" s="56">
        <v>3.475</v>
      </c>
      <c r="F525" s="371">
        <v>522.0</v>
      </c>
      <c r="G525" s="372">
        <f t="shared" si="1"/>
        <v>0</v>
      </c>
    </row>
    <row r="526" ht="15.75" customHeight="1">
      <c r="B526" s="370">
        <f t="shared" si="2"/>
        <v>0.06053240741</v>
      </c>
      <c r="C526" s="56">
        <f t="shared" si="3"/>
        <v>5230</v>
      </c>
      <c r="D526" s="56">
        <v>2.973</v>
      </c>
      <c r="F526" s="371">
        <v>523.0</v>
      </c>
      <c r="G526" s="372">
        <f t="shared" si="1"/>
        <v>0</v>
      </c>
    </row>
    <row r="527" ht="15.75" customHeight="1">
      <c r="B527" s="370">
        <f t="shared" si="2"/>
        <v>0.06064814815</v>
      </c>
      <c r="C527" s="56">
        <f t="shared" si="3"/>
        <v>5240</v>
      </c>
      <c r="D527" s="56">
        <v>2.06</v>
      </c>
      <c r="F527" s="371">
        <v>524.0</v>
      </c>
      <c r="G527" s="372">
        <f t="shared" si="1"/>
        <v>0</v>
      </c>
    </row>
    <row r="528" ht="15.75" customHeight="1">
      <c r="B528" s="370">
        <f t="shared" si="2"/>
        <v>0.06076388889</v>
      </c>
      <c r="C528" s="56">
        <f t="shared" si="3"/>
        <v>5250</v>
      </c>
      <c r="D528" s="56">
        <v>2.324</v>
      </c>
      <c r="F528" s="371">
        <v>525.0</v>
      </c>
      <c r="G528" s="372">
        <f t="shared" si="1"/>
        <v>0</v>
      </c>
    </row>
    <row r="529" ht="15.75" customHeight="1">
      <c r="B529" s="370">
        <f t="shared" si="2"/>
        <v>0.06087962963</v>
      </c>
      <c r="C529" s="56">
        <f t="shared" si="3"/>
        <v>5260</v>
      </c>
      <c r="D529" s="56">
        <v>2.553</v>
      </c>
      <c r="F529" s="371">
        <v>526.0</v>
      </c>
      <c r="G529" s="372">
        <f t="shared" si="1"/>
        <v>0</v>
      </c>
    </row>
    <row r="530" ht="15.75" customHeight="1">
      <c r="B530" s="370">
        <f t="shared" si="2"/>
        <v>0.06099537037</v>
      </c>
      <c r="C530" s="56">
        <f t="shared" si="3"/>
        <v>5270</v>
      </c>
      <c r="D530" s="56">
        <v>2.817</v>
      </c>
      <c r="F530" s="371">
        <v>527.0</v>
      </c>
      <c r="G530" s="372">
        <f t="shared" si="1"/>
        <v>0</v>
      </c>
    </row>
    <row r="531" ht="15.75" customHeight="1">
      <c r="B531" s="370">
        <f t="shared" si="2"/>
        <v>0.06111111111</v>
      </c>
      <c r="C531" s="56">
        <f t="shared" si="3"/>
        <v>5280</v>
      </c>
      <c r="D531" s="56">
        <v>3.009</v>
      </c>
      <c r="F531" s="371">
        <v>528.0</v>
      </c>
      <c r="G531" s="372">
        <f t="shared" si="1"/>
        <v>0</v>
      </c>
    </row>
    <row r="532" ht="15.75" customHeight="1">
      <c r="B532" s="370">
        <f t="shared" si="2"/>
        <v>0.06122685185</v>
      </c>
      <c r="C532" s="56">
        <f t="shared" si="3"/>
        <v>5290</v>
      </c>
      <c r="D532" s="56">
        <v>3.14</v>
      </c>
      <c r="F532" s="371">
        <v>529.0</v>
      </c>
      <c r="G532" s="372">
        <f t="shared" si="1"/>
        <v>0</v>
      </c>
    </row>
    <row r="533" ht="15.75" customHeight="1">
      <c r="B533" s="370">
        <f t="shared" si="2"/>
        <v>0.06134259259</v>
      </c>
      <c r="C533" s="56">
        <f t="shared" si="3"/>
        <v>5300</v>
      </c>
      <c r="D533" s="56">
        <v>3.002</v>
      </c>
      <c r="F533" s="371">
        <v>530.0</v>
      </c>
      <c r="G533" s="372">
        <f t="shared" si="1"/>
        <v>2.4095</v>
      </c>
    </row>
    <row r="534" ht="15.75" customHeight="1">
      <c r="B534" s="370">
        <f t="shared" si="2"/>
        <v>0.06145833333</v>
      </c>
      <c r="C534" s="56">
        <f t="shared" si="3"/>
        <v>5310</v>
      </c>
      <c r="D534" s="56">
        <v>2.882</v>
      </c>
      <c r="F534" s="371">
        <v>531.0</v>
      </c>
      <c r="G534" s="372">
        <f t="shared" si="1"/>
        <v>2.924833333</v>
      </c>
    </row>
    <row r="535" ht="15.75" customHeight="1">
      <c r="B535" s="370">
        <f t="shared" si="2"/>
        <v>0.06157407407</v>
      </c>
      <c r="C535" s="56">
        <f t="shared" si="3"/>
        <v>5320</v>
      </c>
      <c r="D535" s="56">
        <v>2.927</v>
      </c>
      <c r="F535" s="371">
        <v>532.0</v>
      </c>
      <c r="G535" s="372">
        <f t="shared" si="1"/>
        <v>2.69</v>
      </c>
    </row>
    <row r="536" ht="15.75" customHeight="1">
      <c r="B536" s="370">
        <f t="shared" si="2"/>
        <v>0.06168981481</v>
      </c>
      <c r="C536" s="56">
        <f t="shared" si="3"/>
        <v>5330</v>
      </c>
      <c r="D536" s="56">
        <v>2.995</v>
      </c>
      <c r="F536" s="371">
        <v>533.0</v>
      </c>
      <c r="G536" s="372">
        <f t="shared" si="1"/>
        <v>3.038</v>
      </c>
    </row>
    <row r="537" ht="15.75" customHeight="1">
      <c r="B537" s="370">
        <f t="shared" si="2"/>
        <v>0.06180555556</v>
      </c>
      <c r="C537" s="56">
        <f t="shared" si="3"/>
        <v>5340</v>
      </c>
      <c r="D537" s="56">
        <v>2.857</v>
      </c>
      <c r="F537" s="371">
        <v>534.0</v>
      </c>
      <c r="G537" s="372">
        <f t="shared" si="1"/>
        <v>2.669166667</v>
      </c>
    </row>
    <row r="538" ht="15.75" customHeight="1">
      <c r="B538" s="370">
        <f t="shared" si="2"/>
        <v>0.0619212963</v>
      </c>
      <c r="C538" s="56">
        <f t="shared" si="3"/>
        <v>5350</v>
      </c>
      <c r="D538" s="56">
        <v>2.712</v>
      </c>
      <c r="F538" s="371">
        <v>535.0</v>
      </c>
      <c r="G538" s="372">
        <f t="shared" si="1"/>
        <v>3.013166667</v>
      </c>
    </row>
    <row r="539" ht="15.75" customHeight="1">
      <c r="B539" s="370">
        <f t="shared" si="2"/>
        <v>0.06203703704</v>
      </c>
      <c r="C539" s="56">
        <f t="shared" si="3"/>
        <v>5360</v>
      </c>
      <c r="D539" s="56">
        <v>2.51</v>
      </c>
      <c r="F539" s="371">
        <v>536.0</v>
      </c>
      <c r="G539" s="372">
        <f t="shared" si="1"/>
        <v>2.967</v>
      </c>
    </row>
    <row r="540" ht="15.75" customHeight="1">
      <c r="B540" s="370">
        <f t="shared" si="2"/>
        <v>0.06215277778</v>
      </c>
      <c r="C540" s="56">
        <f t="shared" si="3"/>
        <v>5370</v>
      </c>
      <c r="D540" s="56">
        <v>2.314</v>
      </c>
      <c r="F540" s="371">
        <v>537.0</v>
      </c>
      <c r="G540" s="372">
        <f t="shared" si="1"/>
        <v>2.7295</v>
      </c>
    </row>
    <row r="541" ht="15.75" customHeight="1">
      <c r="B541" s="370">
        <f t="shared" si="2"/>
        <v>0.06226851852</v>
      </c>
      <c r="C541" s="56">
        <f t="shared" si="3"/>
        <v>5380</v>
      </c>
      <c r="D541" s="56">
        <v>2.396</v>
      </c>
      <c r="F541" s="371">
        <v>538.0</v>
      </c>
      <c r="G541" s="372">
        <f t="shared" si="1"/>
        <v>3.132666667</v>
      </c>
    </row>
    <row r="542" ht="15.75" customHeight="1">
      <c r="B542" s="370">
        <f t="shared" si="2"/>
        <v>0.06238425926</v>
      </c>
      <c r="C542" s="56">
        <f t="shared" si="3"/>
        <v>5390</v>
      </c>
      <c r="D542" s="56">
        <v>3.283</v>
      </c>
      <c r="F542" s="371">
        <v>539.0</v>
      </c>
      <c r="G542" s="372">
        <f t="shared" si="1"/>
        <v>2.626166667</v>
      </c>
    </row>
    <row r="543" ht="15.75" customHeight="1">
      <c r="B543" s="370">
        <f t="shared" si="2"/>
        <v>0.0625</v>
      </c>
      <c r="C543" s="56">
        <f t="shared" si="3"/>
        <v>5400</v>
      </c>
      <c r="D543" s="56">
        <v>3.496</v>
      </c>
      <c r="F543" s="371">
        <v>540.0</v>
      </c>
      <c r="G543" s="372">
        <f t="shared" si="1"/>
        <v>2.939166667</v>
      </c>
    </row>
    <row r="544" ht="15.75" customHeight="1">
      <c r="B544" s="370">
        <f t="shared" si="2"/>
        <v>0.06261574074</v>
      </c>
      <c r="C544" s="56">
        <f t="shared" si="3"/>
        <v>5410</v>
      </c>
      <c r="D544" s="56">
        <v>3.508</v>
      </c>
      <c r="F544" s="371">
        <v>541.0</v>
      </c>
      <c r="G544" s="372">
        <f t="shared" si="1"/>
        <v>2.890666667</v>
      </c>
    </row>
    <row r="545" ht="15.75" customHeight="1">
      <c r="B545" s="370">
        <f t="shared" si="2"/>
        <v>0.06273148148</v>
      </c>
      <c r="C545" s="56">
        <f t="shared" si="3"/>
        <v>5420</v>
      </c>
      <c r="D545" s="56">
        <v>3.502</v>
      </c>
      <c r="F545" s="371">
        <v>542.0</v>
      </c>
      <c r="G545" s="372">
        <f t="shared" si="1"/>
        <v>2.674166667</v>
      </c>
    </row>
    <row r="546" ht="15.75" customHeight="1">
      <c r="B546" s="370">
        <f t="shared" si="2"/>
        <v>0.06284722222</v>
      </c>
      <c r="C546" s="56">
        <f t="shared" si="3"/>
        <v>5430</v>
      </c>
      <c r="D546" s="56">
        <v>3.09</v>
      </c>
      <c r="F546" s="371">
        <v>543.0</v>
      </c>
      <c r="G546" s="372">
        <f t="shared" si="1"/>
        <v>3.184666667</v>
      </c>
    </row>
    <row r="547" ht="15.75" customHeight="1">
      <c r="B547" s="370">
        <f t="shared" si="2"/>
        <v>0.06296296296</v>
      </c>
      <c r="C547" s="56">
        <f t="shared" si="3"/>
        <v>5440</v>
      </c>
      <c r="D547" s="56">
        <v>2.311</v>
      </c>
      <c r="F547" s="371">
        <v>544.0</v>
      </c>
      <c r="G547" s="372">
        <f t="shared" si="1"/>
        <v>2.673666667</v>
      </c>
    </row>
    <row r="548" ht="15.75" customHeight="1">
      <c r="B548" s="370">
        <f t="shared" si="2"/>
        <v>0.0630787037</v>
      </c>
      <c r="C548" s="56">
        <f t="shared" si="3"/>
        <v>5450</v>
      </c>
      <c r="D548" s="56">
        <v>2.112</v>
      </c>
      <c r="F548" s="371">
        <v>545.0</v>
      </c>
      <c r="G548" s="372">
        <f t="shared" si="1"/>
        <v>2.998833333</v>
      </c>
    </row>
    <row r="549" ht="15.75" customHeight="1">
      <c r="B549" s="370">
        <f t="shared" si="2"/>
        <v>0.06319444444</v>
      </c>
      <c r="C549" s="56">
        <f t="shared" si="3"/>
        <v>5460</v>
      </c>
      <c r="D549" s="56">
        <v>2.427</v>
      </c>
      <c r="F549" s="371">
        <v>546.0</v>
      </c>
      <c r="G549" s="372">
        <f t="shared" si="1"/>
        <v>2.930333333</v>
      </c>
    </row>
    <row r="550" ht="15.75" customHeight="1">
      <c r="B550" s="370">
        <f t="shared" si="2"/>
        <v>0.06331018519</v>
      </c>
      <c r="C550" s="56">
        <f t="shared" si="3"/>
        <v>5470</v>
      </c>
      <c r="D550" s="56">
        <v>2.762</v>
      </c>
      <c r="F550" s="371">
        <v>547.0</v>
      </c>
      <c r="G550" s="372">
        <f t="shared" si="1"/>
        <v>2.7215</v>
      </c>
    </row>
    <row r="551" ht="15.75" customHeight="1">
      <c r="B551" s="370">
        <f t="shared" si="2"/>
        <v>0.06342592593</v>
      </c>
      <c r="C551" s="56">
        <f t="shared" si="3"/>
        <v>5480</v>
      </c>
      <c r="D551" s="56">
        <v>3.05</v>
      </c>
      <c r="F551" s="371">
        <v>548.0</v>
      </c>
      <c r="G551" s="372">
        <f t="shared" si="1"/>
        <v>2.995833333</v>
      </c>
    </row>
    <row r="552" ht="15.75" customHeight="1">
      <c r="B552" s="370">
        <f t="shared" si="2"/>
        <v>0.06354166667</v>
      </c>
      <c r="C552" s="56">
        <f t="shared" si="3"/>
        <v>5490</v>
      </c>
      <c r="D552" s="56">
        <v>3.258</v>
      </c>
      <c r="F552" s="371">
        <v>549.0</v>
      </c>
      <c r="G552" s="372">
        <f t="shared" si="1"/>
        <v>2.651666667</v>
      </c>
    </row>
    <row r="553" ht="15.75" customHeight="1">
      <c r="B553" s="370">
        <f t="shared" si="2"/>
        <v>0.06365740741</v>
      </c>
      <c r="C553" s="56">
        <f t="shared" si="3"/>
        <v>5500</v>
      </c>
      <c r="D553" s="56">
        <v>3.107</v>
      </c>
      <c r="F553" s="371">
        <v>550.0</v>
      </c>
      <c r="G553" s="372">
        <f t="shared" si="1"/>
        <v>2.978166667</v>
      </c>
    </row>
    <row r="554" ht="15.75" customHeight="1">
      <c r="B554" s="370">
        <f t="shared" si="2"/>
        <v>0.06377314815</v>
      </c>
      <c r="C554" s="56">
        <f t="shared" si="3"/>
        <v>5510</v>
      </c>
      <c r="D554" s="56">
        <v>3.076</v>
      </c>
      <c r="F554" s="371">
        <v>551.0</v>
      </c>
      <c r="G554" s="372">
        <f t="shared" si="1"/>
        <v>2.8755</v>
      </c>
    </row>
    <row r="555" ht="15.75" customHeight="1">
      <c r="B555" s="370">
        <f t="shared" si="2"/>
        <v>0.06388888889</v>
      </c>
      <c r="C555" s="56">
        <f t="shared" si="3"/>
        <v>5520</v>
      </c>
      <c r="D555" s="56">
        <v>2.773</v>
      </c>
      <c r="F555" s="371">
        <v>552.0</v>
      </c>
      <c r="G555" s="372">
        <f t="shared" si="1"/>
        <v>2.708833333</v>
      </c>
    </row>
    <row r="556" ht="15.75" customHeight="1">
      <c r="B556" s="370">
        <f t="shared" si="2"/>
        <v>0.06400462963</v>
      </c>
      <c r="C556" s="56">
        <f t="shared" si="3"/>
        <v>5530</v>
      </c>
      <c r="D556" s="56">
        <v>2.854</v>
      </c>
      <c r="F556" s="371">
        <v>553.0</v>
      </c>
      <c r="G556" s="372">
        <f t="shared" si="1"/>
        <v>3.235666667</v>
      </c>
    </row>
    <row r="557" ht="15.75" customHeight="1">
      <c r="B557" s="370">
        <f t="shared" si="2"/>
        <v>0.06412037037</v>
      </c>
      <c r="C557" s="56">
        <f t="shared" si="3"/>
        <v>5540</v>
      </c>
      <c r="D557" s="56">
        <v>2.808</v>
      </c>
      <c r="F557" s="371">
        <v>554.0</v>
      </c>
      <c r="G557" s="372">
        <f t="shared" si="1"/>
        <v>2.641833333</v>
      </c>
    </row>
    <row r="558" ht="15.75" customHeight="1">
      <c r="B558" s="370">
        <f t="shared" si="2"/>
        <v>0.06423611111</v>
      </c>
      <c r="C558" s="56">
        <f t="shared" si="3"/>
        <v>5550</v>
      </c>
      <c r="D558" s="56">
        <v>2.748</v>
      </c>
      <c r="F558" s="371">
        <v>555.0</v>
      </c>
      <c r="G558" s="372">
        <f t="shared" si="1"/>
        <v>2.898333333</v>
      </c>
    </row>
    <row r="559" ht="15.75" customHeight="1">
      <c r="B559" s="370">
        <f t="shared" si="2"/>
        <v>0.06435185185</v>
      </c>
      <c r="C559" s="56">
        <f t="shared" si="3"/>
        <v>5560</v>
      </c>
      <c r="D559" s="56">
        <v>2.626</v>
      </c>
      <c r="F559" s="371">
        <v>556.0</v>
      </c>
      <c r="G559" s="372">
        <f t="shared" si="1"/>
        <v>2.909833333</v>
      </c>
    </row>
    <row r="560" ht="15.75" customHeight="1">
      <c r="B560" s="370">
        <f t="shared" si="2"/>
        <v>0.06446759259</v>
      </c>
      <c r="C560" s="56">
        <f t="shared" si="3"/>
        <v>5570</v>
      </c>
      <c r="D560" s="56">
        <v>2.488</v>
      </c>
      <c r="F560" s="371">
        <v>557.0</v>
      </c>
      <c r="G560" s="372">
        <f t="shared" si="1"/>
        <v>2.679333333</v>
      </c>
    </row>
    <row r="561" ht="15.75" customHeight="1">
      <c r="B561" s="370">
        <f t="shared" si="2"/>
        <v>0.06458333333</v>
      </c>
      <c r="C561" s="56">
        <f t="shared" si="3"/>
        <v>5580</v>
      </c>
      <c r="D561" s="56">
        <v>2.266</v>
      </c>
      <c r="F561" s="371">
        <v>558.0</v>
      </c>
      <c r="G561" s="372">
        <f t="shared" si="1"/>
        <v>3.067333333</v>
      </c>
    </row>
    <row r="562" ht="15.75" customHeight="1">
      <c r="B562" s="370">
        <f t="shared" si="2"/>
        <v>0.06469907407</v>
      </c>
      <c r="C562" s="56">
        <f t="shared" si="3"/>
        <v>5590</v>
      </c>
      <c r="D562" s="56">
        <v>3.172</v>
      </c>
      <c r="F562" s="371">
        <v>559.0</v>
      </c>
      <c r="G562" s="372">
        <f t="shared" si="1"/>
        <v>2.684833333</v>
      </c>
    </row>
    <row r="563" ht="15.75" customHeight="1">
      <c r="B563" s="370">
        <f t="shared" si="2"/>
        <v>0.06481481481</v>
      </c>
      <c r="C563" s="56">
        <f t="shared" si="3"/>
        <v>5600</v>
      </c>
      <c r="D563" s="56">
        <v>3.438</v>
      </c>
      <c r="F563" s="371">
        <v>560.0</v>
      </c>
      <c r="G563" s="372">
        <f t="shared" si="1"/>
        <v>3.032333333</v>
      </c>
    </row>
    <row r="564" ht="15.75" customHeight="1">
      <c r="B564" s="370">
        <f t="shared" si="2"/>
        <v>0.06493055556</v>
      </c>
      <c r="C564" s="56">
        <f t="shared" si="3"/>
        <v>5610</v>
      </c>
      <c r="D564" s="56">
        <v>3.473</v>
      </c>
      <c r="F564" s="371">
        <v>561.0</v>
      </c>
      <c r="G564" s="372">
        <f t="shared" si="1"/>
        <v>2.962666667</v>
      </c>
    </row>
    <row r="565" ht="15.75" customHeight="1">
      <c r="B565" s="370">
        <f t="shared" si="2"/>
        <v>0.0650462963</v>
      </c>
      <c r="C565" s="56">
        <f t="shared" si="3"/>
        <v>5620</v>
      </c>
      <c r="D565" s="56">
        <v>3.495</v>
      </c>
      <c r="F565" s="371">
        <v>562.0</v>
      </c>
      <c r="G565" s="372">
        <f t="shared" si="1"/>
        <v>2.722166667</v>
      </c>
    </row>
    <row r="566" ht="15.75" customHeight="1">
      <c r="B566" s="370">
        <f t="shared" si="2"/>
        <v>0.06516203704</v>
      </c>
      <c r="C566" s="56">
        <f t="shared" si="3"/>
        <v>5630</v>
      </c>
      <c r="D566" s="56">
        <v>3.17</v>
      </c>
      <c r="F566" s="371">
        <v>563.0</v>
      </c>
      <c r="G566" s="372">
        <f t="shared" si="1"/>
        <v>3.114</v>
      </c>
    </row>
    <row r="567" ht="15.75" customHeight="1">
      <c r="B567" s="370">
        <f t="shared" si="2"/>
        <v>0.06527777778</v>
      </c>
      <c r="C567" s="56">
        <f t="shared" si="3"/>
        <v>5640</v>
      </c>
      <c r="D567" s="56">
        <v>2.435</v>
      </c>
      <c r="F567" s="371">
        <v>564.0</v>
      </c>
      <c r="G567" s="372">
        <f t="shared" si="1"/>
        <v>2.618166667</v>
      </c>
    </row>
    <row r="568" ht="15.75" customHeight="1">
      <c r="B568" s="370">
        <f t="shared" si="2"/>
        <v>0.06539351852</v>
      </c>
      <c r="C568" s="56">
        <f t="shared" si="3"/>
        <v>5650</v>
      </c>
      <c r="D568" s="56">
        <v>1.946</v>
      </c>
      <c r="F568" s="371">
        <v>565.0</v>
      </c>
      <c r="G568" s="372">
        <f t="shared" si="1"/>
        <v>2.957833333</v>
      </c>
    </row>
    <row r="569" ht="15.75" customHeight="1">
      <c r="B569" s="370">
        <f t="shared" si="2"/>
        <v>0.06550925926</v>
      </c>
      <c r="C569" s="56">
        <f t="shared" si="3"/>
        <v>5660</v>
      </c>
      <c r="D569" s="56">
        <v>2.227</v>
      </c>
      <c r="F569" s="371">
        <v>566.0</v>
      </c>
      <c r="G569" s="372">
        <f t="shared" si="1"/>
        <v>2.873</v>
      </c>
    </row>
    <row r="570" ht="15.75" customHeight="1">
      <c r="B570" s="370">
        <f t="shared" si="2"/>
        <v>0.065625</v>
      </c>
      <c r="C570" s="56">
        <f t="shared" si="3"/>
        <v>5670</v>
      </c>
      <c r="D570" s="56">
        <v>2.67</v>
      </c>
      <c r="F570" s="371">
        <v>567.0</v>
      </c>
      <c r="G570" s="372">
        <f t="shared" si="1"/>
        <v>2.686833333</v>
      </c>
    </row>
    <row r="571" ht="15.75" customHeight="1">
      <c r="B571" s="370">
        <f t="shared" si="2"/>
        <v>0.06574074074</v>
      </c>
      <c r="C571" s="56">
        <f t="shared" si="3"/>
        <v>5680</v>
      </c>
      <c r="D571" s="56">
        <v>3.056</v>
      </c>
      <c r="F571" s="371">
        <v>568.0</v>
      </c>
      <c r="G571" s="372">
        <f t="shared" si="1"/>
        <v>3.214</v>
      </c>
    </row>
    <row r="572" ht="15.75" customHeight="1">
      <c r="B572" s="370">
        <f t="shared" si="2"/>
        <v>0.06585648148</v>
      </c>
      <c r="C572" s="56">
        <f t="shared" si="3"/>
        <v>5690</v>
      </c>
      <c r="D572" s="56">
        <v>3.358</v>
      </c>
      <c r="F572" s="371">
        <v>569.0</v>
      </c>
      <c r="G572" s="372">
        <f t="shared" si="1"/>
        <v>2.678</v>
      </c>
    </row>
    <row r="573" ht="15.75" customHeight="1">
      <c r="B573" s="370">
        <f t="shared" si="2"/>
        <v>0.06597222222</v>
      </c>
      <c r="C573" s="56">
        <f t="shared" si="3"/>
        <v>5700</v>
      </c>
      <c r="D573" s="56">
        <v>3.285</v>
      </c>
      <c r="F573" s="371">
        <v>570.0</v>
      </c>
      <c r="G573" s="372">
        <f t="shared" si="1"/>
        <v>2.967333333</v>
      </c>
    </row>
    <row r="574" ht="15.75" customHeight="1">
      <c r="B574" s="370">
        <f t="shared" si="2"/>
        <v>0.06608796296</v>
      </c>
      <c r="C574" s="56">
        <f t="shared" si="3"/>
        <v>5710</v>
      </c>
      <c r="D574" s="56">
        <v>3.215</v>
      </c>
      <c r="F574" s="371">
        <v>571.0</v>
      </c>
      <c r="G574" s="372">
        <f t="shared" si="1"/>
        <v>2.9165</v>
      </c>
    </row>
    <row r="575" ht="15.75" customHeight="1">
      <c r="B575" s="370">
        <f t="shared" si="2"/>
        <v>0.0662037037</v>
      </c>
      <c r="C575" s="56">
        <f t="shared" si="3"/>
        <v>5720</v>
      </c>
      <c r="D575" s="56">
        <v>2.968</v>
      </c>
      <c r="F575" s="371">
        <v>572.0</v>
      </c>
      <c r="G575" s="372">
        <f t="shared" si="1"/>
        <v>2.707333333</v>
      </c>
    </row>
    <row r="576" ht="15.75" customHeight="1">
      <c r="B576" s="370">
        <f t="shared" si="2"/>
        <v>0.06631944444</v>
      </c>
      <c r="C576" s="56">
        <f t="shared" si="3"/>
        <v>5730</v>
      </c>
      <c r="D576" s="56">
        <v>2.658</v>
      </c>
      <c r="F576" s="371">
        <v>573.0</v>
      </c>
      <c r="G576" s="372">
        <f t="shared" si="1"/>
        <v>2.980666667</v>
      </c>
    </row>
    <row r="577" ht="15.75" customHeight="1">
      <c r="B577" s="370">
        <f t="shared" si="2"/>
        <v>0.06643518519</v>
      </c>
      <c r="C577" s="56">
        <f t="shared" si="3"/>
        <v>5740</v>
      </c>
      <c r="D577" s="56">
        <v>2.723</v>
      </c>
      <c r="F577" s="371">
        <v>574.0</v>
      </c>
      <c r="G577" s="372">
        <f t="shared" si="1"/>
        <v>2.669166667</v>
      </c>
    </row>
    <row r="578" ht="15.75" customHeight="1">
      <c r="B578" s="370">
        <f t="shared" si="2"/>
        <v>0.06655092593</v>
      </c>
      <c r="C578" s="56">
        <f t="shared" si="3"/>
        <v>5750</v>
      </c>
      <c r="D578" s="56">
        <v>2.748</v>
      </c>
      <c r="F578" s="371">
        <v>575.0</v>
      </c>
      <c r="G578" s="372">
        <f t="shared" si="1"/>
        <v>2.994333333</v>
      </c>
    </row>
    <row r="579" ht="15.75" customHeight="1">
      <c r="B579" s="370">
        <f t="shared" si="2"/>
        <v>0.06666666667</v>
      </c>
      <c r="C579" s="56">
        <f t="shared" si="3"/>
        <v>5760</v>
      </c>
      <c r="D579" s="56">
        <v>2.69</v>
      </c>
      <c r="F579" s="371">
        <v>576.0</v>
      </c>
      <c r="G579" s="372">
        <f t="shared" si="1"/>
        <v>2.908333333</v>
      </c>
    </row>
    <row r="580" ht="15.75" customHeight="1">
      <c r="B580" s="370">
        <f t="shared" si="2"/>
        <v>0.06678240741</v>
      </c>
      <c r="C580" s="56">
        <f t="shared" si="3"/>
        <v>5770</v>
      </c>
      <c r="D580" s="56">
        <v>2.624</v>
      </c>
      <c r="F580" s="371">
        <v>577.0</v>
      </c>
      <c r="G580" s="372">
        <f t="shared" si="1"/>
        <v>2.711166667</v>
      </c>
    </row>
    <row r="581" ht="15.75" customHeight="1">
      <c r="B581" s="370">
        <f t="shared" si="2"/>
        <v>0.06689814815</v>
      </c>
      <c r="C581" s="56">
        <f t="shared" si="3"/>
        <v>5780</v>
      </c>
      <c r="D581" s="56">
        <v>2.314</v>
      </c>
      <c r="F581" s="371">
        <v>578.0</v>
      </c>
      <c r="G581" s="372">
        <f t="shared" si="1"/>
        <v>3.2125</v>
      </c>
    </row>
    <row r="582" ht="15.75" customHeight="1">
      <c r="B582" s="370">
        <f t="shared" si="2"/>
        <v>0.06701388889</v>
      </c>
      <c r="C582" s="56">
        <f t="shared" si="3"/>
        <v>5790</v>
      </c>
      <c r="D582" s="56">
        <v>3.02</v>
      </c>
      <c r="F582" s="371">
        <v>579.0</v>
      </c>
      <c r="G582" s="372">
        <f t="shared" si="1"/>
        <v>2.635833333</v>
      </c>
    </row>
    <row r="583" ht="15.75" customHeight="1">
      <c r="B583" s="370">
        <f t="shared" si="2"/>
        <v>0.06712962963</v>
      </c>
      <c r="C583" s="56">
        <f t="shared" si="3"/>
        <v>5800</v>
      </c>
      <c r="D583" s="56">
        <v>3.354</v>
      </c>
      <c r="F583" s="371">
        <v>580.0</v>
      </c>
      <c r="G583" s="372">
        <f t="shared" si="1"/>
        <v>2.913666667</v>
      </c>
    </row>
    <row r="584" ht="15.75" customHeight="1">
      <c r="B584" s="370">
        <f t="shared" si="2"/>
        <v>0.06724537037</v>
      </c>
      <c r="C584" s="56">
        <f t="shared" si="3"/>
        <v>5810</v>
      </c>
      <c r="D584" s="56">
        <v>3.4</v>
      </c>
      <c r="F584" s="371">
        <v>581.0</v>
      </c>
      <c r="G584" s="372">
        <f t="shared" si="1"/>
        <v>2.900333333</v>
      </c>
    </row>
    <row r="585" ht="15.75" customHeight="1">
      <c r="B585" s="370">
        <f t="shared" si="2"/>
        <v>0.06736111111</v>
      </c>
      <c r="C585" s="56">
        <f t="shared" si="3"/>
        <v>5820</v>
      </c>
      <c r="D585" s="56">
        <v>3.463</v>
      </c>
      <c r="F585" s="371">
        <v>582.0</v>
      </c>
      <c r="G585" s="372">
        <f t="shared" si="1"/>
        <v>2.674166667</v>
      </c>
    </row>
    <row r="586" ht="15.75" customHeight="1">
      <c r="B586" s="370">
        <f t="shared" si="2"/>
        <v>0.06747685185</v>
      </c>
      <c r="C586" s="56">
        <f t="shared" si="3"/>
        <v>5830</v>
      </c>
      <c r="D586" s="56">
        <v>3.222</v>
      </c>
      <c r="F586" s="371">
        <v>583.0</v>
      </c>
      <c r="G586" s="372">
        <f t="shared" si="1"/>
        <v>3.096</v>
      </c>
    </row>
    <row r="587" ht="15.75" customHeight="1">
      <c r="B587" s="370">
        <f t="shared" si="2"/>
        <v>0.06759259259</v>
      </c>
      <c r="C587" s="56">
        <f t="shared" si="3"/>
        <v>5840</v>
      </c>
      <c r="D587" s="56">
        <v>2.635</v>
      </c>
      <c r="F587" s="371">
        <v>584.0</v>
      </c>
      <c r="G587" s="372">
        <f t="shared" si="1"/>
        <v>2.691333333</v>
      </c>
    </row>
    <row r="588" ht="15.75" customHeight="1">
      <c r="B588" s="370">
        <f t="shared" si="2"/>
        <v>0.06770833333</v>
      </c>
      <c r="C588" s="56">
        <f t="shared" si="3"/>
        <v>5850</v>
      </c>
      <c r="D588" s="56">
        <v>2.124</v>
      </c>
      <c r="F588" s="371">
        <v>585.0</v>
      </c>
      <c r="G588" s="372">
        <f t="shared" si="1"/>
        <v>3.0425</v>
      </c>
    </row>
    <row r="589" ht="15.75" customHeight="1">
      <c r="B589" s="370">
        <f t="shared" si="2"/>
        <v>0.06782407407</v>
      </c>
      <c r="C589" s="56">
        <f t="shared" si="3"/>
        <v>5860</v>
      </c>
      <c r="D589" s="56">
        <v>2.084</v>
      </c>
      <c r="F589" s="371">
        <v>586.0</v>
      </c>
      <c r="G589" s="372">
        <f t="shared" si="1"/>
        <v>2.9465</v>
      </c>
    </row>
    <row r="590" ht="15.75" customHeight="1">
      <c r="B590" s="370">
        <f t="shared" si="2"/>
        <v>0.06793981481</v>
      </c>
      <c r="C590" s="56">
        <f t="shared" si="3"/>
        <v>5870</v>
      </c>
      <c r="D590" s="56">
        <v>2.549</v>
      </c>
      <c r="F590" s="371">
        <v>587.0</v>
      </c>
      <c r="G590" s="372">
        <f t="shared" si="1"/>
        <v>2.720333333</v>
      </c>
    </row>
    <row r="591" ht="15.75" customHeight="1">
      <c r="B591" s="370">
        <f t="shared" si="2"/>
        <v>0.06805555556</v>
      </c>
      <c r="C591" s="56">
        <f t="shared" si="3"/>
        <v>5880</v>
      </c>
      <c r="D591" s="56">
        <v>3.025</v>
      </c>
      <c r="F591" s="371">
        <v>588.0</v>
      </c>
      <c r="G591" s="372">
        <f t="shared" si="1"/>
        <v>0.8975</v>
      </c>
    </row>
    <row r="592" ht="15.75" customHeight="1">
      <c r="B592" s="370">
        <f t="shared" si="2"/>
        <v>0.0681712963</v>
      </c>
      <c r="C592" s="56">
        <f t="shared" si="3"/>
        <v>5890</v>
      </c>
      <c r="D592" s="56">
        <v>3.41</v>
      </c>
      <c r="F592" s="371">
        <v>589.0</v>
      </c>
      <c r="G592" s="372">
        <f t="shared" si="1"/>
        <v>0</v>
      </c>
    </row>
    <row r="593" ht="15.75" customHeight="1">
      <c r="B593" s="370">
        <f t="shared" si="2"/>
        <v>0.06828703704</v>
      </c>
      <c r="C593" s="56">
        <f t="shared" si="3"/>
        <v>5900</v>
      </c>
      <c r="D593" s="56">
        <v>3.391</v>
      </c>
      <c r="F593" s="371">
        <v>590.0</v>
      </c>
      <c r="G593" s="372">
        <f t="shared" si="1"/>
        <v>0</v>
      </c>
    </row>
    <row r="594" ht="15.75" customHeight="1">
      <c r="B594" s="370">
        <f t="shared" si="2"/>
        <v>0.06840277778</v>
      </c>
      <c r="C594" s="56">
        <f t="shared" si="3"/>
        <v>5910</v>
      </c>
      <c r="D594" s="56">
        <v>3.328</v>
      </c>
      <c r="F594" s="371">
        <v>591.0</v>
      </c>
      <c r="G594" s="372">
        <f t="shared" si="1"/>
        <v>0</v>
      </c>
    </row>
    <row r="595" ht="15.75" customHeight="1">
      <c r="B595" s="370">
        <f t="shared" si="2"/>
        <v>0.06851851852</v>
      </c>
      <c r="C595" s="56">
        <f t="shared" si="3"/>
        <v>5920</v>
      </c>
      <c r="D595" s="56">
        <v>3.085</v>
      </c>
      <c r="F595" s="371">
        <v>592.0</v>
      </c>
      <c r="G595" s="372">
        <f t="shared" si="1"/>
        <v>0</v>
      </c>
    </row>
    <row r="596" ht="15.75" customHeight="1">
      <c r="B596" s="370">
        <f t="shared" si="2"/>
        <v>0.06863425926</v>
      </c>
      <c r="C596" s="56">
        <f t="shared" si="3"/>
        <v>5930</v>
      </c>
      <c r="D596" s="56">
        <v>2.48</v>
      </c>
      <c r="F596" s="371">
        <v>593.0</v>
      </c>
      <c r="G596" s="372">
        <f t="shared" si="1"/>
        <v>0</v>
      </c>
    </row>
    <row r="597" ht="15.75" customHeight="1">
      <c r="B597" s="370">
        <f t="shared" si="2"/>
        <v>0.06875</v>
      </c>
      <c r="C597" s="56">
        <f t="shared" si="3"/>
        <v>5940</v>
      </c>
      <c r="D597" s="56">
        <v>2.593</v>
      </c>
      <c r="F597" s="371">
        <v>594.0</v>
      </c>
      <c r="G597" s="372">
        <f t="shared" si="1"/>
        <v>0</v>
      </c>
    </row>
    <row r="598" ht="15.75" customHeight="1">
      <c r="B598" s="370">
        <f t="shared" si="2"/>
        <v>0.06886574074</v>
      </c>
      <c r="C598" s="56">
        <f t="shared" si="3"/>
        <v>5950</v>
      </c>
      <c r="D598" s="56">
        <v>2.709</v>
      </c>
      <c r="F598" s="371">
        <v>595.0</v>
      </c>
      <c r="G598" s="372">
        <f t="shared" si="1"/>
        <v>0</v>
      </c>
    </row>
    <row r="599" ht="15.75" customHeight="1">
      <c r="B599" s="370">
        <f t="shared" si="2"/>
        <v>0.06898148148</v>
      </c>
      <c r="C599" s="56">
        <f t="shared" si="3"/>
        <v>5960</v>
      </c>
      <c r="D599" s="56">
        <v>2.718</v>
      </c>
      <c r="F599" s="371">
        <v>596.0</v>
      </c>
      <c r="G599" s="372">
        <f t="shared" si="1"/>
        <v>0</v>
      </c>
    </row>
    <row r="600" ht="15.75" customHeight="1">
      <c r="B600" s="370">
        <f t="shared" si="2"/>
        <v>0.06909722222</v>
      </c>
      <c r="C600" s="56">
        <f t="shared" si="3"/>
        <v>5970</v>
      </c>
      <c r="D600" s="56">
        <v>2.725</v>
      </c>
      <c r="F600" s="371">
        <v>597.0</v>
      </c>
      <c r="G600" s="372">
        <f t="shared" si="1"/>
        <v>0</v>
      </c>
    </row>
    <row r="601" ht="15.75" customHeight="1">
      <c r="B601" s="370">
        <f t="shared" si="2"/>
        <v>0.06921296296</v>
      </c>
      <c r="C601" s="56">
        <f t="shared" si="3"/>
        <v>5980</v>
      </c>
      <c r="D601" s="56">
        <v>2.592</v>
      </c>
      <c r="F601" s="371">
        <v>598.0</v>
      </c>
      <c r="G601" s="372">
        <f t="shared" si="1"/>
        <v>0</v>
      </c>
    </row>
    <row r="602" ht="15.75" customHeight="1">
      <c r="B602" s="370">
        <f t="shared" si="2"/>
        <v>0.0693287037</v>
      </c>
      <c r="C602" s="56">
        <f t="shared" si="3"/>
        <v>5990</v>
      </c>
      <c r="D602" s="56">
        <v>2.765</v>
      </c>
      <c r="F602" s="371">
        <v>599.0</v>
      </c>
      <c r="G602" s="372">
        <f t="shared" si="1"/>
        <v>0</v>
      </c>
    </row>
    <row r="603" ht="15.75" customHeight="1">
      <c r="B603" s="370">
        <f t="shared" si="2"/>
        <v>0.06944444444</v>
      </c>
      <c r="C603" s="56">
        <f t="shared" si="3"/>
        <v>6000</v>
      </c>
      <c r="D603" s="56">
        <v>3.238</v>
      </c>
      <c r="F603" s="371">
        <v>600.0</v>
      </c>
      <c r="G603" s="372">
        <f t="shared" si="1"/>
        <v>0</v>
      </c>
    </row>
    <row r="604" ht="15.75" customHeight="1">
      <c r="B604" s="370">
        <f t="shared" si="2"/>
        <v>0.06956018519</v>
      </c>
      <c r="C604" s="56">
        <f t="shared" si="3"/>
        <v>6010</v>
      </c>
      <c r="D604" s="56">
        <v>3.311</v>
      </c>
      <c r="F604" s="371">
        <v>601.0</v>
      </c>
      <c r="G604" s="372">
        <f t="shared" si="1"/>
        <v>0</v>
      </c>
    </row>
    <row r="605" ht="15.75" customHeight="1">
      <c r="B605" s="370">
        <f t="shared" si="2"/>
        <v>0.06967592593</v>
      </c>
      <c r="C605" s="56">
        <f t="shared" si="3"/>
        <v>6020</v>
      </c>
      <c r="D605" s="56">
        <v>3.394</v>
      </c>
      <c r="F605" s="371">
        <v>602.0</v>
      </c>
      <c r="G605" s="372">
        <f t="shared" si="1"/>
        <v>0</v>
      </c>
    </row>
    <row r="606" ht="15.75" customHeight="1">
      <c r="B606" s="370">
        <f t="shared" si="2"/>
        <v>0.06979166667</v>
      </c>
      <c r="C606" s="56">
        <f t="shared" si="3"/>
        <v>6030</v>
      </c>
      <c r="D606" s="56">
        <v>3.231</v>
      </c>
      <c r="F606" s="371">
        <v>603.0</v>
      </c>
      <c r="G606" s="372">
        <f t="shared" si="1"/>
        <v>0</v>
      </c>
    </row>
    <row r="607" ht="15.75" customHeight="1">
      <c r="B607" s="370">
        <f t="shared" si="2"/>
        <v>0.06990740741</v>
      </c>
      <c r="C607" s="56">
        <f t="shared" si="3"/>
        <v>6040</v>
      </c>
      <c r="D607" s="56">
        <v>2.746</v>
      </c>
      <c r="F607" s="371">
        <v>604.0</v>
      </c>
      <c r="G607" s="372">
        <f t="shared" si="1"/>
        <v>0</v>
      </c>
    </row>
    <row r="608" ht="15.75" customHeight="1">
      <c r="B608" s="370">
        <f t="shared" si="2"/>
        <v>0.07002314815</v>
      </c>
      <c r="C608" s="56">
        <f t="shared" si="3"/>
        <v>6050</v>
      </c>
      <c r="D608" s="56">
        <v>2.327</v>
      </c>
      <c r="F608" s="371">
        <v>605.0</v>
      </c>
      <c r="G608" s="372">
        <f t="shared" si="1"/>
        <v>0</v>
      </c>
    </row>
    <row r="609" ht="15.75" customHeight="1">
      <c r="B609" s="370">
        <f t="shared" si="2"/>
        <v>0.07013888889</v>
      </c>
      <c r="C609" s="56">
        <f t="shared" si="3"/>
        <v>6060</v>
      </c>
      <c r="D609" s="56">
        <v>1.929</v>
      </c>
      <c r="F609" s="371">
        <v>606.0</v>
      </c>
      <c r="G609" s="372">
        <f t="shared" si="1"/>
        <v>0</v>
      </c>
    </row>
    <row r="610" ht="15.75" customHeight="1">
      <c r="B610" s="370">
        <f t="shared" si="2"/>
        <v>0.07025462963</v>
      </c>
      <c r="C610" s="56">
        <f t="shared" si="3"/>
        <v>6070</v>
      </c>
      <c r="D610" s="56">
        <v>2.39</v>
      </c>
      <c r="F610" s="371">
        <v>607.0</v>
      </c>
      <c r="G610" s="372">
        <f t="shared" si="1"/>
        <v>0</v>
      </c>
    </row>
    <row r="611" ht="15.75" customHeight="1">
      <c r="B611" s="370">
        <f t="shared" si="2"/>
        <v>0.07037037037</v>
      </c>
      <c r="C611" s="56">
        <f t="shared" si="3"/>
        <v>6080</v>
      </c>
      <c r="D611" s="56">
        <v>2.96</v>
      </c>
      <c r="F611" s="371">
        <v>608.0</v>
      </c>
      <c r="G611" s="372">
        <f t="shared" si="1"/>
        <v>0</v>
      </c>
    </row>
    <row r="612" ht="15.75" customHeight="1">
      <c r="B612" s="370">
        <f t="shared" si="2"/>
        <v>0.07048611111</v>
      </c>
      <c r="C612" s="56">
        <f t="shared" si="3"/>
        <v>6090</v>
      </c>
      <c r="D612" s="56">
        <v>3.445</v>
      </c>
      <c r="F612" s="371">
        <v>609.0</v>
      </c>
      <c r="G612" s="372">
        <f t="shared" si="1"/>
        <v>0</v>
      </c>
    </row>
    <row r="613" ht="15.75" customHeight="1">
      <c r="B613" s="370">
        <f t="shared" si="2"/>
        <v>0.07060185185</v>
      </c>
      <c r="C613" s="56">
        <f t="shared" si="3"/>
        <v>6100</v>
      </c>
      <c r="D613" s="56">
        <v>3.46</v>
      </c>
      <c r="F613" s="371">
        <v>610.0</v>
      </c>
      <c r="G613" s="372">
        <f t="shared" si="1"/>
        <v>0</v>
      </c>
    </row>
    <row r="614" ht="15.75" customHeight="1">
      <c r="B614" s="370">
        <f t="shared" si="2"/>
        <v>0.07071759259</v>
      </c>
      <c r="C614" s="56">
        <f t="shared" si="3"/>
        <v>6110</v>
      </c>
      <c r="D614" s="56">
        <v>3.417</v>
      </c>
      <c r="F614" s="371">
        <v>611.0</v>
      </c>
      <c r="G614" s="372">
        <f t="shared" si="1"/>
        <v>0</v>
      </c>
    </row>
    <row r="615" ht="15.75" customHeight="1">
      <c r="B615" s="370">
        <f t="shared" si="2"/>
        <v>0.07083333333</v>
      </c>
      <c r="C615" s="56">
        <f t="shared" si="3"/>
        <v>6120</v>
      </c>
      <c r="D615" s="56">
        <v>3.268</v>
      </c>
      <c r="F615" s="371">
        <v>612.0</v>
      </c>
      <c r="G615" s="372">
        <f t="shared" si="1"/>
        <v>0</v>
      </c>
    </row>
    <row r="616" ht="15.75" customHeight="1">
      <c r="B616" s="370">
        <f t="shared" si="2"/>
        <v>0.07094907407</v>
      </c>
      <c r="C616" s="56">
        <f t="shared" si="3"/>
        <v>6130</v>
      </c>
      <c r="D616" s="56">
        <v>2.512</v>
      </c>
      <c r="F616" s="371">
        <v>613.0</v>
      </c>
      <c r="G616" s="372">
        <f t="shared" si="1"/>
        <v>0</v>
      </c>
    </row>
    <row r="617" ht="15.75" customHeight="1">
      <c r="B617" s="370">
        <f t="shared" si="2"/>
        <v>0.07106481481</v>
      </c>
      <c r="C617" s="56">
        <f t="shared" si="3"/>
        <v>6140</v>
      </c>
      <c r="D617" s="56">
        <v>2.451</v>
      </c>
      <c r="F617" s="371">
        <v>614.0</v>
      </c>
      <c r="G617" s="372">
        <f t="shared" si="1"/>
        <v>0</v>
      </c>
    </row>
    <row r="618" ht="15.75" customHeight="1">
      <c r="B618" s="370">
        <f t="shared" si="2"/>
        <v>0.07118055556</v>
      </c>
      <c r="C618" s="56">
        <f t="shared" si="3"/>
        <v>6150</v>
      </c>
      <c r="D618" s="56">
        <v>2.643</v>
      </c>
      <c r="F618" s="371">
        <v>615.0</v>
      </c>
      <c r="G618" s="372">
        <f t="shared" si="1"/>
        <v>0</v>
      </c>
    </row>
    <row r="619" ht="15.75" customHeight="1">
      <c r="B619" s="370">
        <f t="shared" si="2"/>
        <v>0.0712962963</v>
      </c>
      <c r="C619" s="56">
        <f t="shared" si="3"/>
        <v>6160</v>
      </c>
      <c r="D619" s="56">
        <v>2.713</v>
      </c>
      <c r="F619" s="371">
        <v>616.0</v>
      </c>
      <c r="G619" s="372">
        <f t="shared" si="1"/>
        <v>0</v>
      </c>
    </row>
    <row r="620" ht="15.75" customHeight="1">
      <c r="B620" s="370">
        <f t="shared" si="2"/>
        <v>0.07141203704</v>
      </c>
      <c r="C620" s="56">
        <f t="shared" si="3"/>
        <v>6170</v>
      </c>
      <c r="D620" s="56">
        <v>2.798</v>
      </c>
      <c r="F620" s="371">
        <v>617.0</v>
      </c>
      <c r="G620" s="372">
        <f t="shared" si="1"/>
        <v>0</v>
      </c>
    </row>
    <row r="621" ht="15.75" customHeight="1">
      <c r="B621" s="370">
        <f t="shared" si="2"/>
        <v>0.07152777778</v>
      </c>
      <c r="C621" s="56">
        <f t="shared" si="3"/>
        <v>6180</v>
      </c>
      <c r="D621" s="56">
        <v>2.753</v>
      </c>
      <c r="F621" s="371">
        <v>618.0</v>
      </c>
      <c r="G621" s="372">
        <f t="shared" si="1"/>
        <v>0</v>
      </c>
    </row>
    <row r="622" ht="15.75" customHeight="1">
      <c r="B622" s="370">
        <f t="shared" si="2"/>
        <v>0.07164351852</v>
      </c>
      <c r="C622" s="56">
        <f t="shared" si="3"/>
        <v>6190</v>
      </c>
      <c r="D622" s="56">
        <v>2.707</v>
      </c>
      <c r="F622" s="371">
        <v>619.0</v>
      </c>
      <c r="G622" s="372">
        <f t="shared" si="1"/>
        <v>0</v>
      </c>
    </row>
    <row r="623" ht="15.75" customHeight="1">
      <c r="B623" s="370">
        <f t="shared" si="2"/>
        <v>0.07175925926</v>
      </c>
      <c r="C623" s="56">
        <f t="shared" si="3"/>
        <v>6200</v>
      </c>
      <c r="D623" s="56">
        <v>3.081</v>
      </c>
      <c r="F623" s="371">
        <v>620.0</v>
      </c>
      <c r="G623" s="372">
        <f t="shared" si="1"/>
        <v>0</v>
      </c>
    </row>
    <row r="624" ht="15.75" customHeight="1">
      <c r="B624" s="370">
        <f t="shared" si="2"/>
        <v>0.071875</v>
      </c>
      <c r="C624" s="56">
        <f t="shared" si="3"/>
        <v>6210</v>
      </c>
      <c r="D624" s="56">
        <v>3.19</v>
      </c>
      <c r="F624" s="371">
        <v>621.0</v>
      </c>
      <c r="G624" s="372">
        <f t="shared" si="1"/>
        <v>0</v>
      </c>
    </row>
    <row r="625" ht="15.75" customHeight="1">
      <c r="B625" s="370">
        <f t="shared" si="2"/>
        <v>0.07199074074</v>
      </c>
      <c r="C625" s="56">
        <f t="shared" si="3"/>
        <v>6220</v>
      </c>
      <c r="D625" s="56">
        <v>3.296</v>
      </c>
      <c r="F625" s="371">
        <v>622.0</v>
      </c>
      <c r="G625" s="372">
        <f t="shared" si="1"/>
        <v>0.4545</v>
      </c>
    </row>
    <row r="626" ht="15.75" customHeight="1">
      <c r="B626" s="370">
        <f t="shared" si="2"/>
        <v>0.07210648148</v>
      </c>
      <c r="C626" s="56">
        <f t="shared" si="3"/>
        <v>6230</v>
      </c>
      <c r="D626" s="56">
        <v>3.205</v>
      </c>
      <c r="F626" s="371">
        <v>623.0</v>
      </c>
      <c r="G626" s="372">
        <f t="shared" si="1"/>
        <v>2.994666667</v>
      </c>
    </row>
    <row r="627" ht="15.75" customHeight="1">
      <c r="B627" s="370">
        <f t="shared" si="2"/>
        <v>0.07222222222</v>
      </c>
      <c r="C627" s="56">
        <f t="shared" si="3"/>
        <v>6240</v>
      </c>
      <c r="D627" s="56">
        <v>2.823</v>
      </c>
      <c r="F627" s="371">
        <v>624.0</v>
      </c>
      <c r="G627" s="372">
        <f t="shared" si="1"/>
        <v>2.678333333</v>
      </c>
    </row>
    <row r="628" ht="15.75" customHeight="1">
      <c r="B628" s="370">
        <f t="shared" si="2"/>
        <v>0.07233796296</v>
      </c>
      <c r="C628" s="56">
        <f t="shared" si="3"/>
        <v>6250</v>
      </c>
      <c r="D628" s="56">
        <v>2.448</v>
      </c>
      <c r="F628" s="371">
        <v>625.0</v>
      </c>
      <c r="G628" s="372">
        <f t="shared" si="1"/>
        <v>3.003333333</v>
      </c>
    </row>
    <row r="629" ht="15.75" customHeight="1">
      <c r="B629" s="370">
        <f t="shared" si="2"/>
        <v>0.0724537037</v>
      </c>
      <c r="C629" s="56">
        <f t="shared" si="3"/>
        <v>6260</v>
      </c>
      <c r="D629" s="56">
        <v>2.153</v>
      </c>
      <c r="F629" s="371">
        <v>626.0</v>
      </c>
      <c r="G629" s="372">
        <f t="shared" si="1"/>
        <v>2.958</v>
      </c>
    </row>
    <row r="630" ht="15.75" customHeight="1">
      <c r="B630" s="370">
        <f t="shared" si="2"/>
        <v>0.07256944444</v>
      </c>
      <c r="C630" s="56">
        <f t="shared" si="3"/>
        <v>6270</v>
      </c>
      <c r="D630" s="56">
        <v>2.126</v>
      </c>
      <c r="F630" s="371">
        <v>627.0</v>
      </c>
      <c r="G630" s="372">
        <f t="shared" si="1"/>
        <v>2.723</v>
      </c>
    </row>
    <row r="631" ht="15.75" customHeight="1">
      <c r="B631" s="370">
        <f t="shared" si="2"/>
        <v>0.07268518519</v>
      </c>
      <c r="C631" s="56">
        <f t="shared" si="3"/>
        <v>6280</v>
      </c>
      <c r="D631" s="56">
        <v>2.858</v>
      </c>
      <c r="F631" s="371">
        <v>628.0</v>
      </c>
      <c r="G631" s="372">
        <f t="shared" si="1"/>
        <v>3.1555</v>
      </c>
    </row>
    <row r="632" ht="15.75" customHeight="1">
      <c r="B632" s="370">
        <f t="shared" si="2"/>
        <v>0.07280092593</v>
      </c>
      <c r="C632" s="56">
        <f t="shared" si="3"/>
        <v>6290</v>
      </c>
      <c r="D632" s="56">
        <v>3.44</v>
      </c>
      <c r="F632" s="371">
        <v>629.0</v>
      </c>
      <c r="G632" s="372">
        <f t="shared" si="1"/>
        <v>2.6235</v>
      </c>
    </row>
    <row r="633" ht="15.75" customHeight="1">
      <c r="B633" s="370">
        <f t="shared" si="2"/>
        <v>0.07291666667</v>
      </c>
      <c r="C633" s="56">
        <f t="shared" si="3"/>
        <v>6300</v>
      </c>
      <c r="D633" s="56">
        <v>3.511</v>
      </c>
      <c r="F633" s="371">
        <v>630.0</v>
      </c>
      <c r="G633" s="372">
        <f t="shared" si="1"/>
        <v>2.9365</v>
      </c>
    </row>
    <row r="634" ht="15.75" customHeight="1">
      <c r="B634" s="370">
        <f t="shared" si="2"/>
        <v>0.07303240741</v>
      </c>
      <c r="C634" s="56">
        <f t="shared" si="3"/>
        <v>6310</v>
      </c>
      <c r="D634" s="56">
        <v>3.48</v>
      </c>
      <c r="F634" s="371">
        <v>631.0</v>
      </c>
      <c r="G634" s="372">
        <f t="shared" si="1"/>
        <v>2.900166667</v>
      </c>
    </row>
    <row r="635" ht="15.75" customHeight="1">
      <c r="B635" s="370">
        <f t="shared" si="2"/>
        <v>0.07314814815</v>
      </c>
      <c r="C635" s="56">
        <f t="shared" si="3"/>
        <v>6320</v>
      </c>
      <c r="D635" s="56">
        <v>3.377</v>
      </c>
      <c r="F635" s="371">
        <v>632.0</v>
      </c>
      <c r="G635" s="372">
        <f t="shared" si="1"/>
        <v>2.678666667</v>
      </c>
    </row>
    <row r="636" ht="15.75" customHeight="1">
      <c r="B636" s="370">
        <f t="shared" si="2"/>
        <v>0.07326388889</v>
      </c>
      <c r="C636" s="56">
        <f t="shared" si="3"/>
        <v>6330</v>
      </c>
      <c r="D636" s="56">
        <v>2.743</v>
      </c>
      <c r="F636" s="371">
        <v>633.0</v>
      </c>
      <c r="G636" s="372">
        <f t="shared" si="1"/>
        <v>3.132166667</v>
      </c>
    </row>
    <row r="637" ht="15.75" customHeight="1">
      <c r="B637" s="370">
        <f t="shared" si="2"/>
        <v>0.07337962963</v>
      </c>
      <c r="C637" s="56">
        <f t="shared" si="3"/>
        <v>6340</v>
      </c>
      <c r="D637" s="56">
        <v>2.235</v>
      </c>
      <c r="F637" s="371">
        <v>634.0</v>
      </c>
      <c r="G637" s="372">
        <f t="shared" si="1"/>
        <v>2.674333333</v>
      </c>
    </row>
    <row r="638" ht="15.75" customHeight="1">
      <c r="B638" s="370">
        <f t="shared" si="2"/>
        <v>0.07349537037</v>
      </c>
      <c r="C638" s="56">
        <f t="shared" si="3"/>
        <v>6350</v>
      </c>
      <c r="D638" s="56">
        <v>2.538</v>
      </c>
      <c r="F638" s="371">
        <v>635.0</v>
      </c>
      <c r="G638" s="372">
        <f t="shared" si="1"/>
        <v>3.0375</v>
      </c>
    </row>
    <row r="639" ht="15.75" customHeight="1">
      <c r="B639" s="370">
        <f t="shared" si="2"/>
        <v>0.07361111111</v>
      </c>
      <c r="C639" s="56">
        <f t="shared" si="3"/>
        <v>6360</v>
      </c>
      <c r="D639" s="56">
        <v>2.673</v>
      </c>
      <c r="F639" s="371">
        <v>636.0</v>
      </c>
      <c r="G639" s="372">
        <f t="shared" si="1"/>
        <v>2.928</v>
      </c>
    </row>
    <row r="640" ht="15.75" customHeight="1">
      <c r="B640" s="370">
        <f t="shared" si="2"/>
        <v>0.07372685185</v>
      </c>
      <c r="C640" s="56">
        <f t="shared" si="3"/>
        <v>6370</v>
      </c>
      <c r="D640" s="56">
        <v>2.832</v>
      </c>
      <c r="F640" s="371">
        <v>637.0</v>
      </c>
      <c r="G640" s="372">
        <f t="shared" si="1"/>
        <v>2.739333333</v>
      </c>
    </row>
    <row r="641" ht="15.75" customHeight="1">
      <c r="B641" s="370">
        <f t="shared" si="2"/>
        <v>0.07384259259</v>
      </c>
      <c r="C641" s="56">
        <f t="shared" si="3"/>
        <v>6380</v>
      </c>
      <c r="D641" s="56">
        <v>2.88</v>
      </c>
      <c r="F641" s="371">
        <v>638.0</v>
      </c>
      <c r="G641" s="372">
        <f t="shared" si="1"/>
        <v>3.0285</v>
      </c>
    </row>
    <row r="642" ht="15.75" customHeight="1">
      <c r="B642" s="370">
        <f t="shared" si="2"/>
        <v>0.07395833333</v>
      </c>
      <c r="C642" s="56">
        <f t="shared" si="3"/>
        <v>6390</v>
      </c>
      <c r="D642" s="56">
        <v>2.825</v>
      </c>
      <c r="F642" s="371">
        <v>639.0</v>
      </c>
      <c r="G642" s="372">
        <f t="shared" si="1"/>
        <v>2.6425</v>
      </c>
    </row>
    <row r="643" ht="15.75" customHeight="1">
      <c r="B643" s="370">
        <f t="shared" si="2"/>
        <v>0.07407407407</v>
      </c>
      <c r="C643" s="56">
        <f t="shared" si="3"/>
        <v>6400</v>
      </c>
      <c r="D643" s="56">
        <v>2.942</v>
      </c>
      <c r="F643" s="371">
        <v>640.0</v>
      </c>
      <c r="G643" s="372">
        <f t="shared" si="1"/>
        <v>2.9795</v>
      </c>
    </row>
    <row r="644" ht="15.75" customHeight="1">
      <c r="B644" s="370">
        <f t="shared" si="2"/>
        <v>0.07418981481</v>
      </c>
      <c r="C644" s="56">
        <f t="shared" si="3"/>
        <v>6410</v>
      </c>
      <c r="D644" s="56">
        <v>2.974</v>
      </c>
      <c r="F644" s="371">
        <v>641.0</v>
      </c>
      <c r="G644" s="372">
        <f t="shared" si="1"/>
        <v>2.850666667</v>
      </c>
    </row>
    <row r="645" ht="15.75" customHeight="1">
      <c r="B645" s="370">
        <f t="shared" si="2"/>
        <v>0.07430555556</v>
      </c>
      <c r="C645" s="56">
        <f t="shared" si="3"/>
        <v>6420</v>
      </c>
      <c r="D645" s="56">
        <v>3.164</v>
      </c>
      <c r="F645" s="371">
        <v>642.0</v>
      </c>
      <c r="G645" s="372">
        <f t="shared" si="1"/>
        <v>2.702833333</v>
      </c>
    </row>
    <row r="646" ht="15.75" customHeight="1">
      <c r="B646" s="370">
        <f t="shared" si="2"/>
        <v>0.0744212963</v>
      </c>
      <c r="C646" s="56">
        <f t="shared" si="3"/>
        <v>6430</v>
      </c>
      <c r="D646" s="56">
        <v>3.148</v>
      </c>
      <c r="F646" s="371">
        <v>643.0</v>
      </c>
      <c r="G646" s="372">
        <f t="shared" si="1"/>
        <v>3.246333333</v>
      </c>
    </row>
    <row r="647" ht="15.75" customHeight="1">
      <c r="B647" s="370">
        <f t="shared" si="2"/>
        <v>0.07453703704</v>
      </c>
      <c r="C647" s="56">
        <f t="shared" si="3"/>
        <v>6440</v>
      </c>
      <c r="D647" s="56">
        <v>2.864</v>
      </c>
      <c r="F647" s="371">
        <v>644.0</v>
      </c>
      <c r="G647" s="372">
        <f t="shared" si="1"/>
        <v>2.6485</v>
      </c>
    </row>
    <row r="648" ht="15.75" customHeight="1">
      <c r="B648" s="370">
        <f t="shared" si="2"/>
        <v>0.07465277778</v>
      </c>
      <c r="C648" s="56">
        <f t="shared" si="3"/>
        <v>6450</v>
      </c>
      <c r="D648" s="56">
        <v>2.6</v>
      </c>
      <c r="F648" s="371">
        <v>645.0</v>
      </c>
      <c r="G648" s="372">
        <f t="shared" si="1"/>
        <v>2.891833333</v>
      </c>
    </row>
    <row r="649" ht="15.75" customHeight="1">
      <c r="B649" s="370">
        <f t="shared" si="2"/>
        <v>0.07476851852</v>
      </c>
      <c r="C649" s="56">
        <f t="shared" si="3"/>
        <v>6460</v>
      </c>
      <c r="D649" s="56">
        <v>2.331</v>
      </c>
      <c r="F649" s="371">
        <v>646.0</v>
      </c>
      <c r="G649" s="372">
        <f t="shared" si="1"/>
        <v>2.922166667</v>
      </c>
    </row>
    <row r="650" ht="15.75" customHeight="1">
      <c r="B650" s="370">
        <f t="shared" si="2"/>
        <v>0.07488425926</v>
      </c>
      <c r="C650" s="56">
        <f t="shared" si="3"/>
        <v>6470</v>
      </c>
      <c r="D650" s="56">
        <v>2.018</v>
      </c>
      <c r="F650" s="371">
        <v>647.0</v>
      </c>
      <c r="G650" s="372">
        <f t="shared" si="1"/>
        <v>2.7065</v>
      </c>
    </row>
    <row r="651" ht="15.75" customHeight="1">
      <c r="B651" s="370">
        <f t="shared" si="2"/>
        <v>0.075</v>
      </c>
      <c r="C651" s="56">
        <f t="shared" si="3"/>
        <v>6480</v>
      </c>
      <c r="D651" s="56">
        <v>2.723</v>
      </c>
      <c r="F651" s="371">
        <v>648.0</v>
      </c>
      <c r="G651" s="372">
        <f t="shared" si="1"/>
        <v>3.005833333</v>
      </c>
    </row>
    <row r="652" ht="15.75" customHeight="1">
      <c r="B652" s="370">
        <f t="shared" si="2"/>
        <v>0.07511574074</v>
      </c>
      <c r="C652" s="56">
        <f t="shared" si="3"/>
        <v>6490</v>
      </c>
      <c r="D652" s="56">
        <v>3.404</v>
      </c>
      <c r="F652" s="371">
        <v>649.0</v>
      </c>
      <c r="G652" s="372">
        <f t="shared" si="1"/>
        <v>2.675666667</v>
      </c>
    </row>
    <row r="653" ht="15.75" customHeight="1">
      <c r="B653" s="370">
        <f t="shared" si="2"/>
        <v>0.07523148148</v>
      </c>
      <c r="C653" s="56">
        <f t="shared" si="3"/>
        <v>6500</v>
      </c>
      <c r="D653" s="56">
        <v>3.526</v>
      </c>
      <c r="F653" s="371">
        <v>650.0</v>
      </c>
      <c r="G653" s="372">
        <f t="shared" si="1"/>
        <v>3.003666667</v>
      </c>
    </row>
    <row r="654" ht="15.75" customHeight="1">
      <c r="B654" s="370">
        <f t="shared" si="2"/>
        <v>0.07534722222</v>
      </c>
      <c r="C654" s="56">
        <f t="shared" si="3"/>
        <v>6510</v>
      </c>
      <c r="D654" s="56">
        <v>3.511</v>
      </c>
      <c r="F654" s="371">
        <v>651.0</v>
      </c>
      <c r="G654" s="372">
        <f t="shared" si="1"/>
        <v>2.969</v>
      </c>
    </row>
    <row r="655" ht="15.75" customHeight="1">
      <c r="B655" s="370">
        <f t="shared" si="2"/>
        <v>0.07546296296</v>
      </c>
      <c r="C655" s="56">
        <f t="shared" si="3"/>
        <v>6520</v>
      </c>
      <c r="D655" s="56">
        <v>3.445</v>
      </c>
      <c r="F655" s="371">
        <v>652.0</v>
      </c>
      <c r="G655" s="372">
        <f t="shared" si="1"/>
        <v>2.735166667</v>
      </c>
    </row>
    <row r="656" ht="15.75" customHeight="1">
      <c r="B656" s="370">
        <f t="shared" si="2"/>
        <v>0.0755787037</v>
      </c>
      <c r="C656" s="56">
        <f t="shared" si="3"/>
        <v>6530</v>
      </c>
      <c r="D656" s="56">
        <v>2.865</v>
      </c>
      <c r="F656" s="371">
        <v>653.0</v>
      </c>
      <c r="G656" s="372">
        <f t="shared" si="1"/>
        <v>3.146833333</v>
      </c>
    </row>
    <row r="657" ht="15.75" customHeight="1">
      <c r="B657" s="370">
        <f t="shared" si="2"/>
        <v>0.07569444444</v>
      </c>
      <c r="C657" s="56">
        <f t="shared" si="3"/>
        <v>6540</v>
      </c>
      <c r="D657" s="56">
        <v>2.055</v>
      </c>
      <c r="F657" s="371">
        <v>654.0</v>
      </c>
      <c r="G657" s="372">
        <f t="shared" si="1"/>
        <v>2.627666667</v>
      </c>
    </row>
    <row r="658" ht="15.75" customHeight="1">
      <c r="B658" s="370">
        <f t="shared" si="2"/>
        <v>0.07581018519</v>
      </c>
      <c r="C658" s="56">
        <f t="shared" si="3"/>
        <v>6550</v>
      </c>
      <c r="D658" s="56">
        <v>2.372</v>
      </c>
      <c r="F658" s="371">
        <v>655.0</v>
      </c>
      <c r="G658" s="372">
        <f t="shared" si="1"/>
        <v>2.934833333</v>
      </c>
    </row>
    <row r="659" ht="15.75" customHeight="1">
      <c r="B659" s="370">
        <f t="shared" si="2"/>
        <v>0.07592592593</v>
      </c>
      <c r="C659" s="56">
        <f t="shared" si="3"/>
        <v>6560</v>
      </c>
      <c r="D659" s="56">
        <v>2.595</v>
      </c>
      <c r="F659" s="371">
        <v>656.0</v>
      </c>
      <c r="G659" s="372">
        <f t="shared" si="1"/>
        <v>2.892166667</v>
      </c>
    </row>
    <row r="660" ht="15.75" customHeight="1">
      <c r="B660" s="370">
        <f t="shared" si="2"/>
        <v>0.07604166667</v>
      </c>
      <c r="C660" s="56">
        <f t="shared" si="3"/>
        <v>6570</v>
      </c>
      <c r="D660" s="56">
        <v>2.83</v>
      </c>
      <c r="F660" s="371">
        <v>657.0</v>
      </c>
      <c r="G660" s="372">
        <f t="shared" si="1"/>
        <v>2.672166667</v>
      </c>
    </row>
    <row r="661" ht="15.75" customHeight="1">
      <c r="B661" s="370">
        <f t="shared" si="2"/>
        <v>0.07615740741</v>
      </c>
      <c r="C661" s="56">
        <f t="shared" si="3"/>
        <v>6580</v>
      </c>
      <c r="D661" s="56">
        <v>2.978</v>
      </c>
      <c r="F661" s="371">
        <v>658.0</v>
      </c>
      <c r="G661" s="372">
        <f t="shared" si="1"/>
        <v>3.173833333</v>
      </c>
    </row>
    <row r="662" ht="15.75" customHeight="1">
      <c r="B662" s="370">
        <f t="shared" si="2"/>
        <v>0.07627314815</v>
      </c>
      <c r="C662" s="56">
        <f t="shared" si="3"/>
        <v>6590</v>
      </c>
      <c r="D662" s="56">
        <v>3.065</v>
      </c>
      <c r="F662" s="371">
        <v>659.0</v>
      </c>
      <c r="G662" s="372">
        <f t="shared" si="1"/>
        <v>2.6665</v>
      </c>
    </row>
    <row r="663" ht="15.75" customHeight="1">
      <c r="B663" s="370">
        <f t="shared" si="2"/>
        <v>0.07638888889</v>
      </c>
      <c r="C663" s="56">
        <f t="shared" si="3"/>
        <v>6600</v>
      </c>
      <c r="D663" s="56">
        <v>2.882</v>
      </c>
      <c r="F663" s="371">
        <v>660.0</v>
      </c>
      <c r="G663" s="372">
        <f t="shared" si="1"/>
        <v>3.020666667</v>
      </c>
    </row>
    <row r="664" ht="15.75" customHeight="1">
      <c r="B664" s="370">
        <f t="shared" si="2"/>
        <v>0.07650462963</v>
      </c>
      <c r="C664" s="56">
        <f t="shared" si="3"/>
        <v>6610</v>
      </c>
      <c r="D664" s="56">
        <v>2.889</v>
      </c>
      <c r="F664" s="371">
        <v>661.0</v>
      </c>
      <c r="G664" s="372">
        <f t="shared" si="1"/>
        <v>2.928</v>
      </c>
    </row>
    <row r="665" ht="15.75" customHeight="1">
      <c r="B665" s="370">
        <f t="shared" si="2"/>
        <v>0.07662037037</v>
      </c>
      <c r="C665" s="56">
        <f t="shared" si="3"/>
        <v>6620</v>
      </c>
      <c r="D665" s="56">
        <v>2.984</v>
      </c>
      <c r="F665" s="371">
        <v>662.0</v>
      </c>
      <c r="G665" s="372">
        <f t="shared" si="1"/>
        <v>2.74</v>
      </c>
    </row>
    <row r="666" ht="15.75" customHeight="1">
      <c r="B666" s="370">
        <f t="shared" si="2"/>
        <v>0.07673611111</v>
      </c>
      <c r="C666" s="56">
        <f t="shared" si="3"/>
        <v>6630</v>
      </c>
      <c r="D666" s="56">
        <v>3.053</v>
      </c>
      <c r="F666" s="371">
        <v>663.0</v>
      </c>
      <c r="G666" s="372">
        <f t="shared" si="1"/>
        <v>3.005166667</v>
      </c>
    </row>
    <row r="667" ht="15.75" customHeight="1">
      <c r="B667" s="370">
        <f t="shared" si="2"/>
        <v>0.07685185185</v>
      </c>
      <c r="C667" s="56">
        <f t="shared" si="3"/>
        <v>6640</v>
      </c>
      <c r="D667" s="56">
        <v>2.867</v>
      </c>
      <c r="F667" s="371">
        <v>664.0</v>
      </c>
      <c r="G667" s="372">
        <f t="shared" si="1"/>
        <v>2.650666667</v>
      </c>
    </row>
    <row r="668" ht="15.75" customHeight="1">
      <c r="B668" s="370">
        <f t="shared" si="2"/>
        <v>0.07696759259</v>
      </c>
      <c r="C668" s="56">
        <f t="shared" si="3"/>
        <v>6650</v>
      </c>
      <c r="D668" s="56">
        <v>2.685</v>
      </c>
      <c r="F668" s="371">
        <v>665.0</v>
      </c>
      <c r="G668" s="372">
        <f t="shared" si="1"/>
        <v>2.972</v>
      </c>
    </row>
    <row r="669" ht="15.75" customHeight="1">
      <c r="B669" s="370">
        <f t="shared" si="2"/>
        <v>0.07708333333</v>
      </c>
      <c r="C669" s="56">
        <f t="shared" si="3"/>
        <v>6660</v>
      </c>
      <c r="D669" s="56">
        <v>2.471</v>
      </c>
      <c r="F669" s="371">
        <v>666.0</v>
      </c>
      <c r="G669" s="372">
        <f t="shared" si="1"/>
        <v>2.865</v>
      </c>
    </row>
    <row r="670" ht="15.75" customHeight="1">
      <c r="B670" s="370">
        <f t="shared" si="2"/>
        <v>0.07719907407</v>
      </c>
      <c r="C670" s="56">
        <f t="shared" si="3"/>
        <v>6670</v>
      </c>
      <c r="D670" s="56">
        <v>2.147</v>
      </c>
      <c r="F670" s="371">
        <v>667.0</v>
      </c>
      <c r="G670" s="372">
        <f t="shared" si="1"/>
        <v>2.718166667</v>
      </c>
    </row>
    <row r="671" ht="15.75" customHeight="1">
      <c r="B671" s="370">
        <f t="shared" si="2"/>
        <v>0.07731481481</v>
      </c>
      <c r="C671" s="56">
        <f t="shared" si="3"/>
        <v>6680</v>
      </c>
      <c r="D671" s="56">
        <v>2.556</v>
      </c>
      <c r="F671" s="371">
        <v>668.0</v>
      </c>
      <c r="G671" s="372">
        <f t="shared" si="1"/>
        <v>3.2375</v>
      </c>
    </row>
    <row r="672" ht="15.75" customHeight="1">
      <c r="B672" s="370">
        <f t="shared" si="2"/>
        <v>0.07743055556</v>
      </c>
      <c r="C672" s="56">
        <f t="shared" si="3"/>
        <v>6690</v>
      </c>
      <c r="D672" s="56">
        <v>3.333</v>
      </c>
      <c r="F672" s="371">
        <v>669.0</v>
      </c>
      <c r="G672" s="372">
        <f t="shared" si="1"/>
        <v>2.652666667</v>
      </c>
    </row>
    <row r="673" ht="15.75" customHeight="1">
      <c r="B673" s="370">
        <f t="shared" si="2"/>
        <v>0.0775462963</v>
      </c>
      <c r="C673" s="56">
        <f t="shared" si="3"/>
        <v>6700</v>
      </c>
      <c r="D673" s="56">
        <v>3.508</v>
      </c>
      <c r="F673" s="371">
        <v>670.0</v>
      </c>
      <c r="G673" s="372">
        <f t="shared" si="1"/>
        <v>2.893166667</v>
      </c>
    </row>
    <row r="674" ht="15.75" customHeight="1">
      <c r="B674" s="370">
        <f t="shared" si="2"/>
        <v>0.07766203704</v>
      </c>
      <c r="C674" s="56">
        <f t="shared" si="3"/>
        <v>6710</v>
      </c>
      <c r="D674" s="56">
        <v>3.515</v>
      </c>
      <c r="F674" s="371">
        <v>671.0</v>
      </c>
      <c r="G674" s="372">
        <f t="shared" si="1"/>
        <v>2.9155</v>
      </c>
    </row>
    <row r="675" ht="15.75" customHeight="1">
      <c r="B675" s="370">
        <f t="shared" si="2"/>
        <v>0.07777777778</v>
      </c>
      <c r="C675" s="56">
        <f t="shared" si="3"/>
        <v>6720</v>
      </c>
      <c r="D675" s="56">
        <v>3.494</v>
      </c>
      <c r="F675" s="371">
        <v>672.0</v>
      </c>
      <c r="G675" s="372">
        <f t="shared" si="1"/>
        <v>2.6965</v>
      </c>
    </row>
    <row r="676" ht="15.75" customHeight="1">
      <c r="B676" s="370">
        <f t="shared" si="2"/>
        <v>0.07789351852</v>
      </c>
      <c r="C676" s="56">
        <f t="shared" si="3"/>
        <v>6730</v>
      </c>
      <c r="D676" s="56">
        <v>3.039</v>
      </c>
      <c r="F676" s="371">
        <v>673.0</v>
      </c>
      <c r="G676" s="372">
        <f t="shared" si="1"/>
        <v>3.043833333</v>
      </c>
    </row>
    <row r="677" ht="15.75" customHeight="1">
      <c r="B677" s="370">
        <f t="shared" si="2"/>
        <v>0.07800925926</v>
      </c>
      <c r="C677" s="56">
        <f t="shared" si="3"/>
        <v>6740</v>
      </c>
      <c r="D677" s="56">
        <v>2.189</v>
      </c>
      <c r="F677" s="371">
        <v>674.0</v>
      </c>
      <c r="G677" s="372">
        <f t="shared" si="1"/>
        <v>2.678666667</v>
      </c>
    </row>
    <row r="678" ht="15.75" customHeight="1">
      <c r="B678" s="370">
        <f t="shared" si="2"/>
        <v>0.078125</v>
      </c>
      <c r="C678" s="56">
        <f t="shared" si="3"/>
        <v>6750</v>
      </c>
      <c r="D678" s="56">
        <v>2.229</v>
      </c>
      <c r="F678" s="371">
        <v>675.0</v>
      </c>
      <c r="G678" s="372">
        <f t="shared" si="1"/>
        <v>3.009833333</v>
      </c>
    </row>
    <row r="679" ht="15.75" customHeight="1">
      <c r="B679" s="370">
        <f t="shared" si="2"/>
        <v>0.07824074074</v>
      </c>
      <c r="C679" s="56">
        <f t="shared" si="3"/>
        <v>6760</v>
      </c>
      <c r="D679" s="56">
        <v>2.491</v>
      </c>
      <c r="F679" s="371">
        <v>676.0</v>
      </c>
      <c r="G679" s="372">
        <f t="shared" si="1"/>
        <v>2.970833333</v>
      </c>
    </row>
    <row r="680" ht="15.75" customHeight="1">
      <c r="B680" s="370">
        <f t="shared" si="2"/>
        <v>0.07835648148</v>
      </c>
      <c r="C680" s="56">
        <f t="shared" si="3"/>
        <v>6770</v>
      </c>
      <c r="D680" s="56">
        <v>2.792</v>
      </c>
      <c r="F680" s="371">
        <v>677.0</v>
      </c>
      <c r="G680" s="372">
        <f t="shared" si="1"/>
        <v>2.737666667</v>
      </c>
    </row>
    <row r="681" ht="15.75" customHeight="1">
      <c r="B681" s="370">
        <f t="shared" si="2"/>
        <v>0.07847222222</v>
      </c>
      <c r="C681" s="56">
        <f t="shared" si="3"/>
        <v>6780</v>
      </c>
      <c r="D681" s="56">
        <v>3.034</v>
      </c>
      <c r="F681" s="371">
        <v>678.0</v>
      </c>
      <c r="G681" s="372">
        <f t="shared" si="1"/>
        <v>3.124833333</v>
      </c>
    </row>
    <row r="682" ht="15.75" customHeight="1">
      <c r="B682" s="370">
        <f t="shared" si="2"/>
        <v>0.07858796296</v>
      </c>
      <c r="C682" s="56">
        <f t="shared" si="3"/>
        <v>6790</v>
      </c>
      <c r="D682" s="56">
        <v>3.212</v>
      </c>
      <c r="F682" s="371">
        <v>679.0</v>
      </c>
      <c r="G682" s="372">
        <f t="shared" si="1"/>
        <v>2.6265</v>
      </c>
    </row>
    <row r="683" ht="15.75" customHeight="1">
      <c r="B683" s="370">
        <f t="shared" si="2"/>
        <v>0.0787037037</v>
      </c>
      <c r="C683" s="56">
        <f t="shared" si="3"/>
        <v>6800</v>
      </c>
      <c r="D683" s="56">
        <v>3.085</v>
      </c>
      <c r="F683" s="371">
        <v>680.0</v>
      </c>
      <c r="G683" s="372">
        <f t="shared" si="1"/>
        <v>2.939333333</v>
      </c>
    </row>
    <row r="684" ht="15.75" customHeight="1">
      <c r="B684" s="370">
        <f t="shared" si="2"/>
        <v>0.07881944444</v>
      </c>
      <c r="C684" s="56">
        <f t="shared" si="3"/>
        <v>6810</v>
      </c>
      <c r="D684" s="56">
        <v>2.927</v>
      </c>
      <c r="F684" s="371">
        <v>681.0</v>
      </c>
      <c r="G684" s="372">
        <f t="shared" si="1"/>
        <v>0.03616666667</v>
      </c>
    </row>
    <row r="685" ht="15.75" customHeight="1">
      <c r="B685" s="370">
        <f t="shared" si="2"/>
        <v>0.07893518519</v>
      </c>
      <c r="C685" s="56">
        <f t="shared" si="3"/>
        <v>6820</v>
      </c>
      <c r="D685" s="56">
        <v>2.831</v>
      </c>
      <c r="F685" s="371">
        <v>682.0</v>
      </c>
      <c r="G685" s="372">
        <f t="shared" si="1"/>
        <v>0</v>
      </c>
    </row>
    <row r="686" ht="15.75" customHeight="1">
      <c r="B686" s="370">
        <f t="shared" si="2"/>
        <v>0.07905092593</v>
      </c>
      <c r="C686" s="56">
        <f t="shared" si="3"/>
        <v>6830</v>
      </c>
      <c r="D686" s="56">
        <v>2.905</v>
      </c>
      <c r="F686" s="371">
        <v>683.0</v>
      </c>
      <c r="G686" s="372">
        <f t="shared" si="1"/>
        <v>0</v>
      </c>
    </row>
    <row r="687" ht="15.75" customHeight="1">
      <c r="B687" s="370">
        <f t="shared" si="2"/>
        <v>0.07916666667</v>
      </c>
      <c r="C687" s="56">
        <f t="shared" si="3"/>
        <v>6840</v>
      </c>
      <c r="D687" s="56">
        <v>2.835</v>
      </c>
      <c r="F687" s="371">
        <v>684.0</v>
      </c>
      <c r="G687" s="372">
        <f t="shared" si="1"/>
        <v>0</v>
      </c>
    </row>
    <row r="688" ht="15.75" customHeight="1">
      <c r="B688" s="370">
        <f t="shared" si="2"/>
        <v>0.07928240741</v>
      </c>
      <c r="C688" s="56">
        <f t="shared" si="3"/>
        <v>6850</v>
      </c>
      <c r="D688" s="56">
        <v>2.735</v>
      </c>
      <c r="F688" s="371">
        <v>685.0</v>
      </c>
      <c r="G688" s="372">
        <f t="shared" si="1"/>
        <v>0</v>
      </c>
    </row>
    <row r="689" ht="15.75" customHeight="1">
      <c r="B689" s="370">
        <f t="shared" si="2"/>
        <v>0.07939814815</v>
      </c>
      <c r="C689" s="56">
        <f t="shared" si="3"/>
        <v>6860</v>
      </c>
      <c r="D689" s="56">
        <v>2.577</v>
      </c>
      <c r="F689" s="371">
        <v>686.0</v>
      </c>
      <c r="G689" s="372">
        <f t="shared" si="1"/>
        <v>0</v>
      </c>
    </row>
    <row r="690" ht="15.75" customHeight="1">
      <c r="B690" s="370">
        <f t="shared" si="2"/>
        <v>0.07951388889</v>
      </c>
      <c r="C690" s="56">
        <f t="shared" si="3"/>
        <v>6870</v>
      </c>
      <c r="D690" s="56">
        <v>2.411</v>
      </c>
      <c r="F690" s="371">
        <v>687.0</v>
      </c>
      <c r="G690" s="372">
        <f t="shared" si="1"/>
        <v>0</v>
      </c>
    </row>
    <row r="691" ht="15.75" customHeight="1">
      <c r="B691" s="370">
        <f t="shared" si="2"/>
        <v>0.07962962963</v>
      </c>
      <c r="C691" s="56">
        <f t="shared" si="3"/>
        <v>6880</v>
      </c>
      <c r="D691" s="56">
        <v>2.274</v>
      </c>
      <c r="F691" s="371">
        <v>688.0</v>
      </c>
      <c r="G691" s="372">
        <f t="shared" si="1"/>
        <v>0</v>
      </c>
    </row>
    <row r="692" ht="15.75" customHeight="1">
      <c r="B692" s="370">
        <f t="shared" si="2"/>
        <v>0.07974537037</v>
      </c>
      <c r="C692" s="56">
        <f t="shared" si="3"/>
        <v>6890</v>
      </c>
      <c r="D692" s="56">
        <v>3.222</v>
      </c>
      <c r="F692" s="371">
        <v>689.0</v>
      </c>
      <c r="G692" s="372">
        <f t="shared" si="1"/>
        <v>0</v>
      </c>
    </row>
    <row r="693" ht="15.75" customHeight="1">
      <c r="B693" s="370">
        <f t="shared" si="2"/>
        <v>0.07986111111</v>
      </c>
      <c r="C693" s="56">
        <f t="shared" si="3"/>
        <v>6900</v>
      </c>
      <c r="D693" s="56">
        <v>3.471</v>
      </c>
      <c r="F693" s="371">
        <v>690.0</v>
      </c>
      <c r="G693" s="372">
        <f t="shared" si="1"/>
        <v>0</v>
      </c>
    </row>
    <row r="694" ht="15.75" customHeight="1">
      <c r="B694" s="370">
        <f t="shared" si="2"/>
        <v>0.07997685185</v>
      </c>
      <c r="C694" s="56">
        <f t="shared" si="3"/>
        <v>6910</v>
      </c>
      <c r="D694" s="56">
        <v>3.491</v>
      </c>
      <c r="F694" s="371">
        <v>691.0</v>
      </c>
      <c r="G694" s="372">
        <f t="shared" si="1"/>
        <v>0</v>
      </c>
    </row>
    <row r="695" ht="15.75" customHeight="1">
      <c r="B695" s="370">
        <f t="shared" si="2"/>
        <v>0.08009259259</v>
      </c>
      <c r="C695" s="56">
        <f t="shared" si="3"/>
        <v>6920</v>
      </c>
      <c r="D695" s="56">
        <v>3.505</v>
      </c>
      <c r="F695" s="371">
        <v>692.0</v>
      </c>
      <c r="G695" s="372">
        <f t="shared" si="1"/>
        <v>0</v>
      </c>
    </row>
    <row r="696" ht="15.75" customHeight="1">
      <c r="B696" s="370">
        <f t="shared" si="2"/>
        <v>0.08020833333</v>
      </c>
      <c r="C696" s="56">
        <f t="shared" si="3"/>
        <v>6930</v>
      </c>
      <c r="D696" s="56">
        <v>3.139</v>
      </c>
      <c r="F696" s="371">
        <v>693.0</v>
      </c>
      <c r="G696" s="372">
        <f t="shared" si="1"/>
        <v>0</v>
      </c>
    </row>
    <row r="697" ht="15.75" customHeight="1">
      <c r="B697" s="370">
        <f t="shared" si="2"/>
        <v>0.08032407407</v>
      </c>
      <c r="C697" s="56">
        <f t="shared" si="3"/>
        <v>6940</v>
      </c>
      <c r="D697" s="56">
        <v>2.411</v>
      </c>
      <c r="F697" s="371">
        <v>694.0</v>
      </c>
      <c r="G697" s="372">
        <f t="shared" si="1"/>
        <v>0</v>
      </c>
    </row>
    <row r="698" ht="15.75" customHeight="1">
      <c r="B698" s="370">
        <f t="shared" si="2"/>
        <v>0.08043981481</v>
      </c>
      <c r="C698" s="56">
        <f t="shared" si="3"/>
        <v>6950</v>
      </c>
      <c r="D698" s="56">
        <v>1.992</v>
      </c>
      <c r="F698" s="371">
        <v>695.0</v>
      </c>
      <c r="G698" s="372">
        <f t="shared" si="1"/>
        <v>0</v>
      </c>
    </row>
    <row r="699" ht="15.75" customHeight="1">
      <c r="B699" s="370">
        <f t="shared" si="2"/>
        <v>0.08055555556</v>
      </c>
      <c r="C699" s="56">
        <f t="shared" si="3"/>
        <v>6960</v>
      </c>
      <c r="D699" s="56">
        <v>2.345</v>
      </c>
      <c r="F699" s="371">
        <v>696.0</v>
      </c>
      <c r="G699" s="372">
        <f t="shared" si="1"/>
        <v>0</v>
      </c>
    </row>
    <row r="700" ht="15.75" customHeight="1">
      <c r="B700" s="370">
        <f t="shared" si="2"/>
        <v>0.0806712963</v>
      </c>
      <c r="C700" s="56">
        <f t="shared" si="3"/>
        <v>6970</v>
      </c>
      <c r="D700" s="56">
        <v>2.719</v>
      </c>
      <c r="F700" s="371">
        <v>697.0</v>
      </c>
      <c r="G700" s="372">
        <f t="shared" si="1"/>
        <v>0</v>
      </c>
    </row>
    <row r="701" ht="15.75" customHeight="1">
      <c r="B701" s="370">
        <f t="shared" si="2"/>
        <v>0.08078703704</v>
      </c>
      <c r="C701" s="56">
        <f t="shared" si="3"/>
        <v>6980</v>
      </c>
      <c r="D701" s="56">
        <v>3.058</v>
      </c>
      <c r="F701" s="371">
        <v>698.0</v>
      </c>
      <c r="G701" s="372">
        <f t="shared" si="1"/>
        <v>0</v>
      </c>
    </row>
    <row r="702" ht="15.75" customHeight="1">
      <c r="B702" s="370">
        <f t="shared" si="2"/>
        <v>0.08090277778</v>
      </c>
      <c r="C702" s="56">
        <f t="shared" si="3"/>
        <v>6990</v>
      </c>
      <c r="D702" s="56">
        <v>3.312</v>
      </c>
      <c r="F702" s="371">
        <v>699.0</v>
      </c>
      <c r="G702" s="372">
        <f t="shared" si="1"/>
        <v>0</v>
      </c>
    </row>
    <row r="703" ht="15.75" customHeight="1">
      <c r="B703" s="370">
        <f t="shared" si="2"/>
        <v>0.08101851852</v>
      </c>
      <c r="C703" s="56">
        <f t="shared" si="3"/>
        <v>7000</v>
      </c>
      <c r="D703" s="56">
        <v>3.193</v>
      </c>
      <c r="F703" s="371">
        <v>700.0</v>
      </c>
      <c r="G703" s="372">
        <f t="shared" si="1"/>
        <v>0</v>
      </c>
    </row>
    <row r="704" ht="15.75" customHeight="1">
      <c r="B704" s="370">
        <f t="shared" si="2"/>
        <v>0.08113425926</v>
      </c>
      <c r="C704" s="56">
        <f t="shared" si="3"/>
        <v>7010</v>
      </c>
      <c r="D704" s="56">
        <v>3.151</v>
      </c>
      <c r="F704" s="371">
        <v>701.0</v>
      </c>
      <c r="G704" s="372">
        <f t="shared" si="1"/>
        <v>0</v>
      </c>
    </row>
    <row r="705" ht="15.75" customHeight="1">
      <c r="B705" s="370">
        <f t="shared" si="2"/>
        <v>0.08125</v>
      </c>
      <c r="C705" s="56">
        <f t="shared" si="3"/>
        <v>7020</v>
      </c>
      <c r="D705" s="56">
        <v>2.845</v>
      </c>
      <c r="F705" s="371">
        <v>702.0</v>
      </c>
      <c r="G705" s="372">
        <f t="shared" si="1"/>
        <v>0</v>
      </c>
    </row>
    <row r="706" ht="15.75" customHeight="1">
      <c r="B706" s="370">
        <f t="shared" si="2"/>
        <v>0.08136574074</v>
      </c>
      <c r="C706" s="56">
        <f t="shared" si="3"/>
        <v>7030</v>
      </c>
      <c r="D706" s="56">
        <v>2.764</v>
      </c>
      <c r="F706" s="371">
        <v>703.0</v>
      </c>
      <c r="G706" s="372">
        <f t="shared" si="1"/>
        <v>0</v>
      </c>
    </row>
    <row r="707" ht="15.75" customHeight="1">
      <c r="B707" s="370">
        <f t="shared" si="2"/>
        <v>0.08148148148</v>
      </c>
      <c r="C707" s="56">
        <f t="shared" si="3"/>
        <v>7040</v>
      </c>
      <c r="D707" s="56">
        <v>2.767</v>
      </c>
      <c r="F707" s="371">
        <v>704.0</v>
      </c>
      <c r="G707" s="372">
        <f t="shared" si="1"/>
        <v>0</v>
      </c>
    </row>
    <row r="708" ht="15.75" customHeight="1">
      <c r="B708" s="370">
        <f t="shared" si="2"/>
        <v>0.08159722222</v>
      </c>
      <c r="C708" s="56">
        <f t="shared" si="3"/>
        <v>7050</v>
      </c>
      <c r="D708" s="56">
        <v>2.753</v>
      </c>
      <c r="F708" s="371">
        <v>705.0</v>
      </c>
      <c r="G708" s="372">
        <f t="shared" si="1"/>
        <v>0</v>
      </c>
    </row>
    <row r="709" ht="15.75" customHeight="1">
      <c r="B709" s="370">
        <f t="shared" si="2"/>
        <v>0.08171296296</v>
      </c>
      <c r="C709" s="56">
        <f t="shared" si="3"/>
        <v>7060</v>
      </c>
      <c r="D709" s="56">
        <v>2.665</v>
      </c>
      <c r="F709" s="371">
        <v>706.0</v>
      </c>
      <c r="G709" s="372">
        <f t="shared" si="1"/>
        <v>0</v>
      </c>
    </row>
    <row r="710" ht="15.75" customHeight="1">
      <c r="B710" s="370">
        <f t="shared" si="2"/>
        <v>0.0818287037</v>
      </c>
      <c r="C710" s="56">
        <f t="shared" si="3"/>
        <v>7070</v>
      </c>
      <c r="D710" s="56">
        <v>2.567</v>
      </c>
      <c r="F710" s="371">
        <v>707.0</v>
      </c>
      <c r="G710" s="372">
        <f t="shared" si="1"/>
        <v>0</v>
      </c>
    </row>
    <row r="711" ht="15.75" customHeight="1">
      <c r="B711" s="370">
        <f t="shared" si="2"/>
        <v>0.08194444444</v>
      </c>
      <c r="C711" s="56">
        <f t="shared" si="3"/>
        <v>7080</v>
      </c>
      <c r="D711" s="56">
        <v>2.306</v>
      </c>
      <c r="F711" s="371">
        <v>708.0</v>
      </c>
      <c r="G711" s="372">
        <f t="shared" si="1"/>
        <v>0</v>
      </c>
    </row>
    <row r="712" ht="15.75" customHeight="1">
      <c r="B712" s="370">
        <f t="shared" si="2"/>
        <v>0.08206018519</v>
      </c>
      <c r="C712" s="56">
        <f t="shared" si="3"/>
        <v>7090</v>
      </c>
      <c r="D712" s="56">
        <v>3.088</v>
      </c>
      <c r="F712" s="371">
        <v>709.0</v>
      </c>
      <c r="G712" s="372">
        <f t="shared" si="1"/>
        <v>0</v>
      </c>
    </row>
    <row r="713" ht="15.75" customHeight="1">
      <c r="B713" s="370">
        <f t="shared" si="2"/>
        <v>0.08217592593</v>
      </c>
      <c r="C713" s="56">
        <f t="shared" si="3"/>
        <v>7100</v>
      </c>
      <c r="D713" s="56">
        <v>3.397</v>
      </c>
      <c r="F713" s="371">
        <v>710.0</v>
      </c>
      <c r="G713" s="372">
        <f t="shared" si="1"/>
        <v>0</v>
      </c>
    </row>
    <row r="714" ht="15.75" customHeight="1">
      <c r="B714" s="370">
        <f t="shared" si="2"/>
        <v>0.08229166667</v>
      </c>
      <c r="C714" s="56">
        <f t="shared" si="3"/>
        <v>7110</v>
      </c>
      <c r="D714" s="56">
        <v>3.44</v>
      </c>
      <c r="F714" s="371">
        <v>711.0</v>
      </c>
      <c r="G714" s="372">
        <f t="shared" si="1"/>
        <v>0</v>
      </c>
    </row>
    <row r="715" ht="15.75" customHeight="1">
      <c r="B715" s="370">
        <f t="shared" si="2"/>
        <v>0.08240740741</v>
      </c>
      <c r="C715" s="56">
        <f t="shared" si="3"/>
        <v>7120</v>
      </c>
      <c r="D715" s="56">
        <v>3.477</v>
      </c>
      <c r="F715" s="371">
        <v>712.0</v>
      </c>
      <c r="G715" s="372">
        <f t="shared" si="1"/>
        <v>0</v>
      </c>
    </row>
    <row r="716" ht="15.75" customHeight="1">
      <c r="B716" s="370">
        <f t="shared" si="2"/>
        <v>0.08252314815</v>
      </c>
      <c r="C716" s="56">
        <f t="shared" si="3"/>
        <v>7130</v>
      </c>
      <c r="D716" s="56">
        <v>3.201</v>
      </c>
      <c r="F716" s="371">
        <v>713.0</v>
      </c>
      <c r="G716" s="372">
        <f t="shared" si="1"/>
        <v>0</v>
      </c>
    </row>
    <row r="717" ht="15.75" customHeight="1">
      <c r="B717" s="370">
        <f t="shared" si="2"/>
        <v>0.08263888889</v>
      </c>
      <c r="C717" s="56">
        <f t="shared" si="3"/>
        <v>7140</v>
      </c>
      <c r="D717" s="56">
        <v>2.53</v>
      </c>
      <c r="F717" s="371">
        <v>714.0</v>
      </c>
      <c r="G717" s="372">
        <f t="shared" si="1"/>
        <v>0</v>
      </c>
    </row>
    <row r="718" ht="15.75" customHeight="1">
      <c r="B718" s="370">
        <f t="shared" si="2"/>
        <v>0.08275462963</v>
      </c>
      <c r="C718" s="56">
        <f t="shared" si="3"/>
        <v>7150</v>
      </c>
      <c r="D718" s="56">
        <v>2.054</v>
      </c>
      <c r="F718" s="371">
        <v>715.0</v>
      </c>
      <c r="G718" s="372">
        <f t="shared" si="1"/>
        <v>1.126666667</v>
      </c>
    </row>
    <row r="719" ht="15.75" customHeight="1">
      <c r="B719" s="370">
        <f t="shared" si="2"/>
        <v>0.08287037037</v>
      </c>
      <c r="C719" s="56">
        <f t="shared" si="3"/>
        <v>7160</v>
      </c>
      <c r="D719" s="56">
        <v>2.116</v>
      </c>
      <c r="F719" s="371">
        <v>716.0</v>
      </c>
      <c r="G719" s="372">
        <f t="shared" si="1"/>
        <v>2.921666667</v>
      </c>
    </row>
    <row r="720" ht="15.75" customHeight="1">
      <c r="B720" s="370">
        <f t="shared" si="2"/>
        <v>0.08298611111</v>
      </c>
      <c r="C720" s="56">
        <f t="shared" si="3"/>
        <v>7170</v>
      </c>
      <c r="D720" s="56">
        <v>2.607</v>
      </c>
      <c r="F720" s="371">
        <v>717.0</v>
      </c>
      <c r="G720" s="372">
        <f t="shared" si="1"/>
        <v>2.722166667</v>
      </c>
    </row>
    <row r="721" ht="15.75" customHeight="1">
      <c r="B721" s="370">
        <f t="shared" si="2"/>
        <v>0.08310185185</v>
      </c>
      <c r="C721" s="56">
        <f t="shared" si="3"/>
        <v>7180</v>
      </c>
      <c r="D721" s="56">
        <v>3.045</v>
      </c>
      <c r="F721" s="371">
        <v>718.0</v>
      </c>
      <c r="G721" s="372">
        <f t="shared" si="1"/>
        <v>3.193833333</v>
      </c>
    </row>
    <row r="722" ht="15.75" customHeight="1">
      <c r="B722" s="370">
        <f t="shared" si="2"/>
        <v>0.08321759259</v>
      </c>
      <c r="C722" s="56">
        <f t="shared" si="3"/>
        <v>7190</v>
      </c>
      <c r="D722" s="56">
        <v>3.396</v>
      </c>
      <c r="F722" s="371">
        <v>719.0</v>
      </c>
      <c r="G722" s="372">
        <f t="shared" si="1"/>
        <v>2.636166667</v>
      </c>
    </row>
    <row r="723" ht="15.75" customHeight="1">
      <c r="B723" s="370">
        <f t="shared" si="2"/>
        <v>0.08333333333</v>
      </c>
      <c r="C723" s="56">
        <f t="shared" si="3"/>
        <v>7200</v>
      </c>
      <c r="D723" s="56">
        <v>3.344</v>
      </c>
      <c r="F723" s="371">
        <v>720.0</v>
      </c>
      <c r="G723" s="372">
        <f t="shared" si="1"/>
        <v>2.913</v>
      </c>
    </row>
    <row r="724" ht="15.75" customHeight="1">
      <c r="B724" s="370">
        <f t="shared" si="2"/>
        <v>0.08344907407</v>
      </c>
      <c r="C724" s="56">
        <f t="shared" si="3"/>
        <v>7210</v>
      </c>
      <c r="D724" s="56">
        <v>3.28</v>
      </c>
      <c r="F724" s="371">
        <v>721.0</v>
      </c>
      <c r="G724" s="372">
        <f t="shared" si="1"/>
        <v>2.897833333</v>
      </c>
    </row>
    <row r="725" ht="15.75" customHeight="1">
      <c r="B725" s="370">
        <f t="shared" si="2"/>
        <v>0.08356481481</v>
      </c>
      <c r="C725" s="56">
        <f t="shared" si="3"/>
        <v>7220</v>
      </c>
      <c r="D725" s="56">
        <v>3.058</v>
      </c>
      <c r="F725" s="371">
        <v>722.0</v>
      </c>
      <c r="G725" s="372">
        <f t="shared" si="1"/>
        <v>2.680833333</v>
      </c>
    </row>
    <row r="726" ht="15.75" customHeight="1">
      <c r="B726" s="370">
        <f t="shared" si="2"/>
        <v>0.08368055556</v>
      </c>
      <c r="C726" s="56">
        <f t="shared" si="3"/>
        <v>7230</v>
      </c>
      <c r="D726" s="56">
        <v>2.537</v>
      </c>
      <c r="F726" s="371">
        <v>723.0</v>
      </c>
      <c r="G726" s="372">
        <f t="shared" si="1"/>
        <v>3.098166667</v>
      </c>
    </row>
    <row r="727" ht="15.75" customHeight="1">
      <c r="B727" s="370">
        <f t="shared" si="2"/>
        <v>0.0837962963</v>
      </c>
      <c r="C727" s="56">
        <f t="shared" si="3"/>
        <v>7240</v>
      </c>
      <c r="D727" s="56">
        <v>2.664</v>
      </c>
      <c r="F727" s="371">
        <v>724.0</v>
      </c>
      <c r="G727" s="372">
        <f t="shared" si="1"/>
        <v>2.7005</v>
      </c>
    </row>
    <row r="728" ht="15.75" customHeight="1">
      <c r="B728" s="370">
        <f t="shared" si="2"/>
        <v>0.08391203704</v>
      </c>
      <c r="C728" s="56">
        <f t="shared" si="3"/>
        <v>7250</v>
      </c>
      <c r="D728" s="56">
        <v>2.735</v>
      </c>
      <c r="F728" s="371">
        <v>725.0</v>
      </c>
      <c r="G728" s="372">
        <f t="shared" si="1"/>
        <v>3.035166667</v>
      </c>
    </row>
    <row r="729" ht="15.75" customHeight="1">
      <c r="B729" s="370">
        <f t="shared" si="2"/>
        <v>0.08402777778</v>
      </c>
      <c r="C729" s="56">
        <f t="shared" si="3"/>
        <v>7260</v>
      </c>
      <c r="D729" s="56">
        <v>2.709</v>
      </c>
      <c r="F729" s="371">
        <v>726.0</v>
      </c>
      <c r="G729" s="372">
        <f t="shared" si="1"/>
        <v>2.943666667</v>
      </c>
    </row>
    <row r="730" ht="15.75" customHeight="1">
      <c r="B730" s="370">
        <f t="shared" si="2"/>
        <v>0.08414351852</v>
      </c>
      <c r="C730" s="56">
        <f t="shared" si="3"/>
        <v>7270</v>
      </c>
      <c r="D730" s="56">
        <v>2.684</v>
      </c>
      <c r="F730" s="371">
        <v>727.0</v>
      </c>
      <c r="G730" s="372">
        <f t="shared" si="1"/>
        <v>2.729</v>
      </c>
    </row>
    <row r="731" ht="15.75" customHeight="1">
      <c r="B731" s="370">
        <f t="shared" si="2"/>
        <v>0.08425925926</v>
      </c>
      <c r="C731" s="56">
        <f t="shared" si="3"/>
        <v>7280</v>
      </c>
      <c r="D731" s="56">
        <v>2.429</v>
      </c>
      <c r="F731" s="371">
        <v>728.0</v>
      </c>
      <c r="G731" s="372">
        <f t="shared" si="1"/>
        <v>3.060333333</v>
      </c>
    </row>
    <row r="732" ht="15.75" customHeight="1">
      <c r="B732" s="370">
        <f t="shared" si="2"/>
        <v>0.084375</v>
      </c>
      <c r="C732" s="56">
        <f t="shared" si="3"/>
        <v>7290</v>
      </c>
      <c r="D732" s="56">
        <v>2.924</v>
      </c>
      <c r="F732" s="371">
        <v>729.0</v>
      </c>
      <c r="G732" s="372">
        <f t="shared" si="1"/>
        <v>2.647166667</v>
      </c>
    </row>
    <row r="733" ht="15.75" customHeight="1">
      <c r="B733" s="370">
        <f t="shared" si="2"/>
        <v>0.08449074074</v>
      </c>
      <c r="C733" s="56">
        <f t="shared" si="3"/>
        <v>7300</v>
      </c>
      <c r="D733" s="56">
        <v>3.287</v>
      </c>
      <c r="F733" s="371">
        <v>730.0</v>
      </c>
      <c r="G733" s="372">
        <f t="shared" si="1"/>
        <v>2.967833333</v>
      </c>
    </row>
    <row r="734" ht="15.75" customHeight="1">
      <c r="B734" s="370">
        <f t="shared" si="2"/>
        <v>0.08460648148</v>
      </c>
      <c r="C734" s="56">
        <f t="shared" si="3"/>
        <v>7310</v>
      </c>
      <c r="D734" s="56">
        <v>3.353</v>
      </c>
      <c r="F734" s="371">
        <v>731.0</v>
      </c>
      <c r="G734" s="372">
        <f t="shared" si="1"/>
        <v>2.8635</v>
      </c>
    </row>
    <row r="735" ht="15.75" customHeight="1">
      <c r="B735" s="370">
        <f t="shared" si="2"/>
        <v>0.08472222222</v>
      </c>
      <c r="C735" s="56">
        <f t="shared" si="3"/>
        <v>7320</v>
      </c>
      <c r="D735" s="56">
        <v>3.431</v>
      </c>
      <c r="F735" s="371">
        <v>732.0</v>
      </c>
      <c r="G735" s="372">
        <f t="shared" si="1"/>
        <v>2.686666667</v>
      </c>
    </row>
    <row r="736" ht="15.75" customHeight="1">
      <c r="B736" s="370">
        <f t="shared" si="2"/>
        <v>0.08483796296</v>
      </c>
      <c r="C736" s="56">
        <f t="shared" si="3"/>
        <v>7330</v>
      </c>
      <c r="D736" s="56">
        <v>3.23</v>
      </c>
      <c r="F736" s="371">
        <v>733.0</v>
      </c>
      <c r="G736" s="372">
        <f t="shared" si="1"/>
        <v>3.248833333</v>
      </c>
    </row>
    <row r="737" ht="15.75" customHeight="1">
      <c r="B737" s="370">
        <f t="shared" si="2"/>
        <v>0.0849537037</v>
      </c>
      <c r="C737" s="56">
        <f t="shared" si="3"/>
        <v>7340</v>
      </c>
      <c r="D737" s="56">
        <v>2.699</v>
      </c>
      <c r="F737" s="371">
        <v>734.0</v>
      </c>
      <c r="G737" s="372">
        <f t="shared" si="1"/>
        <v>2.655</v>
      </c>
    </row>
    <row r="738" ht="15.75" customHeight="1">
      <c r="B738" s="370">
        <f t="shared" si="2"/>
        <v>0.08506944444</v>
      </c>
      <c r="C738" s="56">
        <f t="shared" si="3"/>
        <v>7350</v>
      </c>
      <c r="D738" s="56">
        <v>2.242</v>
      </c>
      <c r="F738" s="371">
        <v>735.0</v>
      </c>
      <c r="G738" s="372">
        <f t="shared" si="1"/>
        <v>2.916833333</v>
      </c>
    </row>
    <row r="739" ht="15.75" customHeight="1">
      <c r="B739" s="370">
        <f t="shared" si="2"/>
        <v>0.08518518519</v>
      </c>
      <c r="C739" s="56">
        <f t="shared" si="3"/>
        <v>7360</v>
      </c>
      <c r="D739" s="56">
        <v>1.979</v>
      </c>
      <c r="F739" s="371">
        <v>736.0</v>
      </c>
      <c r="G739" s="372">
        <f t="shared" si="1"/>
        <v>2.916166667</v>
      </c>
    </row>
    <row r="740" ht="15.75" customHeight="1">
      <c r="B740" s="370">
        <f t="shared" si="2"/>
        <v>0.08530092593</v>
      </c>
      <c r="C740" s="56">
        <f t="shared" si="3"/>
        <v>7370</v>
      </c>
      <c r="D740" s="56">
        <v>2.463</v>
      </c>
      <c r="F740" s="371">
        <v>737.0</v>
      </c>
      <c r="G740" s="372">
        <f t="shared" si="1"/>
        <v>2.709666667</v>
      </c>
    </row>
    <row r="741" ht="15.75" customHeight="1">
      <c r="B741" s="370">
        <f t="shared" si="2"/>
        <v>0.08541666667</v>
      </c>
      <c r="C741" s="56">
        <f t="shared" si="3"/>
        <v>7380</v>
      </c>
      <c r="D741" s="56">
        <v>2.995</v>
      </c>
      <c r="F741" s="371">
        <v>738.0</v>
      </c>
      <c r="G741" s="372">
        <f t="shared" si="1"/>
        <v>2.972666667</v>
      </c>
    </row>
    <row r="742" ht="15.75" customHeight="1">
      <c r="B742" s="370">
        <f t="shared" si="2"/>
        <v>0.08553240741</v>
      </c>
      <c r="C742" s="56">
        <f t="shared" si="3"/>
        <v>7390</v>
      </c>
      <c r="D742" s="56">
        <v>3.437</v>
      </c>
      <c r="F742" s="371">
        <v>739.0</v>
      </c>
      <c r="G742" s="372">
        <f t="shared" si="1"/>
        <v>2.694833333</v>
      </c>
    </row>
    <row r="743" ht="15.75" customHeight="1">
      <c r="B743" s="370">
        <f t="shared" si="2"/>
        <v>0.08564814815</v>
      </c>
      <c r="C743" s="56">
        <f t="shared" si="3"/>
        <v>7400</v>
      </c>
      <c r="D743" s="56">
        <v>3.434</v>
      </c>
      <c r="F743" s="371">
        <v>740.0</v>
      </c>
      <c r="G743" s="372">
        <f t="shared" si="1"/>
        <v>2.996833333</v>
      </c>
    </row>
    <row r="744" ht="15.75" customHeight="1">
      <c r="B744" s="370">
        <f t="shared" si="2"/>
        <v>0.08576388889</v>
      </c>
      <c r="C744" s="56">
        <f t="shared" si="3"/>
        <v>7410</v>
      </c>
      <c r="D744" s="56">
        <v>3.378</v>
      </c>
      <c r="F744" s="371">
        <v>741.0</v>
      </c>
      <c r="G744" s="372">
        <f t="shared" si="1"/>
        <v>2.9475</v>
      </c>
    </row>
    <row r="745" ht="15.75" customHeight="1">
      <c r="B745" s="370">
        <f t="shared" si="2"/>
        <v>0.08587962963</v>
      </c>
      <c r="C745" s="56">
        <f t="shared" si="3"/>
        <v>7420</v>
      </c>
      <c r="D745" s="56">
        <v>3.174</v>
      </c>
      <c r="F745" s="371">
        <v>742.0</v>
      </c>
      <c r="G745" s="372">
        <f t="shared" si="1"/>
        <v>2.7215</v>
      </c>
    </row>
    <row r="746" ht="15.75" customHeight="1">
      <c r="B746" s="370">
        <f t="shared" si="2"/>
        <v>0.08599537037</v>
      </c>
      <c r="C746" s="56">
        <f t="shared" si="3"/>
        <v>7430</v>
      </c>
      <c r="D746" s="56">
        <v>2.455</v>
      </c>
      <c r="F746" s="371">
        <v>743.0</v>
      </c>
      <c r="G746" s="372">
        <f t="shared" si="1"/>
        <v>3.161666667</v>
      </c>
    </row>
    <row r="747" ht="15.75" customHeight="1">
      <c r="B747" s="370">
        <f t="shared" si="2"/>
        <v>0.08611111111</v>
      </c>
      <c r="C747" s="56">
        <f t="shared" si="3"/>
        <v>7440</v>
      </c>
      <c r="D747" s="56">
        <v>2.497</v>
      </c>
      <c r="F747" s="371">
        <v>744.0</v>
      </c>
      <c r="G747" s="372">
        <f t="shared" si="1"/>
        <v>2.632166667</v>
      </c>
    </row>
    <row r="748" ht="15.75" customHeight="1">
      <c r="B748" s="370">
        <f t="shared" si="2"/>
        <v>0.08622685185</v>
      </c>
      <c r="C748" s="56">
        <f t="shared" si="3"/>
        <v>7450</v>
      </c>
      <c r="D748" s="56">
        <v>2.676</v>
      </c>
      <c r="F748" s="371">
        <v>745.0</v>
      </c>
      <c r="G748" s="372">
        <f t="shared" si="1"/>
        <v>2.925666667</v>
      </c>
    </row>
    <row r="749" ht="15.75" customHeight="1">
      <c r="B749" s="370">
        <f t="shared" si="2"/>
        <v>0.08634259259</v>
      </c>
      <c r="C749" s="56">
        <f t="shared" si="3"/>
        <v>7460</v>
      </c>
      <c r="D749" s="56">
        <v>2.719</v>
      </c>
      <c r="F749" s="371">
        <v>746.0</v>
      </c>
      <c r="G749" s="372">
        <f t="shared" si="1"/>
        <v>2.903166667</v>
      </c>
    </row>
    <row r="750" ht="15.75" customHeight="1">
      <c r="B750" s="370">
        <f t="shared" si="2"/>
        <v>0.08645833333</v>
      </c>
      <c r="C750" s="56">
        <f t="shared" si="3"/>
        <v>7470</v>
      </c>
      <c r="D750" s="56">
        <v>2.771</v>
      </c>
      <c r="F750" s="371">
        <v>747.0</v>
      </c>
      <c r="G750" s="372">
        <f t="shared" si="1"/>
        <v>2.678333333</v>
      </c>
    </row>
    <row r="751" ht="15.75" customHeight="1">
      <c r="B751" s="370">
        <f t="shared" si="2"/>
        <v>0.08657407407</v>
      </c>
      <c r="C751" s="56">
        <f t="shared" si="3"/>
        <v>7480</v>
      </c>
      <c r="D751" s="56">
        <v>2.319</v>
      </c>
      <c r="F751" s="371">
        <v>748.0</v>
      </c>
      <c r="G751" s="372">
        <f t="shared" si="1"/>
        <v>3.1185</v>
      </c>
    </row>
    <row r="752" ht="15.75" customHeight="1">
      <c r="B752" s="370">
        <f t="shared" si="2"/>
        <v>0.08668981481</v>
      </c>
      <c r="C752" s="56">
        <f t="shared" si="3"/>
        <v>7490</v>
      </c>
      <c r="D752" s="56">
        <v>0.0</v>
      </c>
      <c r="F752" s="371">
        <v>749.0</v>
      </c>
      <c r="G752" s="372">
        <f t="shared" si="1"/>
        <v>2.697833333</v>
      </c>
    </row>
    <row r="753" ht="15.75" customHeight="1">
      <c r="B753" s="370">
        <f t="shared" si="2"/>
        <v>0.08680555556</v>
      </c>
      <c r="C753" s="56">
        <f t="shared" si="3"/>
        <v>7500</v>
      </c>
      <c r="D753" s="56">
        <v>0.0</v>
      </c>
      <c r="F753" s="371">
        <v>750.0</v>
      </c>
      <c r="G753" s="372">
        <f t="shared" si="1"/>
        <v>3.034833333</v>
      </c>
    </row>
    <row r="754" ht="15.75" customHeight="1">
      <c r="B754" s="370">
        <f t="shared" si="2"/>
        <v>0.0869212963</v>
      </c>
      <c r="C754" s="56">
        <f t="shared" si="3"/>
        <v>7510</v>
      </c>
      <c r="D754" s="56">
        <v>0.0</v>
      </c>
      <c r="F754" s="371">
        <v>751.0</v>
      </c>
      <c r="G754" s="372">
        <f t="shared" si="1"/>
        <v>2.931166667</v>
      </c>
    </row>
    <row r="755" ht="15.75" customHeight="1">
      <c r="B755" s="370">
        <f t="shared" si="2"/>
        <v>0.08703703704</v>
      </c>
      <c r="C755" s="56">
        <f t="shared" si="3"/>
        <v>7520</v>
      </c>
      <c r="D755" s="56">
        <v>0.0</v>
      </c>
      <c r="F755" s="371">
        <v>752.0</v>
      </c>
      <c r="G755" s="372">
        <f t="shared" si="1"/>
        <v>2.739</v>
      </c>
    </row>
    <row r="756" ht="15.75" customHeight="1">
      <c r="B756" s="370">
        <f t="shared" si="2"/>
        <v>0.08715277778</v>
      </c>
      <c r="C756" s="56">
        <f t="shared" si="3"/>
        <v>7530</v>
      </c>
      <c r="D756" s="56">
        <v>0.0</v>
      </c>
      <c r="F756" s="371">
        <v>753.0</v>
      </c>
      <c r="G756" s="372">
        <f t="shared" si="1"/>
        <v>3.030333333</v>
      </c>
    </row>
    <row r="757" ht="15.75" customHeight="1">
      <c r="B757" s="370">
        <f t="shared" si="2"/>
        <v>0.08726851852</v>
      </c>
      <c r="C757" s="56">
        <f t="shared" si="3"/>
        <v>7540</v>
      </c>
      <c r="D757" s="56">
        <v>0.0</v>
      </c>
      <c r="F757" s="371">
        <v>754.0</v>
      </c>
      <c r="G757" s="372">
        <f t="shared" si="1"/>
        <v>2.657</v>
      </c>
    </row>
    <row r="758" ht="15.75" customHeight="1">
      <c r="B758" s="370">
        <f t="shared" si="2"/>
        <v>0.08738425926</v>
      </c>
      <c r="C758" s="56">
        <f t="shared" si="3"/>
        <v>7550</v>
      </c>
      <c r="D758" s="56">
        <v>0.0</v>
      </c>
      <c r="F758" s="371">
        <v>755.0</v>
      </c>
      <c r="G758" s="372">
        <f t="shared" si="1"/>
        <v>2.975333333</v>
      </c>
    </row>
    <row r="759" ht="15.75" customHeight="1">
      <c r="B759" s="370">
        <f t="shared" si="2"/>
        <v>0.0875</v>
      </c>
      <c r="C759" s="56">
        <f t="shared" si="3"/>
        <v>7560</v>
      </c>
      <c r="D759" s="56">
        <v>0.0</v>
      </c>
      <c r="F759" s="371">
        <v>756.0</v>
      </c>
      <c r="G759" s="372">
        <f t="shared" si="1"/>
        <v>2.863166667</v>
      </c>
    </row>
    <row r="760" ht="15.75" customHeight="1">
      <c r="B760" s="370">
        <f t="shared" si="2"/>
        <v>0.08761574074</v>
      </c>
      <c r="C760" s="56">
        <f t="shared" si="3"/>
        <v>7570</v>
      </c>
      <c r="D760" s="56">
        <v>0.0</v>
      </c>
      <c r="F760" s="371">
        <v>757.0</v>
      </c>
      <c r="G760" s="372">
        <f t="shared" si="1"/>
        <v>2.687166667</v>
      </c>
    </row>
    <row r="761" ht="15.75" customHeight="1">
      <c r="B761" s="370">
        <f t="shared" si="2"/>
        <v>0.08773148148</v>
      </c>
      <c r="C761" s="56">
        <f t="shared" si="3"/>
        <v>7580</v>
      </c>
      <c r="D761" s="56">
        <v>0.0</v>
      </c>
      <c r="F761" s="371">
        <v>758.0</v>
      </c>
      <c r="G761" s="372">
        <f t="shared" si="1"/>
        <v>3.254166667</v>
      </c>
    </row>
    <row r="762" ht="15.75" customHeight="1">
      <c r="B762" s="370">
        <f t="shared" si="2"/>
        <v>0.08784722222</v>
      </c>
      <c r="C762" s="56">
        <f t="shared" si="3"/>
        <v>7590</v>
      </c>
      <c r="D762" s="56">
        <v>0.0</v>
      </c>
      <c r="F762" s="371">
        <v>759.0</v>
      </c>
      <c r="G762" s="372">
        <f t="shared" si="1"/>
        <v>2.650166667</v>
      </c>
    </row>
    <row r="763" ht="15.75" customHeight="1">
      <c r="B763" s="370">
        <f t="shared" si="2"/>
        <v>0.08796296296</v>
      </c>
      <c r="C763" s="56">
        <f t="shared" si="3"/>
        <v>7600</v>
      </c>
      <c r="D763" s="56">
        <v>0.0</v>
      </c>
      <c r="F763" s="371">
        <v>760.0</v>
      </c>
      <c r="G763" s="372">
        <f t="shared" si="1"/>
        <v>2.9025</v>
      </c>
    </row>
    <row r="764" ht="15.75" customHeight="1">
      <c r="B764" s="370">
        <f t="shared" si="2"/>
        <v>0.0880787037</v>
      </c>
      <c r="C764" s="56">
        <f t="shared" si="3"/>
        <v>7610</v>
      </c>
      <c r="D764" s="56">
        <v>0.0</v>
      </c>
      <c r="F764" s="371">
        <v>761.0</v>
      </c>
      <c r="G764" s="372">
        <f t="shared" si="1"/>
        <v>2.92</v>
      </c>
    </row>
    <row r="765" ht="15.75" customHeight="1">
      <c r="B765" s="370">
        <f t="shared" si="2"/>
        <v>0.08819444444</v>
      </c>
      <c r="C765" s="56">
        <f t="shared" si="3"/>
        <v>7620</v>
      </c>
      <c r="D765" s="56">
        <v>0.0</v>
      </c>
      <c r="F765" s="371">
        <v>762.0</v>
      </c>
      <c r="G765" s="372">
        <f t="shared" si="1"/>
        <v>2.709833333</v>
      </c>
    </row>
    <row r="766" ht="15.75" customHeight="1">
      <c r="B766" s="370">
        <f t="shared" si="2"/>
        <v>0.08831018519</v>
      </c>
      <c r="C766" s="56">
        <f t="shared" si="3"/>
        <v>7630</v>
      </c>
      <c r="D766" s="56">
        <v>0.0</v>
      </c>
      <c r="F766" s="371">
        <v>763.0</v>
      </c>
      <c r="G766" s="372">
        <f t="shared" si="1"/>
        <v>2.996833333</v>
      </c>
    </row>
    <row r="767" ht="15.75" customHeight="1">
      <c r="B767" s="370">
        <f t="shared" si="2"/>
        <v>0.08842592593</v>
      </c>
      <c r="C767" s="56">
        <f t="shared" si="3"/>
        <v>7640</v>
      </c>
      <c r="D767" s="56">
        <v>0.0</v>
      </c>
      <c r="F767" s="371">
        <v>764.0</v>
      </c>
      <c r="G767" s="372">
        <f t="shared" si="1"/>
        <v>2.693666667</v>
      </c>
    </row>
    <row r="768" ht="15.75" customHeight="1">
      <c r="B768" s="370">
        <f t="shared" si="2"/>
        <v>0.08854166667</v>
      </c>
      <c r="C768" s="56">
        <f t="shared" si="3"/>
        <v>7650</v>
      </c>
      <c r="D768" s="56">
        <v>0.0</v>
      </c>
      <c r="F768" s="371">
        <v>765.0</v>
      </c>
      <c r="G768" s="372">
        <f t="shared" si="1"/>
        <v>2.9985</v>
      </c>
    </row>
    <row r="769" ht="15.75" customHeight="1">
      <c r="B769" s="370">
        <f t="shared" si="2"/>
        <v>0.08865740741</v>
      </c>
      <c r="C769" s="56">
        <f t="shared" si="3"/>
        <v>7660</v>
      </c>
      <c r="D769" s="56">
        <v>0.0</v>
      </c>
      <c r="F769" s="371">
        <v>766.0</v>
      </c>
      <c r="G769" s="372">
        <f t="shared" si="1"/>
        <v>2.962666667</v>
      </c>
    </row>
    <row r="770" ht="15.75" customHeight="1">
      <c r="B770" s="370">
        <f t="shared" si="2"/>
        <v>0.08877314815</v>
      </c>
      <c r="C770" s="56">
        <f t="shared" si="3"/>
        <v>7670</v>
      </c>
      <c r="D770" s="56">
        <v>0.0</v>
      </c>
      <c r="F770" s="371">
        <v>767.0</v>
      </c>
      <c r="G770" s="372">
        <f t="shared" si="1"/>
        <v>2.733</v>
      </c>
    </row>
    <row r="771" ht="15.75" customHeight="1">
      <c r="B771" s="370">
        <f t="shared" si="2"/>
        <v>0.08888888889</v>
      </c>
      <c r="C771" s="56">
        <f t="shared" si="3"/>
        <v>7680</v>
      </c>
      <c r="D771" s="56">
        <v>0.0</v>
      </c>
      <c r="F771" s="371">
        <v>768.0</v>
      </c>
      <c r="G771" s="372">
        <f t="shared" si="1"/>
        <v>3.138666667</v>
      </c>
    </row>
    <row r="772" ht="15.75" customHeight="1">
      <c r="B772" s="370">
        <f t="shared" si="2"/>
        <v>0.08900462963</v>
      </c>
      <c r="C772" s="56">
        <f t="shared" si="3"/>
        <v>7690</v>
      </c>
      <c r="D772" s="56">
        <v>0.0</v>
      </c>
      <c r="F772" s="371">
        <v>769.0</v>
      </c>
      <c r="G772" s="372">
        <f t="shared" si="1"/>
        <v>2.635666667</v>
      </c>
    </row>
    <row r="773" ht="15.75" customHeight="1">
      <c r="B773" s="370">
        <f t="shared" si="2"/>
        <v>0.08912037037</v>
      </c>
      <c r="C773" s="56">
        <f t="shared" si="3"/>
        <v>7700</v>
      </c>
      <c r="D773" s="56">
        <v>0.0</v>
      </c>
      <c r="F773" s="371">
        <v>770.0</v>
      </c>
      <c r="G773" s="372">
        <f t="shared" si="1"/>
        <v>2.934</v>
      </c>
    </row>
    <row r="774" ht="15.75" customHeight="1">
      <c r="B774" s="370">
        <f t="shared" si="2"/>
        <v>0.08923611111</v>
      </c>
      <c r="C774" s="56">
        <f t="shared" si="3"/>
        <v>7710</v>
      </c>
      <c r="D774" s="56">
        <v>0.0</v>
      </c>
      <c r="F774" s="371">
        <v>771.0</v>
      </c>
      <c r="G774" s="372">
        <f t="shared" si="1"/>
        <v>2.9</v>
      </c>
    </row>
    <row r="775" ht="15.75" customHeight="1">
      <c r="B775" s="370">
        <f t="shared" si="2"/>
        <v>0.08935185185</v>
      </c>
      <c r="C775" s="56">
        <f t="shared" si="3"/>
        <v>7720</v>
      </c>
      <c r="D775" s="56">
        <v>0.0</v>
      </c>
      <c r="F775" s="371">
        <v>772.0</v>
      </c>
      <c r="G775" s="372">
        <f t="shared" si="1"/>
        <v>2.670166667</v>
      </c>
    </row>
    <row r="776" ht="15.75" customHeight="1">
      <c r="B776" s="370">
        <f t="shared" si="2"/>
        <v>0.08946759259</v>
      </c>
      <c r="C776" s="56">
        <f t="shared" si="3"/>
        <v>7730</v>
      </c>
      <c r="D776" s="56">
        <v>0.0</v>
      </c>
      <c r="F776" s="371">
        <v>773.0</v>
      </c>
      <c r="G776" s="372">
        <f t="shared" si="1"/>
        <v>2.3915</v>
      </c>
    </row>
    <row r="777" ht="15.75" customHeight="1">
      <c r="B777" s="370">
        <f t="shared" si="2"/>
        <v>0.08958333333</v>
      </c>
      <c r="C777" s="56">
        <f t="shared" si="3"/>
        <v>7740</v>
      </c>
      <c r="D777" s="56">
        <v>0.0</v>
      </c>
      <c r="F777" s="371">
        <v>774.0</v>
      </c>
      <c r="G777" s="372">
        <f t="shared" si="1"/>
        <v>0</v>
      </c>
    </row>
    <row r="778" ht="15.75" customHeight="1">
      <c r="B778" s="370">
        <f t="shared" si="2"/>
        <v>0.08969907407</v>
      </c>
      <c r="C778" s="56">
        <f t="shared" si="3"/>
        <v>7750</v>
      </c>
      <c r="D778" s="56">
        <v>0.0</v>
      </c>
      <c r="F778" s="371">
        <v>775.0</v>
      </c>
      <c r="G778" s="372">
        <f t="shared" si="1"/>
        <v>0</v>
      </c>
    </row>
    <row r="779" ht="15.75" customHeight="1">
      <c r="B779" s="370">
        <f t="shared" si="2"/>
        <v>0.08981481481</v>
      </c>
      <c r="C779" s="56">
        <f t="shared" si="3"/>
        <v>7760</v>
      </c>
      <c r="D779" s="56">
        <v>0.0</v>
      </c>
      <c r="F779" s="371">
        <v>776.0</v>
      </c>
      <c r="G779" s="372">
        <f t="shared" si="1"/>
        <v>0</v>
      </c>
    </row>
    <row r="780" ht="15.75" customHeight="1">
      <c r="B780" s="370">
        <f t="shared" si="2"/>
        <v>0.08993055556</v>
      </c>
      <c r="C780" s="56">
        <f t="shared" si="3"/>
        <v>7770</v>
      </c>
      <c r="D780" s="56">
        <v>0.0</v>
      </c>
      <c r="F780" s="371">
        <v>777.0</v>
      </c>
      <c r="G780" s="372">
        <f t="shared" si="1"/>
        <v>0</v>
      </c>
    </row>
    <row r="781" ht="15.75" customHeight="1">
      <c r="B781" s="370">
        <f t="shared" si="2"/>
        <v>0.0900462963</v>
      </c>
      <c r="C781" s="56">
        <f t="shared" si="3"/>
        <v>7780</v>
      </c>
      <c r="D781" s="56">
        <v>0.0</v>
      </c>
      <c r="F781" s="371">
        <v>778.0</v>
      </c>
      <c r="G781" s="372">
        <f t="shared" si="1"/>
        <v>0</v>
      </c>
    </row>
    <row r="782" ht="15.75" customHeight="1">
      <c r="B782" s="370">
        <f t="shared" si="2"/>
        <v>0.09016203704</v>
      </c>
      <c r="C782" s="56">
        <f t="shared" si="3"/>
        <v>7790</v>
      </c>
      <c r="D782" s="56">
        <v>0.0</v>
      </c>
      <c r="F782" s="371">
        <v>779.0</v>
      </c>
      <c r="G782" s="372">
        <f t="shared" si="1"/>
        <v>0</v>
      </c>
    </row>
    <row r="783" ht="15.75" customHeight="1">
      <c r="B783" s="370">
        <f t="shared" si="2"/>
        <v>0.09027777778</v>
      </c>
      <c r="C783" s="56">
        <f t="shared" si="3"/>
        <v>7800</v>
      </c>
      <c r="D783" s="56">
        <v>0.0</v>
      </c>
      <c r="F783" s="371">
        <v>780.0</v>
      </c>
      <c r="G783" s="372">
        <f t="shared" si="1"/>
        <v>0</v>
      </c>
    </row>
    <row r="784" ht="15.75" customHeight="1">
      <c r="B784" s="370">
        <f t="shared" si="2"/>
        <v>0.09039351852</v>
      </c>
      <c r="C784" s="56">
        <f t="shared" si="3"/>
        <v>7810</v>
      </c>
      <c r="D784" s="56">
        <v>0.0</v>
      </c>
      <c r="F784" s="371">
        <v>781.0</v>
      </c>
      <c r="G784" s="372">
        <f t="shared" si="1"/>
        <v>0</v>
      </c>
    </row>
    <row r="785" ht="15.75" customHeight="1">
      <c r="B785" s="370">
        <f t="shared" si="2"/>
        <v>0.09050925926</v>
      </c>
      <c r="C785" s="56">
        <f t="shared" si="3"/>
        <v>7820</v>
      </c>
      <c r="D785" s="56">
        <v>0.0</v>
      </c>
      <c r="F785" s="371">
        <v>782.0</v>
      </c>
      <c r="G785" s="372">
        <f t="shared" si="1"/>
        <v>0</v>
      </c>
    </row>
    <row r="786" ht="15.75" customHeight="1">
      <c r="B786" s="370">
        <f t="shared" si="2"/>
        <v>0.090625</v>
      </c>
      <c r="C786" s="56">
        <f t="shared" si="3"/>
        <v>7830</v>
      </c>
      <c r="D786" s="56">
        <v>0.0</v>
      </c>
      <c r="F786" s="371">
        <v>783.0</v>
      </c>
      <c r="G786" s="372">
        <f t="shared" si="1"/>
        <v>0</v>
      </c>
    </row>
    <row r="787" ht="15.75" customHeight="1">
      <c r="B787" s="370">
        <f t="shared" si="2"/>
        <v>0.09074074074</v>
      </c>
      <c r="C787" s="56">
        <f t="shared" si="3"/>
        <v>7840</v>
      </c>
      <c r="D787" s="56">
        <v>0.0</v>
      </c>
      <c r="F787" s="371">
        <v>784.0</v>
      </c>
      <c r="G787" s="372">
        <f t="shared" si="1"/>
        <v>0</v>
      </c>
    </row>
    <row r="788" ht="15.75" customHeight="1">
      <c r="B788" s="370">
        <f t="shared" si="2"/>
        <v>0.09085648148</v>
      </c>
      <c r="C788" s="56">
        <f t="shared" si="3"/>
        <v>7850</v>
      </c>
      <c r="D788" s="56">
        <v>0.0</v>
      </c>
      <c r="F788" s="371">
        <v>785.0</v>
      </c>
      <c r="G788" s="372">
        <f t="shared" si="1"/>
        <v>0</v>
      </c>
    </row>
    <row r="789" ht="15.75" customHeight="1">
      <c r="B789" s="370">
        <f t="shared" si="2"/>
        <v>0.09097222222</v>
      </c>
      <c r="C789" s="56">
        <f t="shared" si="3"/>
        <v>7860</v>
      </c>
      <c r="D789" s="56">
        <v>0.0</v>
      </c>
      <c r="F789" s="371">
        <v>786.0</v>
      </c>
      <c r="G789" s="372">
        <f t="shared" si="1"/>
        <v>0</v>
      </c>
    </row>
    <row r="790" ht="15.75" customHeight="1">
      <c r="B790" s="370">
        <f t="shared" si="2"/>
        <v>0.09108796296</v>
      </c>
      <c r="C790" s="56">
        <f t="shared" si="3"/>
        <v>7870</v>
      </c>
      <c r="D790" s="56">
        <v>0.0</v>
      </c>
      <c r="F790" s="371">
        <v>787.0</v>
      </c>
      <c r="G790" s="372">
        <f t="shared" si="1"/>
        <v>0</v>
      </c>
    </row>
    <row r="791" ht="15.75" customHeight="1">
      <c r="B791" s="370">
        <f t="shared" si="2"/>
        <v>0.0912037037</v>
      </c>
      <c r="C791" s="56">
        <f t="shared" si="3"/>
        <v>7880</v>
      </c>
      <c r="D791" s="56">
        <v>0.0</v>
      </c>
      <c r="F791" s="371">
        <v>788.0</v>
      </c>
      <c r="G791" s="372">
        <f t="shared" si="1"/>
        <v>0</v>
      </c>
    </row>
    <row r="792" ht="15.75" customHeight="1">
      <c r="B792" s="370">
        <f t="shared" si="2"/>
        <v>0.09131944444</v>
      </c>
      <c r="C792" s="56">
        <f t="shared" si="3"/>
        <v>7890</v>
      </c>
      <c r="D792" s="56">
        <v>0.0</v>
      </c>
      <c r="F792" s="371">
        <v>789.0</v>
      </c>
      <c r="G792" s="372">
        <f t="shared" si="1"/>
        <v>0</v>
      </c>
    </row>
    <row r="793" ht="15.75" customHeight="1">
      <c r="B793" s="370">
        <f t="shared" si="2"/>
        <v>0.09143518519</v>
      </c>
      <c r="C793" s="56">
        <f t="shared" si="3"/>
        <v>7900</v>
      </c>
      <c r="D793" s="56">
        <v>0.0</v>
      </c>
      <c r="F793" s="371">
        <v>790.0</v>
      </c>
      <c r="G793" s="372">
        <f t="shared" si="1"/>
        <v>0</v>
      </c>
    </row>
    <row r="794" ht="15.75" customHeight="1">
      <c r="B794" s="370">
        <f t="shared" si="2"/>
        <v>0.09155092593</v>
      </c>
      <c r="C794" s="56">
        <f t="shared" si="3"/>
        <v>7910</v>
      </c>
      <c r="D794" s="56">
        <v>0.0</v>
      </c>
      <c r="F794" s="371">
        <v>791.0</v>
      </c>
      <c r="G794" s="372">
        <f t="shared" si="1"/>
        <v>0</v>
      </c>
    </row>
    <row r="795" ht="15.75" customHeight="1">
      <c r="B795" s="370">
        <f t="shared" si="2"/>
        <v>0.09166666667</v>
      </c>
      <c r="C795" s="56">
        <f t="shared" si="3"/>
        <v>7920</v>
      </c>
      <c r="D795" s="56">
        <v>0.0</v>
      </c>
      <c r="F795" s="371">
        <v>792.0</v>
      </c>
      <c r="G795" s="372">
        <f t="shared" si="1"/>
        <v>0</v>
      </c>
    </row>
    <row r="796" ht="15.75" customHeight="1">
      <c r="B796" s="370">
        <f t="shared" si="2"/>
        <v>0.09178240741</v>
      </c>
      <c r="C796" s="56">
        <f t="shared" si="3"/>
        <v>7930</v>
      </c>
      <c r="D796" s="56">
        <v>0.0</v>
      </c>
      <c r="F796" s="371">
        <v>793.0</v>
      </c>
      <c r="G796" s="372">
        <f t="shared" si="1"/>
        <v>0</v>
      </c>
    </row>
    <row r="797" ht="15.75" customHeight="1">
      <c r="B797" s="370">
        <f t="shared" si="2"/>
        <v>0.09189814815</v>
      </c>
      <c r="C797" s="56">
        <f t="shared" si="3"/>
        <v>7940</v>
      </c>
      <c r="D797" s="56">
        <v>0.0</v>
      </c>
      <c r="F797" s="371">
        <v>794.0</v>
      </c>
      <c r="G797" s="372">
        <f t="shared" si="1"/>
        <v>0</v>
      </c>
    </row>
    <row r="798" ht="15.75" customHeight="1">
      <c r="B798" s="370">
        <f t="shared" si="2"/>
        <v>0.09201388889</v>
      </c>
      <c r="C798" s="56">
        <f t="shared" si="3"/>
        <v>7950</v>
      </c>
      <c r="D798" s="56">
        <v>0.0</v>
      </c>
      <c r="F798" s="371">
        <v>795.0</v>
      </c>
      <c r="G798" s="372">
        <f t="shared" si="1"/>
        <v>0</v>
      </c>
    </row>
    <row r="799" ht="15.75" customHeight="1">
      <c r="B799" s="370">
        <f t="shared" si="2"/>
        <v>0.09212962963</v>
      </c>
      <c r="C799" s="56">
        <f t="shared" si="3"/>
        <v>7960</v>
      </c>
      <c r="D799" s="56">
        <v>0.0</v>
      </c>
      <c r="F799" s="371">
        <v>796.0</v>
      </c>
      <c r="G799" s="372">
        <f t="shared" si="1"/>
        <v>0</v>
      </c>
    </row>
    <row r="800" ht="15.75" customHeight="1">
      <c r="B800" s="370">
        <f t="shared" si="2"/>
        <v>0.09224537037</v>
      </c>
      <c r="C800" s="56">
        <f t="shared" si="3"/>
        <v>7970</v>
      </c>
      <c r="D800" s="56">
        <v>0.0</v>
      </c>
      <c r="F800" s="371">
        <v>797.0</v>
      </c>
      <c r="G800" s="372">
        <f t="shared" si="1"/>
        <v>0</v>
      </c>
    </row>
    <row r="801" ht="15.75" customHeight="1">
      <c r="B801" s="370">
        <f t="shared" si="2"/>
        <v>0.09236111111</v>
      </c>
      <c r="C801" s="56">
        <f t="shared" si="3"/>
        <v>7980</v>
      </c>
      <c r="D801" s="56">
        <v>0.0</v>
      </c>
      <c r="F801" s="371">
        <v>798.0</v>
      </c>
      <c r="G801" s="372">
        <f t="shared" si="1"/>
        <v>0</v>
      </c>
    </row>
    <row r="802" ht="15.75" customHeight="1">
      <c r="B802" s="370">
        <f t="shared" si="2"/>
        <v>0.09247685185</v>
      </c>
      <c r="C802" s="56">
        <f t="shared" si="3"/>
        <v>7990</v>
      </c>
      <c r="D802" s="56">
        <v>0.0</v>
      </c>
      <c r="F802" s="371">
        <v>799.0</v>
      </c>
      <c r="G802" s="372">
        <f t="shared" si="1"/>
        <v>0</v>
      </c>
    </row>
    <row r="803" ht="15.75" customHeight="1">
      <c r="B803" s="370">
        <f t="shared" si="2"/>
        <v>0.09259259259</v>
      </c>
      <c r="C803" s="56">
        <f t="shared" si="3"/>
        <v>8000</v>
      </c>
      <c r="D803" s="56">
        <v>0.0</v>
      </c>
      <c r="F803" s="371">
        <v>800.0</v>
      </c>
      <c r="G803" s="372">
        <f t="shared" si="1"/>
        <v>0</v>
      </c>
    </row>
    <row r="804" ht="15.75" customHeight="1">
      <c r="B804" s="370">
        <f t="shared" si="2"/>
        <v>0.09270833333</v>
      </c>
      <c r="C804" s="56">
        <f t="shared" si="3"/>
        <v>8010</v>
      </c>
      <c r="D804" s="56">
        <v>0.0</v>
      </c>
      <c r="F804" s="371">
        <v>801.0</v>
      </c>
      <c r="G804" s="372">
        <f t="shared" si="1"/>
        <v>0</v>
      </c>
    </row>
    <row r="805" ht="15.75" customHeight="1">
      <c r="B805" s="370">
        <f t="shared" si="2"/>
        <v>0.09282407407</v>
      </c>
      <c r="C805" s="56">
        <f t="shared" si="3"/>
        <v>8020</v>
      </c>
      <c r="D805" s="56">
        <v>0.0</v>
      </c>
      <c r="F805" s="371">
        <v>802.0</v>
      </c>
      <c r="G805" s="372">
        <f t="shared" si="1"/>
        <v>0</v>
      </c>
    </row>
    <row r="806" ht="15.75" customHeight="1">
      <c r="B806" s="370">
        <f t="shared" si="2"/>
        <v>0.09293981481</v>
      </c>
      <c r="C806" s="56">
        <f t="shared" si="3"/>
        <v>8030</v>
      </c>
      <c r="D806" s="56">
        <v>0.0</v>
      </c>
      <c r="F806" s="371">
        <v>803.0</v>
      </c>
      <c r="G806" s="372">
        <f t="shared" si="1"/>
        <v>0</v>
      </c>
    </row>
    <row r="807" ht="15.75" customHeight="1">
      <c r="B807" s="370">
        <f t="shared" si="2"/>
        <v>0.09305555556</v>
      </c>
      <c r="C807" s="56">
        <f t="shared" si="3"/>
        <v>8040</v>
      </c>
      <c r="D807" s="56">
        <v>0.0</v>
      </c>
      <c r="F807" s="371">
        <v>804.0</v>
      </c>
      <c r="G807" s="372">
        <f t="shared" si="1"/>
        <v>0</v>
      </c>
    </row>
    <row r="808" ht="15.75" customHeight="1">
      <c r="B808" s="370">
        <f t="shared" si="2"/>
        <v>0.0931712963</v>
      </c>
      <c r="C808" s="56">
        <f t="shared" si="3"/>
        <v>8050</v>
      </c>
      <c r="D808" s="56">
        <v>0.0</v>
      </c>
      <c r="F808" s="371">
        <v>805.0</v>
      </c>
      <c r="G808" s="372">
        <f t="shared" si="1"/>
        <v>0</v>
      </c>
    </row>
    <row r="809" ht="15.75" customHeight="1">
      <c r="B809" s="370">
        <f t="shared" si="2"/>
        <v>0.09328703704</v>
      </c>
      <c r="C809" s="56">
        <f t="shared" si="3"/>
        <v>8060</v>
      </c>
      <c r="D809" s="56">
        <v>0.0</v>
      </c>
      <c r="F809" s="371">
        <v>806.0</v>
      </c>
      <c r="G809" s="372">
        <f t="shared" si="1"/>
        <v>0</v>
      </c>
    </row>
    <row r="810" ht="15.75" customHeight="1">
      <c r="B810" s="370">
        <f t="shared" si="2"/>
        <v>0.09340277778</v>
      </c>
      <c r="C810" s="56">
        <f t="shared" si="3"/>
        <v>8070</v>
      </c>
      <c r="D810" s="56">
        <v>0.0</v>
      </c>
      <c r="F810" s="371">
        <v>807.0</v>
      </c>
      <c r="G810" s="372">
        <f t="shared" si="1"/>
        <v>0</v>
      </c>
    </row>
    <row r="811" ht="15.75" customHeight="1">
      <c r="B811" s="370">
        <f t="shared" si="2"/>
        <v>0.09351851852</v>
      </c>
      <c r="C811" s="56">
        <f t="shared" si="3"/>
        <v>8080</v>
      </c>
      <c r="D811" s="56">
        <v>0.0</v>
      </c>
      <c r="F811" s="371">
        <v>808.0</v>
      </c>
      <c r="G811" s="372">
        <f t="shared" si="1"/>
        <v>2.562</v>
      </c>
    </row>
    <row r="812" ht="15.75" customHeight="1">
      <c r="B812" s="370">
        <f t="shared" si="2"/>
        <v>0.09363425926</v>
      </c>
      <c r="C812" s="56">
        <f t="shared" si="3"/>
        <v>8090</v>
      </c>
      <c r="D812" s="56">
        <v>0.0</v>
      </c>
      <c r="F812" s="371">
        <v>809.0</v>
      </c>
      <c r="G812" s="372">
        <f t="shared" si="1"/>
        <v>2.659</v>
      </c>
    </row>
    <row r="813" ht="15.75" customHeight="1">
      <c r="B813" s="370">
        <f t="shared" si="2"/>
        <v>0.09375</v>
      </c>
      <c r="C813" s="56">
        <f t="shared" si="3"/>
        <v>8100</v>
      </c>
      <c r="D813" s="56">
        <v>0.0</v>
      </c>
      <c r="F813" s="371">
        <v>810.0</v>
      </c>
      <c r="G813" s="372">
        <f t="shared" si="1"/>
        <v>2.8855</v>
      </c>
    </row>
    <row r="814" ht="15.75" customHeight="1">
      <c r="B814" s="370">
        <f t="shared" si="2"/>
        <v>0.09386574074</v>
      </c>
      <c r="C814" s="56">
        <f t="shared" si="3"/>
        <v>8110</v>
      </c>
      <c r="D814" s="56">
        <v>0.0</v>
      </c>
      <c r="F814" s="371">
        <v>811.0</v>
      </c>
      <c r="G814" s="372">
        <f t="shared" si="1"/>
        <v>2.903833333</v>
      </c>
    </row>
    <row r="815" ht="15.75" customHeight="1">
      <c r="B815" s="370">
        <f t="shared" si="2"/>
        <v>0.09398148148</v>
      </c>
      <c r="C815" s="56">
        <f t="shared" si="3"/>
        <v>8120</v>
      </c>
      <c r="D815" s="56">
        <v>0.0</v>
      </c>
      <c r="F815" s="371">
        <v>812.0</v>
      </c>
      <c r="G815" s="372">
        <f t="shared" si="1"/>
        <v>2.6835</v>
      </c>
    </row>
    <row r="816" ht="15.75" customHeight="1">
      <c r="B816" s="370">
        <f t="shared" si="2"/>
        <v>0.09409722222</v>
      </c>
      <c r="C816" s="56">
        <f t="shared" si="3"/>
        <v>8130</v>
      </c>
      <c r="D816" s="56">
        <v>0.0</v>
      </c>
      <c r="F816" s="371">
        <v>813.0</v>
      </c>
      <c r="G816" s="372">
        <f t="shared" si="1"/>
        <v>3.063166667</v>
      </c>
    </row>
    <row r="817" ht="15.75" customHeight="1">
      <c r="B817" s="370">
        <f t="shared" si="2"/>
        <v>0.09421296296</v>
      </c>
      <c r="C817" s="56">
        <f t="shared" si="3"/>
        <v>8140</v>
      </c>
      <c r="D817" s="56">
        <v>0.0</v>
      </c>
      <c r="F817" s="371">
        <v>814.0</v>
      </c>
      <c r="G817" s="372">
        <f t="shared" si="1"/>
        <v>2.6935</v>
      </c>
    </row>
    <row r="818" ht="15.75" customHeight="1">
      <c r="B818" s="370">
        <f t="shared" si="2"/>
        <v>0.0943287037</v>
      </c>
      <c r="C818" s="56">
        <f t="shared" si="3"/>
        <v>8150</v>
      </c>
      <c r="D818" s="56">
        <v>0.0</v>
      </c>
      <c r="F818" s="371">
        <v>815.0</v>
      </c>
      <c r="G818" s="372">
        <f t="shared" si="1"/>
        <v>3.023166667</v>
      </c>
    </row>
    <row r="819" ht="15.75" customHeight="1">
      <c r="B819" s="370">
        <f t="shared" si="2"/>
        <v>0.09444444444</v>
      </c>
      <c r="C819" s="56">
        <f t="shared" si="3"/>
        <v>8160</v>
      </c>
      <c r="D819" s="56">
        <v>0.0</v>
      </c>
      <c r="F819" s="371">
        <v>816.0</v>
      </c>
      <c r="G819" s="372">
        <f t="shared" si="1"/>
        <v>2.9615</v>
      </c>
    </row>
    <row r="820" ht="15.75" customHeight="1">
      <c r="B820" s="370">
        <f t="shared" si="2"/>
        <v>0.09456018519</v>
      </c>
      <c r="C820" s="56">
        <f t="shared" si="3"/>
        <v>8170</v>
      </c>
      <c r="D820" s="56">
        <v>0.0</v>
      </c>
      <c r="F820" s="371">
        <v>817.0</v>
      </c>
      <c r="G820" s="372">
        <f t="shared" si="1"/>
        <v>2.730166667</v>
      </c>
    </row>
    <row r="821" ht="15.75" customHeight="1">
      <c r="B821" s="370">
        <f t="shared" si="2"/>
        <v>0.09467592593</v>
      </c>
      <c r="C821" s="56">
        <f t="shared" si="3"/>
        <v>8180</v>
      </c>
      <c r="D821" s="56">
        <v>0.0</v>
      </c>
      <c r="F821" s="371">
        <v>818.0</v>
      </c>
      <c r="G821" s="372">
        <f t="shared" si="1"/>
        <v>3.105166667</v>
      </c>
    </row>
    <row r="822" ht="15.75" customHeight="1">
      <c r="B822" s="370">
        <f t="shared" si="2"/>
        <v>0.09479166667</v>
      </c>
      <c r="C822" s="56">
        <f t="shared" si="3"/>
        <v>8190</v>
      </c>
      <c r="D822" s="56">
        <v>0.0</v>
      </c>
      <c r="F822" s="371">
        <v>819.0</v>
      </c>
      <c r="G822" s="372">
        <f t="shared" si="1"/>
        <v>2.634333333</v>
      </c>
    </row>
    <row r="823" ht="15.75" customHeight="1">
      <c r="B823" s="370">
        <f t="shared" si="2"/>
        <v>0.09490740741</v>
      </c>
      <c r="C823" s="56">
        <f t="shared" si="3"/>
        <v>8200</v>
      </c>
      <c r="D823" s="56">
        <v>0.0</v>
      </c>
      <c r="F823" s="371">
        <v>820.0</v>
      </c>
      <c r="G823" s="372">
        <f t="shared" si="1"/>
        <v>2.943</v>
      </c>
    </row>
    <row r="824" ht="15.75" customHeight="1">
      <c r="B824" s="370">
        <f t="shared" si="2"/>
        <v>0.09502314815</v>
      </c>
      <c r="C824" s="56">
        <f t="shared" si="3"/>
        <v>8210</v>
      </c>
      <c r="D824" s="56">
        <v>0.0</v>
      </c>
      <c r="F824" s="371">
        <v>821.0</v>
      </c>
      <c r="G824" s="372">
        <f t="shared" si="1"/>
        <v>2.877</v>
      </c>
    </row>
    <row r="825" ht="15.75" customHeight="1">
      <c r="B825" s="370">
        <f t="shared" si="2"/>
        <v>0.09513888889</v>
      </c>
      <c r="C825" s="56">
        <f t="shared" si="3"/>
        <v>8220</v>
      </c>
      <c r="D825" s="56">
        <v>0.0</v>
      </c>
      <c r="F825" s="371">
        <v>822.0</v>
      </c>
      <c r="G825" s="372">
        <f t="shared" si="1"/>
        <v>2.6795</v>
      </c>
    </row>
    <row r="826" ht="15.75" customHeight="1">
      <c r="B826" s="370">
        <f t="shared" si="2"/>
        <v>0.09525462963</v>
      </c>
      <c r="C826" s="56">
        <f t="shared" si="3"/>
        <v>8230</v>
      </c>
      <c r="D826" s="56">
        <v>0.0</v>
      </c>
      <c r="F826" s="371">
        <v>823.0</v>
      </c>
      <c r="G826" s="372">
        <f t="shared" si="1"/>
        <v>3.220166667</v>
      </c>
    </row>
    <row r="827" ht="15.75" customHeight="1">
      <c r="B827" s="370">
        <f t="shared" si="2"/>
        <v>0.09537037037</v>
      </c>
      <c r="C827" s="56">
        <f t="shared" si="3"/>
        <v>8240</v>
      </c>
      <c r="D827" s="56">
        <v>0.0</v>
      </c>
      <c r="F827" s="371">
        <v>824.0</v>
      </c>
      <c r="G827" s="372">
        <f t="shared" si="1"/>
        <v>2.682333333</v>
      </c>
    </row>
    <row r="828" ht="15.75" customHeight="1">
      <c r="B828" s="370">
        <f t="shared" si="2"/>
        <v>0.09548611111</v>
      </c>
      <c r="C828" s="56">
        <f t="shared" si="3"/>
        <v>8250</v>
      </c>
      <c r="D828" s="56">
        <v>0.0</v>
      </c>
      <c r="F828" s="371">
        <v>825.0</v>
      </c>
      <c r="G828" s="372">
        <f t="shared" si="1"/>
        <v>2.972333333</v>
      </c>
    </row>
    <row r="829" ht="15.75" customHeight="1">
      <c r="B829" s="370">
        <f t="shared" si="2"/>
        <v>0.09560185185</v>
      </c>
      <c r="C829" s="56">
        <f t="shared" si="3"/>
        <v>8260</v>
      </c>
      <c r="D829" s="56">
        <v>0.0</v>
      </c>
      <c r="F829" s="371">
        <v>826.0</v>
      </c>
      <c r="G829" s="372">
        <f t="shared" si="1"/>
        <v>2.917</v>
      </c>
    </row>
    <row r="830" ht="15.75" customHeight="1">
      <c r="B830" s="370">
        <f t="shared" si="2"/>
        <v>0.09571759259</v>
      </c>
      <c r="C830" s="56">
        <f t="shared" si="3"/>
        <v>8270</v>
      </c>
      <c r="D830" s="56">
        <v>0.0</v>
      </c>
      <c r="F830" s="371">
        <v>827.0</v>
      </c>
      <c r="G830" s="372">
        <f t="shared" si="1"/>
        <v>2.715333333</v>
      </c>
    </row>
    <row r="831" ht="15.75" customHeight="1">
      <c r="B831" s="370">
        <f t="shared" si="2"/>
        <v>0.09583333333</v>
      </c>
      <c r="C831" s="56">
        <f t="shared" si="3"/>
        <v>8280</v>
      </c>
      <c r="D831" s="56">
        <v>0.0</v>
      </c>
      <c r="F831" s="371">
        <v>828.0</v>
      </c>
      <c r="G831" s="372">
        <f t="shared" si="1"/>
        <v>2.968833333</v>
      </c>
    </row>
    <row r="832" ht="15.75" customHeight="1">
      <c r="B832" s="370">
        <f t="shared" si="2"/>
        <v>0.09594907407</v>
      </c>
      <c r="C832" s="56">
        <f t="shared" si="3"/>
        <v>8290</v>
      </c>
      <c r="D832" s="56">
        <v>0.0</v>
      </c>
      <c r="F832" s="371">
        <v>829.0</v>
      </c>
      <c r="G832" s="372">
        <f t="shared" si="1"/>
        <v>2.681166667</v>
      </c>
    </row>
    <row r="833" ht="15.75" customHeight="1">
      <c r="B833" s="370">
        <f t="shared" si="2"/>
        <v>0.09606481481</v>
      </c>
      <c r="C833" s="56">
        <f t="shared" si="3"/>
        <v>8300</v>
      </c>
      <c r="D833" s="56">
        <v>0.0</v>
      </c>
      <c r="F833" s="371">
        <v>830.0</v>
      </c>
      <c r="G833" s="372">
        <f t="shared" si="1"/>
        <v>2.982166667</v>
      </c>
    </row>
    <row r="834" ht="15.75" customHeight="1">
      <c r="B834" s="370">
        <f t="shared" si="2"/>
        <v>0.09618055556</v>
      </c>
      <c r="C834" s="56">
        <f t="shared" si="3"/>
        <v>8310</v>
      </c>
      <c r="D834" s="56">
        <v>0.0</v>
      </c>
      <c r="F834" s="371">
        <v>831.0</v>
      </c>
      <c r="G834" s="372">
        <f t="shared" si="1"/>
        <v>2.910833333</v>
      </c>
    </row>
    <row r="835" ht="15.75" customHeight="1">
      <c r="B835" s="370">
        <f t="shared" si="2"/>
        <v>0.0962962963</v>
      </c>
      <c r="C835" s="56">
        <f t="shared" si="3"/>
        <v>8320</v>
      </c>
      <c r="D835" s="56">
        <v>0.0</v>
      </c>
      <c r="F835" s="371">
        <v>832.0</v>
      </c>
      <c r="G835" s="372">
        <f t="shared" si="1"/>
        <v>2.7065</v>
      </c>
    </row>
    <row r="836" ht="15.75" customHeight="1">
      <c r="B836" s="370">
        <f t="shared" si="2"/>
        <v>0.09641203704</v>
      </c>
      <c r="C836" s="56">
        <f t="shared" si="3"/>
        <v>8330</v>
      </c>
      <c r="D836" s="56">
        <v>0.0</v>
      </c>
      <c r="F836" s="371">
        <v>833.0</v>
      </c>
      <c r="G836" s="372">
        <f t="shared" si="1"/>
        <v>3.218166667</v>
      </c>
    </row>
    <row r="837" ht="15.75" customHeight="1">
      <c r="B837" s="370">
        <f t="shared" si="2"/>
        <v>0.09652777778</v>
      </c>
      <c r="C837" s="56">
        <f t="shared" si="3"/>
        <v>8340</v>
      </c>
      <c r="D837" s="56">
        <v>0.0</v>
      </c>
      <c r="F837" s="371">
        <v>834.0</v>
      </c>
      <c r="G837" s="372">
        <f t="shared" si="1"/>
        <v>2.655833333</v>
      </c>
    </row>
    <row r="838" ht="15.75" customHeight="1">
      <c r="B838" s="370">
        <f t="shared" si="2"/>
        <v>0.09664351852</v>
      </c>
      <c r="C838" s="56">
        <f t="shared" si="3"/>
        <v>8350</v>
      </c>
      <c r="D838" s="56">
        <v>0.0</v>
      </c>
      <c r="F838" s="371">
        <v>835.0</v>
      </c>
      <c r="G838" s="372">
        <f t="shared" si="1"/>
        <v>2.896833333</v>
      </c>
    </row>
    <row r="839" ht="15.75" customHeight="1">
      <c r="B839" s="370">
        <f t="shared" si="2"/>
        <v>0.09675925926</v>
      </c>
      <c r="C839" s="56">
        <f t="shared" si="3"/>
        <v>8360</v>
      </c>
      <c r="D839" s="56">
        <v>0.0</v>
      </c>
      <c r="F839" s="371">
        <v>836.0</v>
      </c>
      <c r="G839" s="372">
        <f t="shared" si="1"/>
        <v>2.9</v>
      </c>
    </row>
    <row r="840" ht="15.75" customHeight="1">
      <c r="B840" s="370">
        <f t="shared" si="2"/>
        <v>0.096875</v>
      </c>
      <c r="C840" s="56">
        <f t="shared" si="3"/>
        <v>8370</v>
      </c>
      <c r="D840" s="56">
        <v>0.0</v>
      </c>
      <c r="F840" s="371">
        <v>837.0</v>
      </c>
      <c r="G840" s="372">
        <f t="shared" si="1"/>
        <v>2.676666667</v>
      </c>
    </row>
    <row r="841" ht="15.75" customHeight="1">
      <c r="B841" s="370">
        <f t="shared" si="2"/>
        <v>0.09699074074</v>
      </c>
      <c r="C841" s="56">
        <f t="shared" si="3"/>
        <v>8380</v>
      </c>
      <c r="D841" s="56">
        <v>0.0</v>
      </c>
      <c r="F841" s="371">
        <v>838.0</v>
      </c>
      <c r="G841" s="372">
        <f t="shared" si="1"/>
        <v>3.095166667</v>
      </c>
    </row>
    <row r="842" ht="15.75" customHeight="1">
      <c r="B842" s="370">
        <f t="shared" si="2"/>
        <v>0.09710648148</v>
      </c>
      <c r="C842" s="56">
        <f t="shared" si="3"/>
        <v>8390</v>
      </c>
      <c r="D842" s="56">
        <v>0.0</v>
      </c>
      <c r="F842" s="371">
        <v>839.0</v>
      </c>
      <c r="G842" s="372">
        <f t="shared" si="1"/>
        <v>2.7005</v>
      </c>
    </row>
    <row r="843" ht="15.75" customHeight="1">
      <c r="B843" s="370">
        <f t="shared" si="2"/>
        <v>0.09722222222</v>
      </c>
      <c r="C843" s="56">
        <f t="shared" si="3"/>
        <v>8400</v>
      </c>
      <c r="D843" s="56">
        <v>0.0</v>
      </c>
      <c r="F843" s="371">
        <v>840.0</v>
      </c>
      <c r="G843" s="372">
        <f t="shared" si="1"/>
        <v>3.037666667</v>
      </c>
    </row>
    <row r="844" ht="15.75" customHeight="1">
      <c r="B844" s="370">
        <f t="shared" si="2"/>
        <v>0.09733796296</v>
      </c>
      <c r="C844" s="56">
        <f t="shared" si="3"/>
        <v>8410</v>
      </c>
      <c r="D844" s="56">
        <v>0.0</v>
      </c>
      <c r="F844" s="371">
        <v>841.0</v>
      </c>
      <c r="G844" s="372">
        <f t="shared" si="1"/>
        <v>2.948</v>
      </c>
    </row>
    <row r="845" ht="15.75" customHeight="1">
      <c r="B845" s="370">
        <f t="shared" si="2"/>
        <v>0.0974537037</v>
      </c>
      <c r="C845" s="56">
        <f t="shared" si="3"/>
        <v>8420</v>
      </c>
      <c r="D845" s="56">
        <v>0.0</v>
      </c>
      <c r="F845" s="371">
        <v>842.0</v>
      </c>
      <c r="G845" s="372">
        <f t="shared" si="1"/>
        <v>2.722</v>
      </c>
    </row>
    <row r="846" ht="15.75" customHeight="1">
      <c r="B846" s="370">
        <f t="shared" si="2"/>
        <v>0.09756944444</v>
      </c>
      <c r="C846" s="56">
        <f t="shared" si="3"/>
        <v>8430</v>
      </c>
      <c r="D846" s="56">
        <v>0.0</v>
      </c>
      <c r="F846" s="371">
        <v>843.0</v>
      </c>
      <c r="G846" s="372">
        <f t="shared" si="1"/>
        <v>3.076333333</v>
      </c>
    </row>
    <row r="847" ht="15.75" customHeight="1">
      <c r="B847" s="370">
        <f t="shared" si="2"/>
        <v>0.09768518519</v>
      </c>
      <c r="C847" s="56">
        <f t="shared" si="3"/>
        <v>8440</v>
      </c>
      <c r="D847" s="56">
        <v>0.0</v>
      </c>
      <c r="F847" s="371">
        <v>844.0</v>
      </c>
      <c r="G847" s="372">
        <f t="shared" si="1"/>
        <v>2.643333333</v>
      </c>
    </row>
    <row r="848" ht="15.75" customHeight="1">
      <c r="B848" s="370">
        <f t="shared" si="2"/>
        <v>0.09780092593</v>
      </c>
      <c r="C848" s="56">
        <f t="shared" si="3"/>
        <v>8450</v>
      </c>
      <c r="D848" s="56">
        <v>0.0</v>
      </c>
      <c r="F848" s="371">
        <v>845.0</v>
      </c>
      <c r="G848" s="372">
        <f t="shared" si="1"/>
        <v>2.961333333</v>
      </c>
    </row>
    <row r="849" ht="15.75" customHeight="1">
      <c r="B849" s="370">
        <f t="shared" si="2"/>
        <v>0.09791666667</v>
      </c>
      <c r="C849" s="56">
        <f t="shared" si="3"/>
        <v>8460</v>
      </c>
      <c r="D849" s="56">
        <v>0.0</v>
      </c>
      <c r="F849" s="371">
        <v>846.0</v>
      </c>
      <c r="G849" s="372">
        <f t="shared" si="1"/>
        <v>2.870166667</v>
      </c>
    </row>
    <row r="850" ht="15.75" customHeight="1">
      <c r="B850" s="370">
        <f t="shared" si="2"/>
        <v>0.09803240741</v>
      </c>
      <c r="C850" s="56">
        <f t="shared" si="3"/>
        <v>8470</v>
      </c>
      <c r="D850" s="56">
        <v>0.0</v>
      </c>
      <c r="F850" s="371">
        <v>847.0</v>
      </c>
      <c r="G850" s="372">
        <f t="shared" si="1"/>
        <v>2.684166667</v>
      </c>
    </row>
    <row r="851" ht="15.75" customHeight="1">
      <c r="B851" s="370">
        <f t="shared" si="2"/>
        <v>0.09814814815</v>
      </c>
      <c r="C851" s="56">
        <f t="shared" si="3"/>
        <v>8480</v>
      </c>
      <c r="D851" s="56">
        <v>0.0</v>
      </c>
      <c r="F851" s="371">
        <v>848.0</v>
      </c>
      <c r="G851" s="372">
        <f t="shared" si="1"/>
        <v>3.2415</v>
      </c>
    </row>
    <row r="852" ht="15.75" customHeight="1">
      <c r="B852" s="370">
        <f t="shared" si="2"/>
        <v>0.09826388889</v>
      </c>
      <c r="C852" s="56">
        <f t="shared" si="3"/>
        <v>8490</v>
      </c>
      <c r="D852" s="56">
        <v>0.0</v>
      </c>
      <c r="F852" s="371">
        <v>849.0</v>
      </c>
      <c r="G852" s="372">
        <f t="shared" si="1"/>
        <v>2.677333333</v>
      </c>
    </row>
    <row r="853" ht="15.75" customHeight="1">
      <c r="B853" s="370">
        <f t="shared" si="2"/>
        <v>0.09837962963</v>
      </c>
      <c r="C853" s="56">
        <f t="shared" si="3"/>
        <v>8500</v>
      </c>
      <c r="D853" s="56">
        <v>0.0</v>
      </c>
      <c r="F853" s="371">
        <v>850.0</v>
      </c>
      <c r="G853" s="372">
        <f t="shared" si="1"/>
        <v>2.935</v>
      </c>
    </row>
    <row r="854" ht="15.75" customHeight="1">
      <c r="B854" s="370">
        <f t="shared" si="2"/>
        <v>0.09849537037</v>
      </c>
      <c r="C854" s="56">
        <f t="shared" si="3"/>
        <v>8510</v>
      </c>
      <c r="D854" s="56">
        <v>0.0</v>
      </c>
      <c r="F854" s="371">
        <v>851.0</v>
      </c>
      <c r="G854" s="372">
        <f t="shared" si="1"/>
        <v>2.916166667</v>
      </c>
    </row>
    <row r="855" ht="15.75" customHeight="1">
      <c r="B855" s="370">
        <f t="shared" si="2"/>
        <v>0.09861111111</v>
      </c>
      <c r="C855" s="56">
        <f t="shared" si="3"/>
        <v>8520</v>
      </c>
      <c r="D855" s="56">
        <v>0.0</v>
      </c>
      <c r="F855" s="371">
        <v>852.0</v>
      </c>
      <c r="G855" s="372">
        <f t="shared" si="1"/>
        <v>2.702333333</v>
      </c>
    </row>
    <row r="856" ht="15.75" customHeight="1">
      <c r="B856" s="370">
        <f t="shared" si="2"/>
        <v>0.09872685185</v>
      </c>
      <c r="C856" s="56">
        <f t="shared" si="3"/>
        <v>8530</v>
      </c>
      <c r="D856" s="56">
        <v>0.0</v>
      </c>
      <c r="F856" s="371">
        <v>853.0</v>
      </c>
      <c r="G856" s="372">
        <f t="shared" si="1"/>
        <v>2.978333333</v>
      </c>
    </row>
    <row r="857" ht="15.75" customHeight="1">
      <c r="B857" s="370">
        <f t="shared" si="2"/>
        <v>0.09884259259</v>
      </c>
      <c r="C857" s="56">
        <f t="shared" si="3"/>
        <v>8540</v>
      </c>
      <c r="D857" s="56">
        <v>0.0</v>
      </c>
      <c r="F857" s="371">
        <v>854.0</v>
      </c>
      <c r="G857" s="372">
        <f t="shared" si="1"/>
        <v>2.6895</v>
      </c>
    </row>
    <row r="858" ht="15.75" customHeight="1">
      <c r="B858" s="370">
        <f t="shared" si="2"/>
        <v>0.09895833333</v>
      </c>
      <c r="C858" s="56">
        <f t="shared" si="3"/>
        <v>8550</v>
      </c>
      <c r="D858" s="56">
        <v>0.0</v>
      </c>
      <c r="F858" s="371">
        <v>855.0</v>
      </c>
      <c r="G858" s="372">
        <f t="shared" si="1"/>
        <v>2.994833333</v>
      </c>
    </row>
    <row r="859" ht="15.75" customHeight="1">
      <c r="B859" s="370">
        <f t="shared" si="2"/>
        <v>0.09907407407</v>
      </c>
      <c r="C859" s="56">
        <f t="shared" si="3"/>
        <v>8560</v>
      </c>
      <c r="D859" s="56">
        <v>0.0</v>
      </c>
      <c r="F859" s="371">
        <v>856.0</v>
      </c>
      <c r="G859" s="372">
        <f t="shared" si="1"/>
        <v>2.941333333</v>
      </c>
    </row>
    <row r="860" ht="15.75" customHeight="1">
      <c r="B860" s="370">
        <f t="shared" si="2"/>
        <v>0.09918981481</v>
      </c>
      <c r="C860" s="56">
        <f t="shared" si="3"/>
        <v>8570</v>
      </c>
      <c r="D860" s="56">
        <v>0.0</v>
      </c>
      <c r="F860" s="371">
        <v>857.0</v>
      </c>
      <c r="G860" s="372">
        <f t="shared" si="1"/>
        <v>2.706333333</v>
      </c>
    </row>
    <row r="861" ht="15.75" customHeight="1">
      <c r="B861" s="370">
        <f t="shared" si="2"/>
        <v>0.09930555556</v>
      </c>
      <c r="C861" s="56">
        <f t="shared" si="3"/>
        <v>8580</v>
      </c>
      <c r="D861" s="56">
        <v>0.0</v>
      </c>
      <c r="F861" s="371">
        <v>858.0</v>
      </c>
      <c r="G861" s="372">
        <f t="shared" si="1"/>
        <v>3.186666667</v>
      </c>
    </row>
    <row r="862" ht="15.75" customHeight="1">
      <c r="B862" s="370">
        <f t="shared" si="2"/>
        <v>0.0994212963</v>
      </c>
      <c r="C862" s="56">
        <f t="shared" si="3"/>
        <v>8590</v>
      </c>
      <c r="D862" s="56">
        <v>0.0</v>
      </c>
      <c r="F862" s="371">
        <v>859.0</v>
      </c>
      <c r="G862" s="372">
        <f t="shared" si="1"/>
        <v>2.641333333</v>
      </c>
    </row>
    <row r="863" ht="15.75" customHeight="1">
      <c r="B863" s="370">
        <f t="shared" si="2"/>
        <v>0.09953703704</v>
      </c>
      <c r="C863" s="56">
        <f t="shared" si="3"/>
        <v>8600</v>
      </c>
      <c r="D863" s="56">
        <v>0.0</v>
      </c>
      <c r="F863" s="371">
        <v>860.0</v>
      </c>
      <c r="G863" s="372">
        <f t="shared" si="1"/>
        <v>2.914333333</v>
      </c>
    </row>
    <row r="864" ht="15.75" customHeight="1">
      <c r="B864" s="370">
        <f t="shared" si="2"/>
        <v>0.09965277778</v>
      </c>
      <c r="C864" s="56">
        <f t="shared" si="3"/>
        <v>8610</v>
      </c>
      <c r="D864" s="56">
        <v>0.0</v>
      </c>
      <c r="F864" s="371">
        <v>861.0</v>
      </c>
      <c r="G864" s="372">
        <f t="shared" si="1"/>
        <v>2.905333333</v>
      </c>
    </row>
    <row r="865" ht="15.75" customHeight="1">
      <c r="B865" s="370">
        <f t="shared" si="2"/>
        <v>0.09976851852</v>
      </c>
      <c r="C865" s="56">
        <f t="shared" si="3"/>
        <v>8620</v>
      </c>
      <c r="D865" s="56">
        <v>0.0</v>
      </c>
      <c r="F865" s="371">
        <v>862.0</v>
      </c>
      <c r="G865" s="372">
        <f t="shared" si="1"/>
        <v>2.672</v>
      </c>
    </row>
    <row r="866" ht="15.75" customHeight="1">
      <c r="B866" s="370">
        <f t="shared" si="2"/>
        <v>0.09988425926</v>
      </c>
      <c r="C866" s="56">
        <f t="shared" si="3"/>
        <v>8630</v>
      </c>
      <c r="D866" s="56">
        <v>0.0</v>
      </c>
      <c r="F866" s="371">
        <v>863.0</v>
      </c>
      <c r="G866" s="372">
        <f t="shared" si="1"/>
        <v>3.1195</v>
      </c>
    </row>
    <row r="867" ht="15.75" customHeight="1">
      <c r="B867" s="370">
        <f t="shared" si="2"/>
        <v>0.1</v>
      </c>
      <c r="C867" s="56">
        <f t="shared" si="3"/>
        <v>8640</v>
      </c>
      <c r="D867" s="56">
        <v>0.0</v>
      </c>
      <c r="F867" s="371">
        <v>864.0</v>
      </c>
      <c r="G867" s="372">
        <f t="shared" si="1"/>
        <v>2.697833333</v>
      </c>
    </row>
    <row r="868" ht="15.75" customHeight="1">
      <c r="B868" s="370">
        <f t="shared" si="2"/>
        <v>0.1001157407</v>
      </c>
      <c r="C868" s="56">
        <f t="shared" si="3"/>
        <v>8650</v>
      </c>
      <c r="D868" s="56">
        <v>0.0</v>
      </c>
      <c r="F868" s="371">
        <v>865.0</v>
      </c>
      <c r="G868" s="372">
        <f t="shared" si="1"/>
        <v>3.042833333</v>
      </c>
    </row>
    <row r="869" ht="15.75" customHeight="1">
      <c r="B869" s="370">
        <f t="shared" si="2"/>
        <v>0.1002314815</v>
      </c>
      <c r="C869" s="56">
        <f t="shared" si="3"/>
        <v>8660</v>
      </c>
      <c r="D869" s="56">
        <v>0.0</v>
      </c>
      <c r="F869" s="371">
        <v>866.0</v>
      </c>
      <c r="G869" s="372">
        <f t="shared" si="1"/>
        <v>1.053</v>
      </c>
    </row>
    <row r="870" ht="15.75" customHeight="1">
      <c r="B870" s="370">
        <f t="shared" si="2"/>
        <v>0.1003472222</v>
      </c>
      <c r="C870" s="56">
        <f t="shared" si="3"/>
        <v>8670</v>
      </c>
      <c r="D870" s="56">
        <v>0.0</v>
      </c>
      <c r="F870" s="371">
        <v>867.0</v>
      </c>
      <c r="G870" s="372">
        <f t="shared" si="1"/>
        <v>0</v>
      </c>
    </row>
    <row r="871" ht="15.75" customHeight="1">
      <c r="B871" s="370">
        <f t="shared" si="2"/>
        <v>0.100462963</v>
      </c>
      <c r="C871" s="56">
        <f t="shared" si="3"/>
        <v>8680</v>
      </c>
      <c r="D871" s="56">
        <v>0.0</v>
      </c>
      <c r="F871" s="371">
        <v>868.0</v>
      </c>
      <c r="G871" s="372">
        <f t="shared" si="1"/>
        <v>0</v>
      </c>
    </row>
    <row r="872" ht="15.75" customHeight="1">
      <c r="B872" s="370">
        <f t="shared" si="2"/>
        <v>0.1005787037</v>
      </c>
      <c r="C872" s="56">
        <f t="shared" si="3"/>
        <v>8690</v>
      </c>
      <c r="D872" s="56">
        <v>0.0</v>
      </c>
      <c r="F872" s="371">
        <v>869.0</v>
      </c>
      <c r="G872" s="372">
        <f t="shared" si="1"/>
        <v>0</v>
      </c>
    </row>
    <row r="873" ht="15.75" customHeight="1">
      <c r="B873" s="370">
        <f t="shared" si="2"/>
        <v>0.1006944444</v>
      </c>
      <c r="C873" s="56">
        <f t="shared" si="3"/>
        <v>8700</v>
      </c>
      <c r="D873" s="56">
        <v>0.0</v>
      </c>
      <c r="F873" s="371">
        <v>870.0</v>
      </c>
      <c r="G873" s="372">
        <f t="shared" si="1"/>
        <v>0</v>
      </c>
    </row>
    <row r="874" ht="15.75" customHeight="1">
      <c r="B874" s="370">
        <f t="shared" si="2"/>
        <v>0.1008101852</v>
      </c>
      <c r="C874" s="56">
        <f t="shared" si="3"/>
        <v>8710</v>
      </c>
      <c r="D874" s="56">
        <v>0.0</v>
      </c>
      <c r="F874" s="371">
        <v>871.0</v>
      </c>
      <c r="G874" s="372">
        <f t="shared" si="1"/>
        <v>0</v>
      </c>
    </row>
    <row r="875" ht="15.75" customHeight="1">
      <c r="B875" s="370">
        <f t="shared" si="2"/>
        <v>0.1009259259</v>
      </c>
      <c r="C875" s="56">
        <f t="shared" si="3"/>
        <v>8720</v>
      </c>
      <c r="D875" s="56">
        <v>0.0</v>
      </c>
      <c r="F875" s="371">
        <v>872.0</v>
      </c>
      <c r="G875" s="372">
        <f t="shared" si="1"/>
        <v>0</v>
      </c>
    </row>
    <row r="876" ht="15.75" customHeight="1">
      <c r="B876" s="370">
        <f t="shared" si="2"/>
        <v>0.1010416667</v>
      </c>
      <c r="C876" s="56">
        <f t="shared" si="3"/>
        <v>8730</v>
      </c>
      <c r="D876" s="56">
        <v>0.0</v>
      </c>
      <c r="F876" s="371">
        <v>873.0</v>
      </c>
      <c r="G876" s="372">
        <f t="shared" si="1"/>
        <v>0</v>
      </c>
    </row>
    <row r="877" ht="15.75" customHeight="1">
      <c r="B877" s="370">
        <f t="shared" si="2"/>
        <v>0.1011574074</v>
      </c>
      <c r="C877" s="56">
        <f t="shared" si="3"/>
        <v>8740</v>
      </c>
      <c r="D877" s="56">
        <v>0.0</v>
      </c>
      <c r="F877" s="371">
        <v>874.0</v>
      </c>
      <c r="G877" s="372">
        <f t="shared" si="1"/>
        <v>0</v>
      </c>
    </row>
    <row r="878" ht="15.75" customHeight="1">
      <c r="B878" s="370">
        <f t="shared" si="2"/>
        <v>0.1012731481</v>
      </c>
      <c r="C878" s="56">
        <f t="shared" si="3"/>
        <v>8750</v>
      </c>
      <c r="D878" s="56">
        <v>0.0</v>
      </c>
      <c r="F878" s="371">
        <v>875.0</v>
      </c>
      <c r="G878" s="372">
        <f t="shared" si="1"/>
        <v>0</v>
      </c>
    </row>
    <row r="879" ht="15.75" customHeight="1">
      <c r="B879" s="370">
        <f t="shared" si="2"/>
        <v>0.1013888889</v>
      </c>
      <c r="C879" s="56">
        <f t="shared" si="3"/>
        <v>8760</v>
      </c>
      <c r="D879" s="56">
        <v>0.0</v>
      </c>
      <c r="F879" s="371">
        <v>876.0</v>
      </c>
      <c r="G879" s="372">
        <f t="shared" si="1"/>
        <v>0</v>
      </c>
    </row>
    <row r="880" ht="15.75" customHeight="1">
      <c r="B880" s="370">
        <f t="shared" si="2"/>
        <v>0.1015046296</v>
      </c>
      <c r="C880" s="56">
        <f t="shared" si="3"/>
        <v>8770</v>
      </c>
      <c r="D880" s="56">
        <v>0.0</v>
      </c>
      <c r="F880" s="371">
        <v>877.0</v>
      </c>
      <c r="G880" s="372">
        <f t="shared" si="1"/>
        <v>0</v>
      </c>
    </row>
    <row r="881" ht="15.75" customHeight="1">
      <c r="B881" s="370">
        <f t="shared" si="2"/>
        <v>0.1016203704</v>
      </c>
      <c r="C881" s="56">
        <f t="shared" si="3"/>
        <v>8780</v>
      </c>
      <c r="D881" s="56">
        <v>0.0</v>
      </c>
      <c r="F881" s="371">
        <v>878.0</v>
      </c>
      <c r="G881" s="372">
        <f t="shared" si="1"/>
        <v>0</v>
      </c>
    </row>
    <row r="882" ht="15.75" customHeight="1">
      <c r="B882" s="370">
        <f t="shared" si="2"/>
        <v>0.1017361111</v>
      </c>
      <c r="C882" s="56">
        <f t="shared" si="3"/>
        <v>8790</v>
      </c>
      <c r="D882" s="56">
        <v>0.0</v>
      </c>
      <c r="F882" s="371">
        <v>879.0</v>
      </c>
      <c r="G882" s="372">
        <f t="shared" si="1"/>
        <v>0</v>
      </c>
    </row>
    <row r="883" ht="15.75" customHeight="1">
      <c r="B883" s="370">
        <f t="shared" si="2"/>
        <v>0.1018518519</v>
      </c>
      <c r="C883" s="56">
        <f t="shared" si="3"/>
        <v>8800</v>
      </c>
      <c r="D883" s="56">
        <v>0.0</v>
      </c>
      <c r="F883" s="371">
        <v>880.0</v>
      </c>
      <c r="G883" s="372">
        <f t="shared" si="1"/>
        <v>0</v>
      </c>
    </row>
    <row r="884" ht="15.75" customHeight="1">
      <c r="B884" s="370">
        <f t="shared" si="2"/>
        <v>0.1019675926</v>
      </c>
      <c r="C884" s="56">
        <f t="shared" si="3"/>
        <v>8810</v>
      </c>
      <c r="D884" s="56">
        <v>0.0</v>
      </c>
      <c r="F884" s="371">
        <v>881.0</v>
      </c>
      <c r="G884" s="372">
        <f t="shared" si="1"/>
        <v>0</v>
      </c>
    </row>
    <row r="885" ht="15.75" customHeight="1">
      <c r="B885" s="370">
        <f t="shared" si="2"/>
        <v>0.1020833333</v>
      </c>
      <c r="C885" s="56">
        <f t="shared" si="3"/>
        <v>8820</v>
      </c>
      <c r="D885" s="56">
        <v>0.0</v>
      </c>
      <c r="F885" s="371">
        <v>882.0</v>
      </c>
      <c r="G885" s="372">
        <f t="shared" si="1"/>
        <v>0</v>
      </c>
    </row>
    <row r="886" ht="15.75" customHeight="1">
      <c r="B886" s="370">
        <f t="shared" si="2"/>
        <v>0.1021990741</v>
      </c>
      <c r="C886" s="56">
        <f t="shared" si="3"/>
        <v>8830</v>
      </c>
      <c r="D886" s="56">
        <v>0.0</v>
      </c>
      <c r="F886" s="371">
        <v>883.0</v>
      </c>
      <c r="G886" s="372">
        <f t="shared" si="1"/>
        <v>0</v>
      </c>
    </row>
    <row r="887" ht="15.75" customHeight="1">
      <c r="B887" s="370">
        <f t="shared" si="2"/>
        <v>0.1023148148</v>
      </c>
      <c r="C887" s="56">
        <f t="shared" si="3"/>
        <v>8840</v>
      </c>
      <c r="D887" s="56">
        <v>0.0</v>
      </c>
      <c r="F887" s="371">
        <v>884.0</v>
      </c>
      <c r="G887" s="372">
        <f t="shared" si="1"/>
        <v>0</v>
      </c>
    </row>
    <row r="888" ht="15.75" customHeight="1">
      <c r="B888" s="370">
        <f t="shared" si="2"/>
        <v>0.1024305556</v>
      </c>
      <c r="C888" s="56">
        <f t="shared" si="3"/>
        <v>8850</v>
      </c>
      <c r="D888" s="56">
        <v>0.0</v>
      </c>
      <c r="F888" s="371">
        <v>885.0</v>
      </c>
      <c r="G888" s="372">
        <f t="shared" si="1"/>
        <v>0</v>
      </c>
    </row>
    <row r="889" ht="15.75" customHeight="1">
      <c r="B889" s="370">
        <f t="shared" si="2"/>
        <v>0.1025462963</v>
      </c>
      <c r="C889" s="56">
        <f t="shared" si="3"/>
        <v>8860</v>
      </c>
      <c r="D889" s="56">
        <v>0.0</v>
      </c>
      <c r="F889" s="371">
        <v>886.0</v>
      </c>
      <c r="G889" s="372">
        <f t="shared" si="1"/>
        <v>0</v>
      </c>
    </row>
    <row r="890" ht="15.75" customHeight="1">
      <c r="B890" s="370">
        <f t="shared" si="2"/>
        <v>0.102662037</v>
      </c>
      <c r="C890" s="56">
        <f t="shared" si="3"/>
        <v>8870</v>
      </c>
      <c r="D890" s="56">
        <v>0.0</v>
      </c>
      <c r="F890" s="371">
        <v>887.0</v>
      </c>
      <c r="G890" s="372">
        <f t="shared" si="1"/>
        <v>0</v>
      </c>
    </row>
    <row r="891" ht="15.75" customHeight="1">
      <c r="B891" s="370">
        <f t="shared" si="2"/>
        <v>0.1027777778</v>
      </c>
      <c r="C891" s="56">
        <f t="shared" si="3"/>
        <v>8880</v>
      </c>
      <c r="D891" s="56">
        <v>0.0</v>
      </c>
      <c r="F891" s="371">
        <v>888.0</v>
      </c>
      <c r="G891" s="372">
        <f t="shared" si="1"/>
        <v>0</v>
      </c>
    </row>
    <row r="892" ht="15.75" customHeight="1">
      <c r="B892" s="370">
        <f t="shared" si="2"/>
        <v>0.1028935185</v>
      </c>
      <c r="C892" s="56">
        <f t="shared" si="3"/>
        <v>8890</v>
      </c>
      <c r="D892" s="56">
        <v>0.0</v>
      </c>
      <c r="F892" s="371">
        <v>889.0</v>
      </c>
      <c r="G892" s="372">
        <f t="shared" si="1"/>
        <v>0</v>
      </c>
    </row>
    <row r="893" ht="15.75" customHeight="1">
      <c r="B893" s="370">
        <f t="shared" si="2"/>
        <v>0.1030092593</v>
      </c>
      <c r="C893" s="56">
        <f t="shared" si="3"/>
        <v>8900</v>
      </c>
      <c r="D893" s="56">
        <v>0.0</v>
      </c>
      <c r="F893" s="371">
        <v>890.0</v>
      </c>
      <c r="G893" s="372">
        <f t="shared" si="1"/>
        <v>0</v>
      </c>
    </row>
    <row r="894" ht="15.75" customHeight="1">
      <c r="B894" s="370">
        <f t="shared" si="2"/>
        <v>0.103125</v>
      </c>
      <c r="C894" s="56">
        <f t="shared" si="3"/>
        <v>8910</v>
      </c>
      <c r="D894" s="56">
        <v>0.0</v>
      </c>
      <c r="F894" s="371">
        <v>891.0</v>
      </c>
      <c r="G894" s="372">
        <f t="shared" si="1"/>
        <v>0</v>
      </c>
    </row>
    <row r="895" ht="15.75" customHeight="1">
      <c r="B895" s="370">
        <f t="shared" si="2"/>
        <v>0.1032407407</v>
      </c>
      <c r="C895" s="56">
        <f t="shared" si="3"/>
        <v>8920</v>
      </c>
      <c r="D895" s="56">
        <v>0.0</v>
      </c>
      <c r="F895" s="371">
        <v>892.0</v>
      </c>
      <c r="G895" s="372">
        <f t="shared" si="1"/>
        <v>0</v>
      </c>
    </row>
    <row r="896" ht="15.75" customHeight="1">
      <c r="B896" s="370">
        <f t="shared" si="2"/>
        <v>0.1033564815</v>
      </c>
      <c r="C896" s="56">
        <f t="shared" si="3"/>
        <v>8930</v>
      </c>
      <c r="D896" s="56">
        <v>0.0</v>
      </c>
      <c r="F896" s="371">
        <v>893.0</v>
      </c>
      <c r="G896" s="372">
        <f t="shared" si="1"/>
        <v>0</v>
      </c>
    </row>
    <row r="897" ht="15.75" customHeight="1">
      <c r="B897" s="370">
        <f t="shared" si="2"/>
        <v>0.1034722222</v>
      </c>
      <c r="C897" s="56">
        <f t="shared" si="3"/>
        <v>8940</v>
      </c>
      <c r="D897" s="56">
        <v>0.0</v>
      </c>
      <c r="F897" s="371">
        <v>894.0</v>
      </c>
      <c r="G897" s="372">
        <f t="shared" si="1"/>
        <v>0</v>
      </c>
    </row>
    <row r="898" ht="15.75" customHeight="1">
      <c r="B898" s="370">
        <f t="shared" si="2"/>
        <v>0.103587963</v>
      </c>
      <c r="C898" s="56">
        <f t="shared" si="3"/>
        <v>8950</v>
      </c>
      <c r="D898" s="56">
        <v>0.0</v>
      </c>
      <c r="F898" s="371">
        <v>895.0</v>
      </c>
      <c r="G898" s="372">
        <f t="shared" si="1"/>
        <v>0</v>
      </c>
    </row>
    <row r="899" ht="15.75" customHeight="1">
      <c r="B899" s="370">
        <f t="shared" si="2"/>
        <v>0.1037037037</v>
      </c>
      <c r="C899" s="56">
        <f t="shared" si="3"/>
        <v>8960</v>
      </c>
      <c r="D899" s="56">
        <v>0.0</v>
      </c>
      <c r="F899" s="371">
        <v>896.0</v>
      </c>
      <c r="G899" s="372">
        <f t="shared" si="1"/>
        <v>0</v>
      </c>
    </row>
    <row r="900" ht="15.75" customHeight="1">
      <c r="B900" s="370">
        <f t="shared" si="2"/>
        <v>0.1038194444</v>
      </c>
      <c r="C900" s="56">
        <f t="shared" si="3"/>
        <v>8970</v>
      </c>
      <c r="D900" s="56">
        <v>0.0</v>
      </c>
      <c r="F900" s="371">
        <v>897.0</v>
      </c>
      <c r="G900" s="372">
        <f t="shared" si="1"/>
        <v>0</v>
      </c>
    </row>
    <row r="901" ht="15.75" customHeight="1">
      <c r="B901" s="370">
        <f t="shared" si="2"/>
        <v>0.1039351852</v>
      </c>
      <c r="C901" s="56">
        <f t="shared" si="3"/>
        <v>8980</v>
      </c>
      <c r="D901" s="56">
        <v>0.0</v>
      </c>
      <c r="F901" s="371">
        <v>898.0</v>
      </c>
      <c r="G901" s="372">
        <f t="shared" si="1"/>
        <v>0</v>
      </c>
    </row>
    <row r="902" ht="15.75" customHeight="1">
      <c r="B902" s="370">
        <f t="shared" si="2"/>
        <v>0.1040509259</v>
      </c>
      <c r="C902" s="56">
        <f t="shared" si="3"/>
        <v>8990</v>
      </c>
      <c r="D902" s="56">
        <v>0.0</v>
      </c>
      <c r="F902" s="371">
        <v>899.0</v>
      </c>
      <c r="G902" s="372">
        <f t="shared" si="1"/>
        <v>0</v>
      </c>
    </row>
    <row r="903" ht="15.75" customHeight="1">
      <c r="B903" s="370">
        <f t="shared" si="2"/>
        <v>0.1041666667</v>
      </c>
      <c r="C903" s="56">
        <f t="shared" si="3"/>
        <v>9000</v>
      </c>
      <c r="D903" s="56">
        <v>0.0</v>
      </c>
      <c r="F903" s="371">
        <v>900.0</v>
      </c>
      <c r="G903" s="372">
        <f t="shared" si="1"/>
        <v>0.1293333333</v>
      </c>
    </row>
    <row r="904" ht="15.75" customHeight="1">
      <c r="B904" s="370">
        <f t="shared" si="2"/>
        <v>0.1042824074</v>
      </c>
      <c r="C904" s="56">
        <f t="shared" si="3"/>
        <v>9010</v>
      </c>
      <c r="D904" s="56">
        <v>0.0</v>
      </c>
      <c r="F904" s="371">
        <v>901.0</v>
      </c>
      <c r="G904" s="372">
        <f t="shared" si="1"/>
        <v>2.933</v>
      </c>
    </row>
    <row r="905" ht="15.75" customHeight="1">
      <c r="B905" s="370">
        <f t="shared" si="2"/>
        <v>0.1043981481</v>
      </c>
      <c r="C905" s="56">
        <f t="shared" si="3"/>
        <v>9020</v>
      </c>
      <c r="D905" s="56">
        <v>0.0</v>
      </c>
      <c r="F905" s="371">
        <v>902.0</v>
      </c>
      <c r="G905" s="372">
        <f t="shared" si="1"/>
        <v>2.694666667</v>
      </c>
    </row>
    <row r="906" ht="15.75" customHeight="1">
      <c r="B906" s="370">
        <f t="shared" si="2"/>
        <v>0.1045138889</v>
      </c>
      <c r="C906" s="56">
        <f t="shared" si="3"/>
        <v>9030</v>
      </c>
      <c r="D906" s="56">
        <v>0.0</v>
      </c>
      <c r="F906" s="371">
        <v>903.0</v>
      </c>
      <c r="G906" s="372">
        <f t="shared" si="1"/>
        <v>3.012833333</v>
      </c>
    </row>
    <row r="907" ht="15.75" customHeight="1">
      <c r="B907" s="370">
        <f t="shared" si="2"/>
        <v>0.1046296296</v>
      </c>
      <c r="C907" s="56">
        <f t="shared" si="3"/>
        <v>9040</v>
      </c>
      <c r="D907" s="56">
        <v>0.0</v>
      </c>
      <c r="F907" s="371">
        <v>904.0</v>
      </c>
      <c r="G907" s="372">
        <f t="shared" si="1"/>
        <v>2.680333333</v>
      </c>
    </row>
    <row r="908" ht="15.75" customHeight="1">
      <c r="B908" s="370">
        <f t="shared" si="2"/>
        <v>0.1047453704</v>
      </c>
      <c r="C908" s="56">
        <f t="shared" si="3"/>
        <v>9050</v>
      </c>
      <c r="D908" s="56">
        <v>0.0</v>
      </c>
      <c r="F908" s="371">
        <v>905.0</v>
      </c>
      <c r="G908" s="372">
        <f t="shared" si="1"/>
        <v>3.002166667</v>
      </c>
    </row>
    <row r="909" ht="15.75" customHeight="1">
      <c r="B909" s="370">
        <f t="shared" si="2"/>
        <v>0.1048611111</v>
      </c>
      <c r="C909" s="56">
        <f t="shared" si="3"/>
        <v>9060</v>
      </c>
      <c r="D909" s="56">
        <v>0.0</v>
      </c>
      <c r="F909" s="371">
        <v>906.0</v>
      </c>
      <c r="G909" s="372">
        <f t="shared" si="1"/>
        <v>2.972833333</v>
      </c>
    </row>
    <row r="910" ht="15.75" customHeight="1">
      <c r="B910" s="370">
        <f t="shared" si="2"/>
        <v>0.1049768519</v>
      </c>
      <c r="C910" s="56">
        <f t="shared" si="3"/>
        <v>9070</v>
      </c>
      <c r="D910" s="56">
        <v>0.0</v>
      </c>
      <c r="F910" s="371">
        <v>907.0</v>
      </c>
      <c r="G910" s="372">
        <f t="shared" si="1"/>
        <v>2.721333333</v>
      </c>
    </row>
    <row r="911" ht="15.75" customHeight="1">
      <c r="B911" s="370">
        <f t="shared" si="2"/>
        <v>0.1050925926</v>
      </c>
      <c r="C911" s="56">
        <f t="shared" si="3"/>
        <v>9080</v>
      </c>
      <c r="D911" s="56">
        <v>0.0</v>
      </c>
      <c r="F911" s="371">
        <v>908.0</v>
      </c>
      <c r="G911" s="372">
        <f t="shared" si="1"/>
        <v>3.142166667</v>
      </c>
    </row>
    <row r="912" ht="15.75" customHeight="1">
      <c r="B912" s="370">
        <f t="shared" si="2"/>
        <v>0.1052083333</v>
      </c>
      <c r="C912" s="56">
        <f t="shared" si="3"/>
        <v>9090</v>
      </c>
      <c r="D912" s="56">
        <v>0.0</v>
      </c>
      <c r="F912" s="371">
        <v>909.0</v>
      </c>
      <c r="G912" s="372">
        <f t="shared" si="1"/>
        <v>2.639166667</v>
      </c>
    </row>
    <row r="913" ht="15.75" customHeight="1">
      <c r="B913" s="370">
        <f t="shared" si="2"/>
        <v>0.1053240741</v>
      </c>
      <c r="C913" s="56">
        <f t="shared" si="3"/>
        <v>9100</v>
      </c>
      <c r="D913" s="56">
        <v>0.0</v>
      </c>
      <c r="F913" s="371">
        <v>910.0</v>
      </c>
      <c r="G913" s="372">
        <f t="shared" si="1"/>
        <v>2.925333333</v>
      </c>
    </row>
    <row r="914" ht="15.75" customHeight="1">
      <c r="B914" s="370">
        <f t="shared" si="2"/>
        <v>0.1054398148</v>
      </c>
      <c r="C914" s="56">
        <f t="shared" si="3"/>
        <v>9110</v>
      </c>
      <c r="D914" s="56">
        <v>0.0</v>
      </c>
      <c r="F914" s="371">
        <v>911.0</v>
      </c>
      <c r="G914" s="372">
        <f t="shared" si="1"/>
        <v>2.907666667</v>
      </c>
    </row>
    <row r="915" ht="15.75" customHeight="1">
      <c r="B915" s="370">
        <f t="shared" si="2"/>
        <v>0.1055555556</v>
      </c>
      <c r="C915" s="56">
        <f t="shared" si="3"/>
        <v>9120</v>
      </c>
      <c r="D915" s="56">
        <v>0.0</v>
      </c>
      <c r="F915" s="371">
        <v>912.0</v>
      </c>
      <c r="G915" s="372">
        <f t="shared" si="1"/>
        <v>2.656166667</v>
      </c>
    </row>
    <row r="916" ht="15.75" customHeight="1">
      <c r="B916" s="370">
        <f t="shared" si="2"/>
        <v>0.1056712963</v>
      </c>
      <c r="C916" s="56">
        <f t="shared" si="3"/>
        <v>9130</v>
      </c>
      <c r="D916" s="56">
        <v>0.0</v>
      </c>
      <c r="F916" s="371">
        <v>913.0</v>
      </c>
      <c r="G916" s="372">
        <f t="shared" si="1"/>
        <v>3.174</v>
      </c>
    </row>
    <row r="917" ht="15.75" customHeight="1">
      <c r="B917" s="370">
        <f t="shared" si="2"/>
        <v>0.105787037</v>
      </c>
      <c r="C917" s="56">
        <f t="shared" si="3"/>
        <v>9140</v>
      </c>
      <c r="D917" s="56">
        <v>0.0</v>
      </c>
      <c r="F917" s="371">
        <v>914.0</v>
      </c>
      <c r="G917" s="372">
        <f t="shared" si="1"/>
        <v>2.672833333</v>
      </c>
    </row>
    <row r="918" ht="15.75" customHeight="1">
      <c r="B918" s="370">
        <f t="shared" si="2"/>
        <v>0.1059027778</v>
      </c>
      <c r="C918" s="56">
        <f t="shared" si="3"/>
        <v>9150</v>
      </c>
      <c r="D918" s="56">
        <v>0.0</v>
      </c>
      <c r="F918" s="371">
        <v>915.0</v>
      </c>
      <c r="G918" s="372">
        <f t="shared" si="1"/>
        <v>3.021666667</v>
      </c>
    </row>
    <row r="919" ht="15.75" customHeight="1">
      <c r="B919" s="370">
        <f t="shared" si="2"/>
        <v>0.1060185185</v>
      </c>
      <c r="C919" s="56">
        <f t="shared" si="3"/>
        <v>9160</v>
      </c>
      <c r="D919" s="56">
        <v>0.0</v>
      </c>
      <c r="F919" s="371">
        <v>916.0</v>
      </c>
      <c r="G919" s="372">
        <f t="shared" si="1"/>
        <v>2.937333333</v>
      </c>
    </row>
    <row r="920" ht="15.75" customHeight="1">
      <c r="B920" s="370">
        <f t="shared" si="2"/>
        <v>0.1061342593</v>
      </c>
      <c r="C920" s="56">
        <f t="shared" si="3"/>
        <v>9170</v>
      </c>
      <c r="D920" s="56">
        <v>0.0</v>
      </c>
      <c r="F920" s="371">
        <v>917.0</v>
      </c>
      <c r="G920" s="372">
        <f t="shared" si="1"/>
        <v>2.730666667</v>
      </c>
    </row>
    <row r="921" ht="15.75" customHeight="1">
      <c r="B921" s="370">
        <f t="shared" si="2"/>
        <v>0.10625</v>
      </c>
      <c r="C921" s="56">
        <f t="shared" si="3"/>
        <v>9180</v>
      </c>
      <c r="D921" s="56">
        <v>0.0</v>
      </c>
      <c r="F921" s="371">
        <v>918.0</v>
      </c>
      <c r="G921" s="372">
        <f t="shared" si="1"/>
        <v>3.0055</v>
      </c>
    </row>
    <row r="922" ht="15.75" customHeight="1">
      <c r="B922" s="370">
        <f t="shared" si="2"/>
        <v>0.1063657407</v>
      </c>
      <c r="C922" s="56">
        <f t="shared" si="3"/>
        <v>9190</v>
      </c>
      <c r="D922" s="56">
        <v>0.0</v>
      </c>
      <c r="F922" s="371">
        <v>919.0</v>
      </c>
      <c r="G922" s="372">
        <f t="shared" si="1"/>
        <v>2.652666667</v>
      </c>
    </row>
    <row r="923" ht="15.75" customHeight="1">
      <c r="B923" s="370">
        <f t="shared" si="2"/>
        <v>0.1064814815</v>
      </c>
      <c r="C923" s="56">
        <f t="shared" si="3"/>
        <v>9200</v>
      </c>
      <c r="D923" s="56">
        <v>0.0</v>
      </c>
      <c r="F923" s="371">
        <v>920.0</v>
      </c>
      <c r="G923" s="372">
        <f t="shared" si="1"/>
        <v>2.971</v>
      </c>
    </row>
    <row r="924" ht="15.75" customHeight="1">
      <c r="B924" s="370">
        <f t="shared" si="2"/>
        <v>0.1065972222</v>
      </c>
      <c r="C924" s="56">
        <f t="shared" si="3"/>
        <v>9210</v>
      </c>
      <c r="D924" s="56">
        <v>0.0</v>
      </c>
      <c r="F924" s="371">
        <v>921.0</v>
      </c>
      <c r="G924" s="372">
        <f t="shared" si="1"/>
        <v>2.8695</v>
      </c>
    </row>
    <row r="925" ht="15.75" customHeight="1">
      <c r="B925" s="370">
        <f t="shared" si="2"/>
        <v>0.106712963</v>
      </c>
      <c r="C925" s="56">
        <f t="shared" si="3"/>
        <v>9220</v>
      </c>
      <c r="D925" s="56">
        <v>0.0</v>
      </c>
      <c r="F925" s="371">
        <v>922.0</v>
      </c>
      <c r="G925" s="372">
        <f t="shared" si="1"/>
        <v>2.711166667</v>
      </c>
    </row>
    <row r="926" ht="15.75" customHeight="1">
      <c r="B926" s="370">
        <f t="shared" si="2"/>
        <v>0.1068287037</v>
      </c>
      <c r="C926" s="56">
        <f t="shared" si="3"/>
        <v>9230</v>
      </c>
      <c r="D926" s="56">
        <v>0.0</v>
      </c>
      <c r="F926" s="371">
        <v>923.0</v>
      </c>
      <c r="G926" s="372">
        <f t="shared" si="1"/>
        <v>3.238333333</v>
      </c>
    </row>
    <row r="927" ht="15.75" customHeight="1">
      <c r="B927" s="370">
        <f t="shared" si="2"/>
        <v>0.1069444444</v>
      </c>
      <c r="C927" s="56">
        <f t="shared" si="3"/>
        <v>9240</v>
      </c>
      <c r="D927" s="56">
        <v>0.0</v>
      </c>
      <c r="F927" s="371">
        <v>924.0</v>
      </c>
      <c r="G927" s="372">
        <f t="shared" si="1"/>
        <v>2.6585</v>
      </c>
    </row>
    <row r="928" ht="15.75" customHeight="1">
      <c r="B928" s="370">
        <f t="shared" si="2"/>
        <v>0.1070601852</v>
      </c>
      <c r="C928" s="56">
        <f t="shared" si="3"/>
        <v>9250</v>
      </c>
      <c r="D928" s="56">
        <v>0.0</v>
      </c>
      <c r="F928" s="371">
        <v>925.0</v>
      </c>
      <c r="G928" s="372">
        <f t="shared" si="1"/>
        <v>2.879833333</v>
      </c>
    </row>
    <row r="929" ht="15.75" customHeight="1">
      <c r="B929" s="370">
        <f t="shared" si="2"/>
        <v>0.1071759259</v>
      </c>
      <c r="C929" s="56">
        <f t="shared" si="3"/>
        <v>9260</v>
      </c>
      <c r="D929" s="56">
        <v>0.0</v>
      </c>
      <c r="F929" s="371">
        <v>926.0</v>
      </c>
      <c r="G929" s="372">
        <f t="shared" si="1"/>
        <v>2.929166667</v>
      </c>
    </row>
    <row r="930" ht="15.75" customHeight="1">
      <c r="B930" s="370">
        <f t="shared" si="2"/>
        <v>0.1072916667</v>
      </c>
      <c r="C930" s="56">
        <f t="shared" si="3"/>
        <v>9270</v>
      </c>
      <c r="D930" s="56">
        <v>0.0</v>
      </c>
      <c r="F930" s="371">
        <v>927.0</v>
      </c>
      <c r="G930" s="372">
        <f t="shared" si="1"/>
        <v>2.684833333</v>
      </c>
    </row>
    <row r="931" ht="15.75" customHeight="1">
      <c r="B931" s="370">
        <f t="shared" si="2"/>
        <v>0.1074074074</v>
      </c>
      <c r="C931" s="56">
        <f t="shared" si="3"/>
        <v>9280</v>
      </c>
      <c r="D931" s="56">
        <v>0.0</v>
      </c>
      <c r="F931" s="371">
        <v>928.0</v>
      </c>
      <c r="G931" s="372">
        <f t="shared" si="1"/>
        <v>3.0505</v>
      </c>
    </row>
    <row r="932" ht="15.75" customHeight="1">
      <c r="B932" s="370">
        <f t="shared" si="2"/>
        <v>0.1075231481</v>
      </c>
      <c r="C932" s="56">
        <f t="shared" si="3"/>
        <v>9290</v>
      </c>
      <c r="D932" s="56">
        <v>0.0</v>
      </c>
      <c r="F932" s="371">
        <v>929.0</v>
      </c>
      <c r="G932" s="372">
        <f t="shared" si="1"/>
        <v>2.678666667</v>
      </c>
    </row>
    <row r="933" ht="15.75" customHeight="1">
      <c r="B933" s="370">
        <f t="shared" si="2"/>
        <v>0.1076388889</v>
      </c>
      <c r="C933" s="56">
        <f t="shared" si="3"/>
        <v>9300</v>
      </c>
      <c r="D933" s="56">
        <v>0.0</v>
      </c>
      <c r="F933" s="371">
        <v>930.0</v>
      </c>
      <c r="G933" s="372">
        <f t="shared" si="1"/>
        <v>3.013</v>
      </c>
    </row>
    <row r="934" ht="15.75" customHeight="1">
      <c r="B934" s="370">
        <f t="shared" si="2"/>
        <v>0.1077546296</v>
      </c>
      <c r="C934" s="56">
        <f t="shared" si="3"/>
        <v>9310</v>
      </c>
      <c r="D934" s="56">
        <v>0.0</v>
      </c>
      <c r="F934" s="371">
        <v>931.0</v>
      </c>
      <c r="G934" s="372">
        <f t="shared" si="1"/>
        <v>2.975333333</v>
      </c>
    </row>
    <row r="935" ht="15.75" customHeight="1">
      <c r="B935" s="370">
        <f t="shared" si="2"/>
        <v>0.1078703704</v>
      </c>
      <c r="C935" s="56">
        <f t="shared" si="3"/>
        <v>9320</v>
      </c>
      <c r="D935" s="56">
        <v>0.0</v>
      </c>
      <c r="F935" s="371">
        <v>932.0</v>
      </c>
      <c r="G935" s="372">
        <f t="shared" si="1"/>
        <v>2.728</v>
      </c>
    </row>
    <row r="936" ht="15.75" customHeight="1">
      <c r="B936" s="370">
        <f t="shared" si="2"/>
        <v>0.1079861111</v>
      </c>
      <c r="C936" s="56">
        <f t="shared" si="3"/>
        <v>9330</v>
      </c>
      <c r="D936" s="56">
        <v>0.0</v>
      </c>
      <c r="F936" s="371">
        <v>933.0</v>
      </c>
      <c r="G936" s="372">
        <f t="shared" si="1"/>
        <v>3.125166667</v>
      </c>
    </row>
    <row r="937" ht="15.75" customHeight="1">
      <c r="B937" s="370">
        <f t="shared" si="2"/>
        <v>0.1081018519</v>
      </c>
      <c r="C937" s="56">
        <f t="shared" si="3"/>
        <v>9340</v>
      </c>
      <c r="D937" s="56">
        <v>0.0</v>
      </c>
      <c r="F937" s="371">
        <v>934.0</v>
      </c>
      <c r="G937" s="372">
        <f t="shared" si="1"/>
        <v>2.633833333</v>
      </c>
    </row>
    <row r="938" ht="15.75" customHeight="1">
      <c r="B938" s="370">
        <f t="shared" si="2"/>
        <v>0.1082175926</v>
      </c>
      <c r="C938" s="56">
        <f t="shared" si="3"/>
        <v>9350</v>
      </c>
      <c r="D938" s="56">
        <v>0.0</v>
      </c>
      <c r="F938" s="371">
        <v>935.0</v>
      </c>
      <c r="G938" s="372">
        <f t="shared" si="1"/>
        <v>2.936333333</v>
      </c>
    </row>
    <row r="939" ht="15.75" customHeight="1">
      <c r="B939" s="370">
        <f t="shared" si="2"/>
        <v>0.1083333333</v>
      </c>
      <c r="C939" s="56">
        <f t="shared" si="3"/>
        <v>9360</v>
      </c>
      <c r="D939" s="56">
        <v>0.0</v>
      </c>
      <c r="F939" s="371">
        <v>936.0</v>
      </c>
      <c r="G939" s="372">
        <f t="shared" si="1"/>
        <v>2.894</v>
      </c>
    </row>
    <row r="940" ht="15.75" customHeight="1">
      <c r="B940" s="370">
        <f t="shared" si="2"/>
        <v>0.1084490741</v>
      </c>
      <c r="C940" s="56">
        <f t="shared" si="3"/>
        <v>9370</v>
      </c>
      <c r="D940" s="56">
        <v>0.0</v>
      </c>
      <c r="F940" s="371">
        <v>937.0</v>
      </c>
      <c r="G940" s="372">
        <f t="shared" si="1"/>
        <v>2.669666667</v>
      </c>
    </row>
    <row r="941" ht="15.75" customHeight="1">
      <c r="B941" s="370">
        <f t="shared" si="2"/>
        <v>0.1085648148</v>
      </c>
      <c r="C941" s="56">
        <f t="shared" si="3"/>
        <v>9380</v>
      </c>
      <c r="D941" s="56">
        <v>0.0</v>
      </c>
      <c r="F941" s="371">
        <v>938.0</v>
      </c>
      <c r="G941" s="372">
        <f t="shared" si="1"/>
        <v>3.207333333</v>
      </c>
    </row>
    <row r="942" ht="15.75" customHeight="1">
      <c r="B942" s="370">
        <f t="shared" si="2"/>
        <v>0.1086805556</v>
      </c>
      <c r="C942" s="56">
        <f t="shared" si="3"/>
        <v>9390</v>
      </c>
      <c r="D942" s="56">
        <v>0.0</v>
      </c>
      <c r="F942" s="371">
        <v>939.0</v>
      </c>
      <c r="G942" s="372">
        <f t="shared" si="1"/>
        <v>2.665</v>
      </c>
    </row>
    <row r="943" ht="15.75" customHeight="1">
      <c r="B943" s="370">
        <f t="shared" si="2"/>
        <v>0.1087962963</v>
      </c>
      <c r="C943" s="56">
        <f t="shared" si="3"/>
        <v>9400</v>
      </c>
      <c r="D943" s="56">
        <v>0.0</v>
      </c>
      <c r="F943" s="371">
        <v>940.0</v>
      </c>
      <c r="G943" s="372">
        <f t="shared" si="1"/>
        <v>2.994666667</v>
      </c>
    </row>
    <row r="944" ht="15.75" customHeight="1">
      <c r="B944" s="370">
        <f t="shared" si="2"/>
        <v>0.108912037</v>
      </c>
      <c r="C944" s="56">
        <f t="shared" si="3"/>
        <v>9410</v>
      </c>
      <c r="D944" s="56">
        <v>0.0</v>
      </c>
      <c r="F944" s="371">
        <v>941.0</v>
      </c>
      <c r="G944" s="372">
        <f t="shared" si="1"/>
        <v>2.932333333</v>
      </c>
    </row>
    <row r="945" ht="15.75" customHeight="1">
      <c r="B945" s="370">
        <f t="shared" si="2"/>
        <v>0.1090277778</v>
      </c>
      <c r="C945" s="56">
        <f t="shared" si="3"/>
        <v>9420</v>
      </c>
      <c r="D945" s="56">
        <v>0.0</v>
      </c>
      <c r="F945" s="371">
        <v>942.0</v>
      </c>
      <c r="G945" s="372">
        <f t="shared" si="1"/>
        <v>2.721166667</v>
      </c>
    </row>
    <row r="946" ht="15.75" customHeight="1">
      <c r="B946" s="370">
        <f t="shared" si="2"/>
        <v>0.1091435185</v>
      </c>
      <c r="C946" s="56">
        <f t="shared" si="3"/>
        <v>9430</v>
      </c>
      <c r="D946" s="56">
        <v>0.0</v>
      </c>
      <c r="F946" s="371">
        <v>943.0</v>
      </c>
      <c r="G946" s="372">
        <f t="shared" si="1"/>
        <v>2.990666667</v>
      </c>
    </row>
    <row r="947" ht="15.75" customHeight="1">
      <c r="B947" s="370">
        <f t="shared" si="2"/>
        <v>0.1092592593</v>
      </c>
      <c r="C947" s="56">
        <f t="shared" si="3"/>
        <v>9440</v>
      </c>
      <c r="D947" s="56">
        <v>0.0</v>
      </c>
      <c r="F947" s="371">
        <v>944.0</v>
      </c>
      <c r="G947" s="372">
        <f t="shared" si="1"/>
        <v>2.659833333</v>
      </c>
    </row>
    <row r="948" ht="15.75" customHeight="1">
      <c r="B948" s="370">
        <f t="shared" si="2"/>
        <v>0.109375</v>
      </c>
      <c r="C948" s="56">
        <f t="shared" si="3"/>
        <v>9450</v>
      </c>
      <c r="D948" s="56">
        <v>0.0</v>
      </c>
      <c r="F948" s="371">
        <v>945.0</v>
      </c>
      <c r="G948" s="372">
        <f t="shared" si="1"/>
        <v>2.9755</v>
      </c>
    </row>
    <row r="949" ht="15.75" customHeight="1">
      <c r="B949" s="370">
        <f t="shared" si="2"/>
        <v>0.1094907407</v>
      </c>
      <c r="C949" s="56">
        <f t="shared" si="3"/>
        <v>9460</v>
      </c>
      <c r="D949" s="56">
        <v>0.0</v>
      </c>
      <c r="F949" s="371">
        <v>946.0</v>
      </c>
      <c r="G949" s="372">
        <f t="shared" si="1"/>
        <v>2.893333333</v>
      </c>
    </row>
    <row r="950" ht="15.75" customHeight="1">
      <c r="B950" s="370">
        <f t="shared" si="2"/>
        <v>0.1096064815</v>
      </c>
      <c r="C950" s="56">
        <f t="shared" si="3"/>
        <v>9470</v>
      </c>
      <c r="D950" s="56">
        <v>0.0</v>
      </c>
      <c r="F950" s="371">
        <v>947.0</v>
      </c>
      <c r="G950" s="372">
        <f t="shared" si="1"/>
        <v>2.72</v>
      </c>
    </row>
    <row r="951" ht="15.75" customHeight="1">
      <c r="B951" s="370">
        <f t="shared" si="2"/>
        <v>0.1097222222</v>
      </c>
      <c r="C951" s="56">
        <f t="shared" si="3"/>
        <v>9480</v>
      </c>
      <c r="D951" s="56">
        <v>0.0</v>
      </c>
      <c r="F951" s="371">
        <v>948.0</v>
      </c>
      <c r="G951" s="372">
        <f t="shared" si="1"/>
        <v>3.2195</v>
      </c>
    </row>
    <row r="952" ht="15.75" customHeight="1">
      <c r="B952" s="370">
        <f t="shared" si="2"/>
        <v>0.109837963</v>
      </c>
      <c r="C952" s="56">
        <f t="shared" si="3"/>
        <v>9490</v>
      </c>
      <c r="D952" s="56">
        <v>0.0</v>
      </c>
      <c r="F952" s="371">
        <v>949.0</v>
      </c>
      <c r="G952" s="372">
        <f t="shared" si="1"/>
        <v>2.6555</v>
      </c>
    </row>
    <row r="953" ht="15.75" customHeight="1">
      <c r="B953" s="370">
        <f t="shared" si="2"/>
        <v>0.1099537037</v>
      </c>
      <c r="C953" s="56">
        <f t="shared" si="3"/>
        <v>9500</v>
      </c>
      <c r="D953" s="56">
        <v>0.0</v>
      </c>
      <c r="F953" s="371">
        <v>950.0</v>
      </c>
      <c r="G953" s="372">
        <f t="shared" si="1"/>
        <v>2.891333333</v>
      </c>
    </row>
    <row r="954" ht="15.75" customHeight="1">
      <c r="B954" s="370">
        <f t="shared" si="2"/>
        <v>0.1100694444</v>
      </c>
      <c r="C954" s="56">
        <f t="shared" si="3"/>
        <v>9510</v>
      </c>
      <c r="D954" s="56">
        <v>0.0</v>
      </c>
      <c r="F954" s="371">
        <v>951.0</v>
      </c>
      <c r="G954" s="372">
        <f t="shared" si="1"/>
        <v>2.9145</v>
      </c>
    </row>
    <row r="955" ht="15.75" customHeight="1">
      <c r="B955" s="370">
        <f t="shared" si="2"/>
        <v>0.1101851852</v>
      </c>
      <c r="C955" s="56">
        <f t="shared" si="3"/>
        <v>9520</v>
      </c>
      <c r="D955" s="56">
        <v>0.0</v>
      </c>
      <c r="F955" s="371">
        <v>952.0</v>
      </c>
      <c r="G955" s="372">
        <f t="shared" si="1"/>
        <v>2.665</v>
      </c>
    </row>
    <row r="956" ht="15.75" customHeight="1">
      <c r="B956" s="370">
        <f t="shared" si="2"/>
        <v>0.1103009259</v>
      </c>
      <c r="C956" s="56">
        <f t="shared" si="3"/>
        <v>9530</v>
      </c>
      <c r="D956" s="56">
        <v>0.0</v>
      </c>
      <c r="F956" s="371">
        <v>953.0</v>
      </c>
      <c r="G956" s="372">
        <f t="shared" si="1"/>
        <v>3.083666667</v>
      </c>
    </row>
    <row r="957" ht="15.75" customHeight="1">
      <c r="B957" s="370">
        <f t="shared" si="2"/>
        <v>0.1104166667</v>
      </c>
      <c r="C957" s="56">
        <f t="shared" si="3"/>
        <v>9540</v>
      </c>
      <c r="D957" s="56">
        <v>0.0</v>
      </c>
      <c r="F957" s="371">
        <v>954.0</v>
      </c>
      <c r="G957" s="372">
        <f t="shared" si="1"/>
        <v>2.6835</v>
      </c>
    </row>
    <row r="958" ht="15.75" customHeight="1">
      <c r="B958" s="370">
        <f t="shared" si="2"/>
        <v>0.1105324074</v>
      </c>
      <c r="C958" s="56">
        <f t="shared" si="3"/>
        <v>9550</v>
      </c>
      <c r="D958" s="56">
        <v>0.0</v>
      </c>
      <c r="F958" s="371">
        <v>955.0</v>
      </c>
      <c r="G958" s="372">
        <f t="shared" si="1"/>
        <v>3.032166667</v>
      </c>
    </row>
    <row r="959" ht="15.75" customHeight="1">
      <c r="B959" s="370">
        <f t="shared" si="2"/>
        <v>0.1106481481</v>
      </c>
      <c r="C959" s="56">
        <f t="shared" si="3"/>
        <v>9560</v>
      </c>
      <c r="D959" s="56">
        <v>2.332</v>
      </c>
      <c r="F959" s="371">
        <v>956.0</v>
      </c>
      <c r="G959" s="372">
        <f t="shared" si="1"/>
        <v>2.968666667</v>
      </c>
    </row>
    <row r="960" ht="15.75" customHeight="1">
      <c r="B960" s="370">
        <f t="shared" si="2"/>
        <v>0.1107638889</v>
      </c>
      <c r="C960" s="56">
        <f t="shared" si="3"/>
        <v>9570</v>
      </c>
      <c r="D960" s="56">
        <v>2.787</v>
      </c>
      <c r="F960" s="371">
        <v>957.0</v>
      </c>
      <c r="G960" s="372">
        <f t="shared" si="1"/>
        <v>2.722333333</v>
      </c>
    </row>
    <row r="961" ht="15.75" customHeight="1">
      <c r="B961" s="370">
        <f t="shared" si="2"/>
        <v>0.1108796296</v>
      </c>
      <c r="C961" s="56">
        <f t="shared" si="3"/>
        <v>9580</v>
      </c>
      <c r="D961" s="56">
        <v>3.038</v>
      </c>
      <c r="F961" s="371">
        <v>958.0</v>
      </c>
      <c r="G961" s="372">
        <f t="shared" si="1"/>
        <v>3.097333333</v>
      </c>
    </row>
    <row r="962" ht="15.75" customHeight="1">
      <c r="B962" s="370">
        <f t="shared" si="2"/>
        <v>0.1109953704</v>
      </c>
      <c r="C962" s="56">
        <f t="shared" si="3"/>
        <v>9590</v>
      </c>
      <c r="D962" s="56">
        <v>3.217</v>
      </c>
      <c r="F962" s="371">
        <v>959.0</v>
      </c>
      <c r="G962" s="372">
        <f t="shared" si="1"/>
        <v>0.4201666667</v>
      </c>
    </row>
    <row r="963" ht="15.75" customHeight="1">
      <c r="B963" s="370">
        <f t="shared" si="2"/>
        <v>0.1111111111</v>
      </c>
      <c r="C963" s="56">
        <f t="shared" si="3"/>
        <v>9600</v>
      </c>
      <c r="D963" s="56">
        <v>3.086</v>
      </c>
      <c r="F963" s="371">
        <v>960.0</v>
      </c>
      <c r="G963" s="372">
        <f t="shared" si="1"/>
        <v>0</v>
      </c>
    </row>
    <row r="964" ht="15.75" customHeight="1">
      <c r="B964" s="370">
        <f t="shared" si="2"/>
        <v>0.1112268519</v>
      </c>
      <c r="C964" s="56">
        <f t="shared" si="3"/>
        <v>9610</v>
      </c>
      <c r="D964" s="56">
        <v>3.014</v>
      </c>
      <c r="F964" s="371">
        <v>961.0</v>
      </c>
      <c r="G964" s="372">
        <f t="shared" si="1"/>
        <v>0</v>
      </c>
    </row>
    <row r="965" ht="15.75" customHeight="1">
      <c r="B965" s="370">
        <f t="shared" si="2"/>
        <v>0.1113425926</v>
      </c>
      <c r="C965" s="56">
        <f t="shared" si="3"/>
        <v>9620</v>
      </c>
      <c r="D965" s="56">
        <v>2.78</v>
      </c>
      <c r="F965" s="371">
        <v>962.0</v>
      </c>
      <c r="G965" s="372">
        <f t="shared" si="1"/>
        <v>0</v>
      </c>
    </row>
    <row r="966" ht="15.75" customHeight="1">
      <c r="B966" s="370">
        <f t="shared" si="2"/>
        <v>0.1114583333</v>
      </c>
      <c r="C966" s="56">
        <f t="shared" si="3"/>
        <v>9630</v>
      </c>
      <c r="D966" s="56">
        <v>2.914</v>
      </c>
      <c r="F966" s="371">
        <v>963.0</v>
      </c>
      <c r="G966" s="372">
        <f t="shared" si="1"/>
        <v>0</v>
      </c>
    </row>
    <row r="967" ht="15.75" customHeight="1">
      <c r="B967" s="370">
        <f t="shared" si="2"/>
        <v>0.1115740741</v>
      </c>
      <c r="C967" s="56">
        <f t="shared" si="3"/>
        <v>9640</v>
      </c>
      <c r="D967" s="56">
        <v>2.831</v>
      </c>
      <c r="F967" s="371">
        <v>964.0</v>
      </c>
      <c r="G967" s="372">
        <f t="shared" si="1"/>
        <v>0</v>
      </c>
    </row>
    <row r="968" ht="15.75" customHeight="1">
      <c r="B968" s="370">
        <f t="shared" si="2"/>
        <v>0.1116898148</v>
      </c>
      <c r="C968" s="56">
        <f t="shared" si="3"/>
        <v>9650</v>
      </c>
      <c r="D968" s="56">
        <v>2.738</v>
      </c>
      <c r="F968" s="371">
        <v>965.0</v>
      </c>
      <c r="G968" s="372">
        <f t="shared" si="1"/>
        <v>0</v>
      </c>
    </row>
    <row r="969" ht="15.75" customHeight="1">
      <c r="B969" s="370">
        <f t="shared" si="2"/>
        <v>0.1118055556</v>
      </c>
      <c r="C969" s="56">
        <f t="shared" si="3"/>
        <v>9660</v>
      </c>
      <c r="D969" s="56">
        <v>2.592</v>
      </c>
      <c r="F969" s="371">
        <v>966.0</v>
      </c>
      <c r="G969" s="372">
        <f t="shared" si="1"/>
        <v>0</v>
      </c>
    </row>
    <row r="970" ht="15.75" customHeight="1">
      <c r="B970" s="370">
        <f t="shared" si="2"/>
        <v>0.1119212963</v>
      </c>
      <c r="C970" s="56">
        <f t="shared" si="3"/>
        <v>9670</v>
      </c>
      <c r="D970" s="56">
        <v>2.366</v>
      </c>
      <c r="F970" s="371">
        <v>967.0</v>
      </c>
      <c r="G970" s="372">
        <f t="shared" si="1"/>
        <v>0</v>
      </c>
    </row>
    <row r="971" ht="15.75" customHeight="1">
      <c r="B971" s="370">
        <f t="shared" si="2"/>
        <v>0.112037037</v>
      </c>
      <c r="C971" s="56">
        <f t="shared" si="3"/>
        <v>9680</v>
      </c>
      <c r="D971" s="56">
        <v>2.347</v>
      </c>
      <c r="F971" s="371">
        <v>968.0</v>
      </c>
      <c r="G971" s="372">
        <f t="shared" si="1"/>
        <v>0</v>
      </c>
    </row>
    <row r="972" ht="15.75" customHeight="1">
      <c r="B972" s="370">
        <f t="shared" si="2"/>
        <v>0.1121527778</v>
      </c>
      <c r="C972" s="56">
        <f t="shared" si="3"/>
        <v>9690</v>
      </c>
      <c r="D972" s="56">
        <v>3.213</v>
      </c>
      <c r="F972" s="371">
        <v>969.0</v>
      </c>
      <c r="G972" s="372">
        <f t="shared" si="1"/>
        <v>0</v>
      </c>
    </row>
    <row r="973" ht="15.75" customHeight="1">
      <c r="B973" s="370">
        <f t="shared" si="2"/>
        <v>0.1122685185</v>
      </c>
      <c r="C973" s="56">
        <f t="shared" si="3"/>
        <v>9700</v>
      </c>
      <c r="D973" s="56">
        <v>3.461</v>
      </c>
      <c r="F973" s="371">
        <v>970.0</v>
      </c>
      <c r="G973" s="372">
        <f t="shared" si="1"/>
        <v>0</v>
      </c>
    </row>
    <row r="974" ht="15.75" customHeight="1">
      <c r="B974" s="370">
        <f t="shared" si="2"/>
        <v>0.1123842593</v>
      </c>
      <c r="C974" s="56">
        <f t="shared" si="3"/>
        <v>9710</v>
      </c>
      <c r="D974" s="56">
        <v>3.488</v>
      </c>
      <c r="F974" s="371">
        <v>971.0</v>
      </c>
      <c r="G974" s="372">
        <f t="shared" si="1"/>
        <v>0</v>
      </c>
    </row>
    <row r="975" ht="15.75" customHeight="1">
      <c r="B975" s="370">
        <f t="shared" si="2"/>
        <v>0.1125</v>
      </c>
      <c r="C975" s="56">
        <f t="shared" si="3"/>
        <v>9720</v>
      </c>
      <c r="D975" s="56">
        <v>3.505</v>
      </c>
      <c r="F975" s="371">
        <v>972.0</v>
      </c>
      <c r="G975" s="372">
        <f t="shared" si="1"/>
        <v>0</v>
      </c>
    </row>
    <row r="976" ht="15.75" customHeight="1">
      <c r="B976" s="370">
        <f t="shared" si="2"/>
        <v>0.1126157407</v>
      </c>
      <c r="C976" s="56">
        <f t="shared" si="3"/>
        <v>9730</v>
      </c>
      <c r="D976" s="56">
        <v>3.144</v>
      </c>
      <c r="F976" s="371">
        <v>973.0</v>
      </c>
      <c r="G976" s="372">
        <f t="shared" si="1"/>
        <v>0</v>
      </c>
    </row>
    <row r="977" ht="15.75" customHeight="1">
      <c r="B977" s="370">
        <f t="shared" si="2"/>
        <v>0.1127314815</v>
      </c>
      <c r="C977" s="56">
        <f t="shared" si="3"/>
        <v>9740</v>
      </c>
      <c r="D977" s="56">
        <v>2.425</v>
      </c>
      <c r="F977" s="371">
        <v>974.0</v>
      </c>
      <c r="G977" s="372">
        <f t="shared" si="1"/>
        <v>0</v>
      </c>
    </row>
    <row r="978" ht="15.75" customHeight="1">
      <c r="B978" s="370">
        <f t="shared" si="2"/>
        <v>0.1128472222</v>
      </c>
      <c r="C978" s="56">
        <f t="shared" si="3"/>
        <v>9750</v>
      </c>
      <c r="D978" s="56">
        <v>2.019</v>
      </c>
      <c r="F978" s="371">
        <v>975.0</v>
      </c>
      <c r="G978" s="372">
        <f t="shared" si="1"/>
        <v>0</v>
      </c>
    </row>
    <row r="979" ht="15.75" customHeight="1">
      <c r="B979" s="370">
        <f t="shared" si="2"/>
        <v>0.112962963</v>
      </c>
      <c r="C979" s="56">
        <f t="shared" si="3"/>
        <v>9760</v>
      </c>
      <c r="D979" s="56">
        <v>2.332</v>
      </c>
      <c r="F979" s="371">
        <v>976.0</v>
      </c>
      <c r="G979" s="372">
        <f t="shared" si="1"/>
        <v>0</v>
      </c>
    </row>
    <row r="980" ht="15.75" customHeight="1">
      <c r="B980" s="370">
        <f t="shared" si="2"/>
        <v>0.1130787037</v>
      </c>
      <c r="C980" s="56">
        <f t="shared" si="3"/>
        <v>9770</v>
      </c>
      <c r="D980" s="56">
        <v>2.711</v>
      </c>
      <c r="F980" s="371">
        <v>977.0</v>
      </c>
      <c r="G980" s="372">
        <f t="shared" si="1"/>
        <v>0</v>
      </c>
    </row>
    <row r="981" ht="15.75" customHeight="1">
      <c r="B981" s="370">
        <f t="shared" si="2"/>
        <v>0.1131944444</v>
      </c>
      <c r="C981" s="56">
        <f t="shared" si="3"/>
        <v>9780</v>
      </c>
      <c r="D981" s="56">
        <v>3.059</v>
      </c>
      <c r="F981" s="371">
        <v>978.0</v>
      </c>
      <c r="G981" s="372">
        <f t="shared" si="1"/>
        <v>0</v>
      </c>
    </row>
    <row r="982" ht="15.75" customHeight="1">
      <c r="B982" s="370">
        <f t="shared" si="2"/>
        <v>0.1133101852</v>
      </c>
      <c r="C982" s="56">
        <f t="shared" si="3"/>
        <v>9790</v>
      </c>
      <c r="D982" s="56">
        <v>3.326</v>
      </c>
      <c r="F982" s="371">
        <v>979.0</v>
      </c>
      <c r="G982" s="372">
        <f t="shared" si="1"/>
        <v>0</v>
      </c>
    </row>
    <row r="983" ht="15.75" customHeight="1">
      <c r="B983" s="370">
        <f t="shared" si="2"/>
        <v>0.1134259259</v>
      </c>
      <c r="C983" s="56">
        <f t="shared" si="3"/>
        <v>9800</v>
      </c>
      <c r="D983" s="56">
        <v>3.235</v>
      </c>
      <c r="F983" s="371">
        <v>980.0</v>
      </c>
      <c r="G983" s="372">
        <f t="shared" si="1"/>
        <v>0</v>
      </c>
    </row>
    <row r="984" ht="15.75" customHeight="1">
      <c r="B984" s="370">
        <f t="shared" si="2"/>
        <v>0.1135416667</v>
      </c>
      <c r="C984" s="56">
        <f t="shared" si="3"/>
        <v>9810</v>
      </c>
      <c r="D984" s="56">
        <v>3.114</v>
      </c>
      <c r="F984" s="371">
        <v>981.0</v>
      </c>
      <c r="G984" s="372">
        <f t="shared" si="1"/>
        <v>0</v>
      </c>
    </row>
    <row r="985" ht="15.75" customHeight="1">
      <c r="B985" s="370">
        <f t="shared" si="2"/>
        <v>0.1136574074</v>
      </c>
      <c r="C985" s="56">
        <f t="shared" si="3"/>
        <v>9820</v>
      </c>
      <c r="D985" s="56">
        <v>2.899</v>
      </c>
      <c r="F985" s="371">
        <v>982.0</v>
      </c>
      <c r="G985" s="372">
        <f t="shared" si="1"/>
        <v>0</v>
      </c>
    </row>
    <row r="986" ht="15.75" customHeight="1">
      <c r="B986" s="370">
        <f t="shared" si="2"/>
        <v>0.1137731481</v>
      </c>
      <c r="C986" s="56">
        <f t="shared" si="3"/>
        <v>9830</v>
      </c>
      <c r="D986" s="56">
        <v>2.699</v>
      </c>
      <c r="F986" s="371">
        <v>983.0</v>
      </c>
      <c r="G986" s="372">
        <f t="shared" si="1"/>
        <v>0</v>
      </c>
    </row>
    <row r="987" ht="15.75" customHeight="1">
      <c r="B987" s="370">
        <f t="shared" si="2"/>
        <v>0.1138888889</v>
      </c>
      <c r="C987" s="56">
        <f t="shared" si="3"/>
        <v>9840</v>
      </c>
      <c r="D987" s="56">
        <v>2.759</v>
      </c>
      <c r="F987" s="371">
        <v>984.0</v>
      </c>
      <c r="G987" s="372">
        <f t="shared" si="1"/>
        <v>0</v>
      </c>
    </row>
    <row r="988" ht="15.75" customHeight="1">
      <c r="B988" s="370">
        <f t="shared" si="2"/>
        <v>0.1140046296</v>
      </c>
      <c r="C988" s="56">
        <f t="shared" si="3"/>
        <v>9850</v>
      </c>
      <c r="D988" s="56">
        <v>2.751</v>
      </c>
      <c r="F988" s="371">
        <v>985.0</v>
      </c>
      <c r="G988" s="372">
        <f t="shared" si="1"/>
        <v>0</v>
      </c>
    </row>
    <row r="989" ht="15.75" customHeight="1">
      <c r="B989" s="370">
        <f t="shared" si="2"/>
        <v>0.1141203704</v>
      </c>
      <c r="C989" s="56">
        <f t="shared" si="3"/>
        <v>9860</v>
      </c>
      <c r="D989" s="56">
        <v>2.671</v>
      </c>
      <c r="F989" s="371">
        <v>986.0</v>
      </c>
      <c r="G989" s="372">
        <f t="shared" si="1"/>
        <v>0</v>
      </c>
    </row>
    <row r="990" ht="15.75" customHeight="1">
      <c r="B990" s="370">
        <f t="shared" si="2"/>
        <v>0.1142361111</v>
      </c>
      <c r="C990" s="56">
        <f t="shared" si="3"/>
        <v>9870</v>
      </c>
      <c r="D990" s="56">
        <v>2.574</v>
      </c>
      <c r="F990" s="371">
        <v>987.0</v>
      </c>
      <c r="G990" s="372">
        <f t="shared" si="1"/>
        <v>0</v>
      </c>
    </row>
    <row r="991" ht="15.75" customHeight="1">
      <c r="B991" s="370">
        <f t="shared" si="2"/>
        <v>0.1143518519</v>
      </c>
      <c r="C991" s="56">
        <f t="shared" si="3"/>
        <v>9880</v>
      </c>
      <c r="D991" s="56">
        <v>2.276</v>
      </c>
      <c r="F991" s="371">
        <v>988.0</v>
      </c>
      <c r="G991" s="372">
        <f t="shared" si="1"/>
        <v>0</v>
      </c>
    </row>
    <row r="992" ht="15.75" customHeight="1">
      <c r="B992" s="370">
        <f t="shared" si="2"/>
        <v>0.1144675926</v>
      </c>
      <c r="C992" s="56">
        <f t="shared" si="3"/>
        <v>9890</v>
      </c>
      <c r="D992" s="56">
        <v>3.076</v>
      </c>
      <c r="F992" s="371">
        <v>989.0</v>
      </c>
      <c r="G992" s="372">
        <f t="shared" si="1"/>
        <v>0</v>
      </c>
    </row>
    <row r="993" ht="15.75" customHeight="1">
      <c r="B993" s="370">
        <f t="shared" si="2"/>
        <v>0.1145833333</v>
      </c>
      <c r="C993" s="56">
        <f t="shared" si="3"/>
        <v>9900</v>
      </c>
      <c r="D993" s="56">
        <v>3.393</v>
      </c>
      <c r="F993" s="371">
        <v>990.0</v>
      </c>
      <c r="G993" s="372">
        <f t="shared" si="1"/>
        <v>0</v>
      </c>
    </row>
    <row r="994" ht="15.75" customHeight="1">
      <c r="B994" s="370">
        <f t="shared" si="2"/>
        <v>0.1146990741</v>
      </c>
      <c r="C994" s="56">
        <f t="shared" si="3"/>
        <v>9910</v>
      </c>
      <c r="D994" s="56">
        <v>3.433</v>
      </c>
      <c r="F994" s="371">
        <v>991.0</v>
      </c>
      <c r="G994" s="372">
        <f t="shared" si="1"/>
        <v>0</v>
      </c>
    </row>
    <row r="995" ht="15.75" customHeight="1">
      <c r="B995" s="370">
        <f t="shared" si="2"/>
        <v>0.1148148148</v>
      </c>
      <c r="C995" s="56">
        <f t="shared" si="3"/>
        <v>9920</v>
      </c>
      <c r="D995" s="56">
        <v>3.485</v>
      </c>
      <c r="F995" s="371">
        <v>992.0</v>
      </c>
      <c r="G995" s="372">
        <f t="shared" si="1"/>
        <v>0</v>
      </c>
    </row>
    <row r="996" ht="15.75" customHeight="1">
      <c r="B996" s="370">
        <f t="shared" si="2"/>
        <v>0.1149305556</v>
      </c>
      <c r="C996" s="56">
        <f t="shared" si="3"/>
        <v>9930</v>
      </c>
      <c r="D996" s="56">
        <v>3.203</v>
      </c>
      <c r="F996" s="371">
        <v>993.0</v>
      </c>
      <c r="G996" s="372">
        <f t="shared" si="1"/>
        <v>1.021</v>
      </c>
    </row>
    <row r="997" ht="15.75" customHeight="1">
      <c r="B997" s="370">
        <f t="shared" si="2"/>
        <v>0.1150462963</v>
      </c>
      <c r="C997" s="56">
        <f t="shared" si="3"/>
        <v>9940</v>
      </c>
      <c r="D997" s="56">
        <v>2.582</v>
      </c>
      <c r="F997" s="371">
        <v>994.0</v>
      </c>
      <c r="G997" s="372">
        <f t="shared" si="1"/>
        <v>2.683666667</v>
      </c>
    </row>
    <row r="998" ht="15.75" customHeight="1">
      <c r="B998" s="370">
        <f t="shared" si="2"/>
        <v>0.115162037</v>
      </c>
      <c r="C998" s="56">
        <f t="shared" si="3"/>
        <v>9950</v>
      </c>
      <c r="D998" s="56">
        <v>1.989</v>
      </c>
      <c r="F998" s="371">
        <v>995.0</v>
      </c>
      <c r="G998" s="372">
        <f t="shared" si="1"/>
        <v>3.007166667</v>
      </c>
    </row>
    <row r="999" ht="15.75" customHeight="1">
      <c r="B999" s="370">
        <f t="shared" si="2"/>
        <v>0.1152777778</v>
      </c>
      <c r="C999" s="56">
        <f t="shared" si="3"/>
        <v>9960</v>
      </c>
      <c r="D999" s="56">
        <v>2.16</v>
      </c>
      <c r="F999" s="371">
        <v>996.0</v>
      </c>
      <c r="G999" s="372">
        <f t="shared" si="1"/>
        <v>2.941166667</v>
      </c>
    </row>
    <row r="1000" ht="15.75" customHeight="1">
      <c r="B1000" s="370">
        <f t="shared" si="2"/>
        <v>0.1153935185</v>
      </c>
      <c r="C1000" s="56">
        <f t="shared" si="3"/>
        <v>9970</v>
      </c>
      <c r="D1000" s="56">
        <v>2.596</v>
      </c>
      <c r="F1000" s="371">
        <v>997.0</v>
      </c>
      <c r="G1000" s="372">
        <f t="shared" si="1"/>
        <v>2.713833333</v>
      </c>
    </row>
    <row r="1001" ht="15.75" customHeight="1">
      <c r="B1001" s="370">
        <f t="shared" si="2"/>
        <v>0.1155092593</v>
      </c>
      <c r="C1001" s="56">
        <f t="shared" si="3"/>
        <v>9980</v>
      </c>
      <c r="D1001" s="56">
        <v>3.043</v>
      </c>
      <c r="F1001" s="371">
        <v>998.0</v>
      </c>
      <c r="G1001" s="372">
        <f t="shared" si="1"/>
        <v>3.1655</v>
      </c>
    </row>
    <row r="1002" ht="15.75" customHeight="1">
      <c r="B1002" s="370">
        <f t="shared" si="2"/>
        <v>0.115625</v>
      </c>
      <c r="C1002" s="56">
        <f t="shared" si="3"/>
        <v>9990</v>
      </c>
      <c r="D1002" s="56">
        <v>3.392</v>
      </c>
      <c r="F1002" s="371">
        <v>999.0</v>
      </c>
      <c r="G1002" s="372">
        <f t="shared" si="1"/>
        <v>2.632166667</v>
      </c>
    </row>
    <row r="1003" ht="15.75" customHeight="1">
      <c r="B1003" s="370">
        <f t="shared" si="2"/>
        <v>0.1157407407</v>
      </c>
      <c r="C1003" s="56">
        <f t="shared" si="3"/>
        <v>10000</v>
      </c>
      <c r="D1003" s="56">
        <v>3.336</v>
      </c>
      <c r="F1003" s="371">
        <v>1000.0</v>
      </c>
      <c r="G1003" s="372">
        <f t="shared" si="1"/>
        <v>2.928833333</v>
      </c>
    </row>
    <row r="1004" ht="15.75" customHeight="1">
      <c r="B1004" s="370">
        <f t="shared" si="2"/>
        <v>0.1158564815</v>
      </c>
      <c r="C1004" s="56">
        <f t="shared" si="3"/>
        <v>10010</v>
      </c>
      <c r="D1004" s="56">
        <v>3.289</v>
      </c>
      <c r="F1004" s="371">
        <v>1001.0</v>
      </c>
      <c r="G1004" s="372">
        <f t="shared" si="1"/>
        <v>2.913</v>
      </c>
    </row>
    <row r="1005" ht="15.75" customHeight="1">
      <c r="B1005" s="370">
        <f t="shared" si="2"/>
        <v>0.1159722222</v>
      </c>
      <c r="C1005" s="56">
        <f t="shared" si="3"/>
        <v>10020</v>
      </c>
      <c r="D1005" s="56">
        <v>3.067</v>
      </c>
      <c r="F1005" s="371">
        <v>1002.0</v>
      </c>
      <c r="G1005" s="372">
        <f t="shared" si="1"/>
        <v>2.668833333</v>
      </c>
    </row>
    <row r="1006" ht="15.75" customHeight="1">
      <c r="B1006" s="370">
        <f t="shared" si="2"/>
        <v>0.116087963</v>
      </c>
      <c r="C1006" s="56">
        <f t="shared" si="3"/>
        <v>10030</v>
      </c>
      <c r="D1006" s="56">
        <v>2.56</v>
      </c>
      <c r="F1006" s="371">
        <v>1003.0</v>
      </c>
      <c r="G1006" s="372">
        <f t="shared" si="1"/>
        <v>3.1195</v>
      </c>
    </row>
    <row r="1007" ht="15.75" customHeight="1">
      <c r="B1007" s="370">
        <f t="shared" si="2"/>
        <v>0.1162037037</v>
      </c>
      <c r="C1007" s="56">
        <f t="shared" si="3"/>
        <v>10040</v>
      </c>
      <c r="D1007" s="56">
        <v>2.655</v>
      </c>
      <c r="F1007" s="371">
        <v>1004.0</v>
      </c>
      <c r="G1007" s="372">
        <f t="shared" si="1"/>
        <v>2.6885</v>
      </c>
    </row>
    <row r="1008" ht="15.75" customHeight="1">
      <c r="B1008" s="370">
        <f t="shared" si="2"/>
        <v>0.1163194444</v>
      </c>
      <c r="C1008" s="56">
        <f t="shared" si="3"/>
        <v>10050</v>
      </c>
      <c r="D1008" s="56">
        <v>2.73</v>
      </c>
      <c r="F1008" s="371">
        <v>1005.0</v>
      </c>
      <c r="G1008" s="372">
        <f t="shared" si="1"/>
        <v>3.043</v>
      </c>
    </row>
    <row r="1009" ht="15.75" customHeight="1">
      <c r="B1009" s="370">
        <f t="shared" si="2"/>
        <v>0.1164351852</v>
      </c>
      <c r="C1009" s="56">
        <f t="shared" si="3"/>
        <v>10060</v>
      </c>
      <c r="D1009" s="56">
        <v>2.712</v>
      </c>
      <c r="F1009" s="371">
        <v>1006.0</v>
      </c>
      <c r="G1009" s="372">
        <f t="shared" si="1"/>
        <v>2.935</v>
      </c>
    </row>
    <row r="1010" ht="15.75" customHeight="1">
      <c r="B1010" s="370">
        <f t="shared" si="2"/>
        <v>0.1165509259</v>
      </c>
      <c r="C1010" s="56">
        <f t="shared" si="3"/>
        <v>10070</v>
      </c>
      <c r="D1010" s="56">
        <v>2.694</v>
      </c>
      <c r="F1010" s="371">
        <v>1007.0</v>
      </c>
      <c r="G1010" s="372">
        <f t="shared" si="1"/>
        <v>2.728</v>
      </c>
    </row>
    <row r="1011" ht="15.75" customHeight="1">
      <c r="B1011" s="370">
        <f t="shared" si="2"/>
        <v>0.1166666667</v>
      </c>
      <c r="C1011" s="56">
        <f t="shared" si="3"/>
        <v>10080</v>
      </c>
      <c r="D1011" s="56">
        <v>2.522</v>
      </c>
      <c r="F1011" s="371">
        <v>1008.0</v>
      </c>
      <c r="G1011" s="372">
        <f t="shared" si="1"/>
        <v>3.04</v>
      </c>
    </row>
    <row r="1012" ht="15.75" customHeight="1">
      <c r="B1012" s="370">
        <f t="shared" si="2"/>
        <v>0.1167824074</v>
      </c>
      <c r="C1012" s="56">
        <f t="shared" si="3"/>
        <v>10090</v>
      </c>
      <c r="D1012" s="56">
        <v>2.884</v>
      </c>
      <c r="F1012" s="371">
        <v>1009.0</v>
      </c>
      <c r="G1012" s="372">
        <f t="shared" si="1"/>
        <v>2.647833333</v>
      </c>
    </row>
    <row r="1013" ht="15.75" customHeight="1">
      <c r="B1013" s="370">
        <f t="shared" si="2"/>
        <v>0.1168981481</v>
      </c>
      <c r="C1013" s="56">
        <f t="shared" si="3"/>
        <v>10100</v>
      </c>
      <c r="D1013" s="56">
        <v>3.288</v>
      </c>
      <c r="F1013" s="371">
        <v>1010.0</v>
      </c>
      <c r="G1013" s="372">
        <f t="shared" si="1"/>
        <v>2.986333333</v>
      </c>
    </row>
    <row r="1014" ht="15.75" customHeight="1">
      <c r="B1014" s="370">
        <f t="shared" si="2"/>
        <v>0.1170138889</v>
      </c>
      <c r="C1014" s="56">
        <f t="shared" si="3"/>
        <v>10110</v>
      </c>
      <c r="D1014" s="56">
        <v>3.351</v>
      </c>
      <c r="F1014" s="371">
        <v>1011.0</v>
      </c>
      <c r="G1014" s="372">
        <f t="shared" si="1"/>
        <v>2.870666667</v>
      </c>
    </row>
    <row r="1015" ht="15.75" customHeight="1">
      <c r="B1015" s="370">
        <f t="shared" si="2"/>
        <v>0.1171296296</v>
      </c>
      <c r="C1015" s="56">
        <f t="shared" si="3"/>
        <v>10120</v>
      </c>
      <c r="D1015" s="56">
        <v>3.42</v>
      </c>
      <c r="F1015" s="371">
        <v>1012.0</v>
      </c>
      <c r="G1015" s="372">
        <f t="shared" si="1"/>
        <v>2.680333333</v>
      </c>
    </row>
    <row r="1016" ht="15.75" customHeight="1">
      <c r="B1016" s="370">
        <f t="shared" si="2"/>
        <v>0.1172453704</v>
      </c>
      <c r="C1016" s="56">
        <f t="shared" si="3"/>
        <v>10130</v>
      </c>
      <c r="D1016" s="56">
        <v>3.23</v>
      </c>
      <c r="F1016" s="371">
        <v>1013.0</v>
      </c>
      <c r="G1016" s="372">
        <f t="shared" si="1"/>
        <v>3.254833333</v>
      </c>
    </row>
    <row r="1017" ht="15.75" customHeight="1">
      <c r="B1017" s="370">
        <f t="shared" si="2"/>
        <v>0.1173611111</v>
      </c>
      <c r="C1017" s="56">
        <f t="shared" si="3"/>
        <v>10140</v>
      </c>
      <c r="D1017" s="56">
        <v>2.692</v>
      </c>
      <c r="F1017" s="371">
        <v>1014.0</v>
      </c>
      <c r="G1017" s="372">
        <f t="shared" si="1"/>
        <v>2.642333333</v>
      </c>
    </row>
    <row r="1018" ht="15.75" customHeight="1">
      <c r="B1018" s="370">
        <f t="shared" si="2"/>
        <v>0.1174768519</v>
      </c>
      <c r="C1018" s="56">
        <f t="shared" si="3"/>
        <v>10150</v>
      </c>
      <c r="D1018" s="56">
        <v>2.261</v>
      </c>
      <c r="F1018" s="371">
        <v>1015.0</v>
      </c>
      <c r="G1018" s="372">
        <f t="shared" si="1"/>
        <v>2.904333333</v>
      </c>
    </row>
    <row r="1019" ht="15.75" customHeight="1">
      <c r="B1019" s="370">
        <f t="shared" si="2"/>
        <v>0.1175925926</v>
      </c>
      <c r="C1019" s="56">
        <f t="shared" si="3"/>
        <v>10160</v>
      </c>
      <c r="D1019" s="56">
        <v>1.932</v>
      </c>
      <c r="F1019" s="371">
        <v>1016.0</v>
      </c>
      <c r="G1019" s="372">
        <f t="shared" si="1"/>
        <v>2.931666667</v>
      </c>
    </row>
    <row r="1020" ht="15.75" customHeight="1">
      <c r="B1020" s="370">
        <f t="shared" si="2"/>
        <v>0.1177083333</v>
      </c>
      <c r="C1020" s="56">
        <f t="shared" si="3"/>
        <v>10170</v>
      </c>
      <c r="D1020" s="56">
        <v>2.453</v>
      </c>
      <c r="F1020" s="371">
        <v>1017.0</v>
      </c>
      <c r="G1020" s="372">
        <f t="shared" si="1"/>
        <v>2.700666667</v>
      </c>
    </row>
    <row r="1021" ht="15.75" customHeight="1">
      <c r="B1021" s="370">
        <f t="shared" si="2"/>
        <v>0.1178240741</v>
      </c>
      <c r="C1021" s="56">
        <f t="shared" si="3"/>
        <v>10180</v>
      </c>
      <c r="D1021" s="56">
        <v>2.99</v>
      </c>
      <c r="F1021" s="371">
        <v>1018.0</v>
      </c>
      <c r="G1021" s="372">
        <f t="shared" si="1"/>
        <v>3.003333333</v>
      </c>
    </row>
    <row r="1022" ht="15.75" customHeight="1">
      <c r="B1022" s="370">
        <f t="shared" si="2"/>
        <v>0.1179398148</v>
      </c>
      <c r="C1022" s="56">
        <f t="shared" si="3"/>
        <v>10190</v>
      </c>
      <c r="D1022" s="56">
        <v>3.442</v>
      </c>
      <c r="F1022" s="371">
        <v>1019.0</v>
      </c>
      <c r="G1022" s="372">
        <f t="shared" si="1"/>
        <v>2.683833333</v>
      </c>
    </row>
    <row r="1023" ht="15.75" customHeight="1">
      <c r="B1023" s="370">
        <f t="shared" si="2"/>
        <v>0.1180555556</v>
      </c>
      <c r="C1023" s="56">
        <f t="shared" si="3"/>
        <v>10200</v>
      </c>
      <c r="D1023" s="56">
        <v>3.438</v>
      </c>
      <c r="F1023" s="371">
        <v>1020.0</v>
      </c>
      <c r="G1023" s="372">
        <f t="shared" si="1"/>
        <v>3.0105</v>
      </c>
    </row>
    <row r="1024" ht="15.75" customHeight="1">
      <c r="B1024" s="370">
        <f t="shared" si="2"/>
        <v>0.1181712963</v>
      </c>
      <c r="C1024" s="56">
        <f t="shared" si="3"/>
        <v>10210</v>
      </c>
      <c r="D1024" s="56">
        <v>3.389</v>
      </c>
      <c r="F1024" s="371">
        <v>1021.0</v>
      </c>
      <c r="G1024" s="372">
        <f t="shared" si="1"/>
        <v>2.9585</v>
      </c>
    </row>
    <row r="1025" ht="15.75" customHeight="1">
      <c r="B1025" s="370">
        <f t="shared" si="2"/>
        <v>0.118287037</v>
      </c>
      <c r="C1025" s="56">
        <f t="shared" si="3"/>
        <v>10220</v>
      </c>
      <c r="D1025" s="56">
        <v>3.216</v>
      </c>
      <c r="F1025" s="371">
        <v>1022.0</v>
      </c>
      <c r="G1025" s="372">
        <f t="shared" si="1"/>
        <v>2.726666667</v>
      </c>
    </row>
    <row r="1026" ht="15.75" customHeight="1">
      <c r="B1026" s="370">
        <f t="shared" si="2"/>
        <v>0.1184027778</v>
      </c>
      <c r="C1026" s="56">
        <f t="shared" si="3"/>
        <v>10230</v>
      </c>
      <c r="D1026" s="56">
        <v>2.419</v>
      </c>
      <c r="F1026" s="371">
        <v>1023.0</v>
      </c>
      <c r="G1026" s="372">
        <f t="shared" si="1"/>
        <v>3.147</v>
      </c>
    </row>
    <row r="1027" ht="15.75" customHeight="1">
      <c r="B1027" s="370">
        <f t="shared" si="2"/>
        <v>0.1185185185</v>
      </c>
      <c r="C1027" s="56">
        <f t="shared" si="3"/>
        <v>10240</v>
      </c>
      <c r="D1027" s="56">
        <v>2.515</v>
      </c>
      <c r="F1027" s="371">
        <v>1024.0</v>
      </c>
      <c r="G1027" s="372">
        <f t="shared" si="1"/>
        <v>2.627666667</v>
      </c>
    </row>
    <row r="1028" ht="15.75" customHeight="1">
      <c r="B1028" s="370">
        <f t="shared" si="2"/>
        <v>0.1186342593</v>
      </c>
      <c r="C1028" s="56">
        <f t="shared" si="3"/>
        <v>10250</v>
      </c>
      <c r="D1028" s="56">
        <v>2.674</v>
      </c>
      <c r="F1028" s="371">
        <v>1025.0</v>
      </c>
      <c r="G1028" s="372">
        <f t="shared" si="1"/>
        <v>2.938833333</v>
      </c>
    </row>
    <row r="1029" ht="15.75" customHeight="1">
      <c r="B1029" s="370">
        <f t="shared" si="2"/>
        <v>0.11875</v>
      </c>
      <c r="C1029" s="56">
        <f t="shared" si="3"/>
        <v>10260</v>
      </c>
      <c r="D1029" s="56">
        <v>2.718</v>
      </c>
      <c r="F1029" s="371">
        <v>1026.0</v>
      </c>
      <c r="G1029" s="372">
        <f t="shared" si="1"/>
        <v>2.91</v>
      </c>
    </row>
    <row r="1030" ht="15.75" customHeight="1">
      <c r="B1030" s="370">
        <f t="shared" si="2"/>
        <v>0.1188657407</v>
      </c>
      <c r="C1030" s="56">
        <f t="shared" si="3"/>
        <v>10270</v>
      </c>
      <c r="D1030" s="56">
        <v>2.775</v>
      </c>
      <c r="F1030" s="371">
        <v>1027.0</v>
      </c>
      <c r="G1030" s="372">
        <f t="shared" si="1"/>
        <v>2.666666667</v>
      </c>
    </row>
    <row r="1031" ht="15.75" customHeight="1">
      <c r="B1031" s="370">
        <f t="shared" si="2"/>
        <v>0.1189814815</v>
      </c>
      <c r="C1031" s="56">
        <f t="shared" si="3"/>
        <v>10280</v>
      </c>
      <c r="D1031" s="56">
        <v>2.641</v>
      </c>
      <c r="F1031" s="371">
        <v>1028.0</v>
      </c>
      <c r="G1031" s="372">
        <f t="shared" si="1"/>
        <v>3.144333333</v>
      </c>
    </row>
    <row r="1032" ht="15.75" customHeight="1">
      <c r="B1032" s="370">
        <f t="shared" si="2"/>
        <v>0.1190972222</v>
      </c>
      <c r="C1032" s="56">
        <f t="shared" si="3"/>
        <v>10290</v>
      </c>
      <c r="D1032" s="56">
        <v>2.723</v>
      </c>
      <c r="F1032" s="371">
        <v>1029.0</v>
      </c>
      <c r="G1032" s="372">
        <f t="shared" si="1"/>
        <v>2.677833333</v>
      </c>
    </row>
    <row r="1033" ht="15.75" customHeight="1">
      <c r="B1033" s="370">
        <f t="shared" si="2"/>
        <v>0.119212963</v>
      </c>
      <c r="C1033" s="56">
        <f t="shared" si="3"/>
        <v>10300</v>
      </c>
      <c r="D1033" s="56">
        <v>3.122</v>
      </c>
      <c r="F1033" s="371">
        <v>1030.0</v>
      </c>
      <c r="G1033" s="372">
        <f t="shared" si="1"/>
        <v>3.0315</v>
      </c>
    </row>
    <row r="1034" ht="15.75" customHeight="1">
      <c r="B1034" s="370">
        <f t="shared" si="2"/>
        <v>0.1193287037</v>
      </c>
      <c r="C1034" s="56">
        <f t="shared" si="3"/>
        <v>10310</v>
      </c>
      <c r="D1034" s="56">
        <v>3.237</v>
      </c>
      <c r="F1034" s="371">
        <v>1031.0</v>
      </c>
      <c r="G1034" s="372">
        <f t="shared" si="1"/>
        <v>2.938166667</v>
      </c>
    </row>
    <row r="1035" ht="15.75" customHeight="1">
      <c r="B1035" s="370">
        <f t="shared" si="2"/>
        <v>0.1194444444</v>
      </c>
      <c r="C1035" s="56">
        <f t="shared" si="3"/>
        <v>10320</v>
      </c>
      <c r="D1035" s="56">
        <v>3.341</v>
      </c>
      <c r="F1035" s="371">
        <v>1032.0</v>
      </c>
      <c r="G1035" s="372">
        <f t="shared" si="1"/>
        <v>2.731833333</v>
      </c>
    </row>
    <row r="1036" ht="15.75" customHeight="1">
      <c r="B1036" s="370">
        <f t="shared" si="2"/>
        <v>0.1195601852</v>
      </c>
      <c r="C1036" s="56">
        <f t="shared" si="3"/>
        <v>10330</v>
      </c>
      <c r="D1036" s="56">
        <v>3.221</v>
      </c>
      <c r="F1036" s="371">
        <v>1033.0</v>
      </c>
      <c r="G1036" s="372">
        <f t="shared" si="1"/>
        <v>3.022</v>
      </c>
    </row>
    <row r="1037" ht="15.75" customHeight="1">
      <c r="B1037" s="370">
        <f t="shared" si="2"/>
        <v>0.1196759259</v>
      </c>
      <c r="C1037" s="56">
        <f t="shared" si="3"/>
        <v>10340</v>
      </c>
      <c r="D1037" s="56">
        <v>2.797</v>
      </c>
      <c r="F1037" s="371">
        <v>1034.0</v>
      </c>
      <c r="G1037" s="372">
        <f t="shared" si="1"/>
        <v>2.647333333</v>
      </c>
    </row>
    <row r="1038" ht="15.75" customHeight="1">
      <c r="B1038" s="370">
        <f t="shared" si="2"/>
        <v>0.1197916667</v>
      </c>
      <c r="C1038" s="56">
        <f t="shared" si="3"/>
        <v>10350</v>
      </c>
      <c r="D1038" s="56">
        <v>2.43</v>
      </c>
      <c r="F1038" s="371">
        <v>1035.0</v>
      </c>
      <c r="G1038" s="372">
        <f t="shared" si="1"/>
        <v>2.986166667</v>
      </c>
    </row>
    <row r="1039" ht="15.75" customHeight="1">
      <c r="B1039" s="370">
        <f t="shared" si="2"/>
        <v>0.1199074074</v>
      </c>
      <c r="C1039" s="56">
        <f t="shared" si="3"/>
        <v>10360</v>
      </c>
      <c r="D1039" s="56">
        <v>2.076</v>
      </c>
      <c r="F1039" s="371">
        <v>1036.0</v>
      </c>
      <c r="G1039" s="372">
        <f t="shared" si="1"/>
        <v>2.8685</v>
      </c>
    </row>
    <row r="1040" ht="15.75" customHeight="1">
      <c r="B1040" s="370">
        <f t="shared" si="2"/>
        <v>0.1200231481</v>
      </c>
      <c r="C1040" s="56">
        <f t="shared" si="3"/>
        <v>10370</v>
      </c>
      <c r="D1040" s="56">
        <v>2.253</v>
      </c>
      <c r="F1040" s="371">
        <v>1037.0</v>
      </c>
      <c r="G1040" s="372">
        <f t="shared" si="1"/>
        <v>2.693333333</v>
      </c>
    </row>
    <row r="1041" ht="15.75" customHeight="1">
      <c r="B1041" s="370">
        <f t="shared" si="2"/>
        <v>0.1201388889</v>
      </c>
      <c r="C1041" s="56">
        <f t="shared" si="3"/>
        <v>10380</v>
      </c>
      <c r="D1041" s="56">
        <v>2.901</v>
      </c>
      <c r="F1041" s="371">
        <v>1038.0</v>
      </c>
      <c r="G1041" s="372">
        <f t="shared" si="1"/>
        <v>3.252666667</v>
      </c>
    </row>
    <row r="1042" ht="15.75" customHeight="1">
      <c r="B1042" s="370">
        <f t="shared" si="2"/>
        <v>0.1202546296</v>
      </c>
      <c r="C1042" s="56">
        <f t="shared" si="3"/>
        <v>10390</v>
      </c>
      <c r="D1042" s="56">
        <v>3.449</v>
      </c>
      <c r="F1042" s="371">
        <v>1039.0</v>
      </c>
      <c r="G1042" s="372">
        <f t="shared" si="1"/>
        <v>2.638333333</v>
      </c>
    </row>
    <row r="1043" ht="15.75" customHeight="1">
      <c r="B1043" s="370">
        <f t="shared" si="2"/>
        <v>0.1203703704</v>
      </c>
      <c r="C1043" s="56">
        <f t="shared" si="3"/>
        <v>10400</v>
      </c>
      <c r="D1043" s="56">
        <v>3.494</v>
      </c>
      <c r="F1043" s="371">
        <v>1040.0</v>
      </c>
      <c r="G1043" s="372">
        <f t="shared" si="1"/>
        <v>2.897</v>
      </c>
    </row>
    <row r="1044" ht="15.75" customHeight="1">
      <c r="B1044" s="370">
        <f t="shared" si="2"/>
        <v>0.1204861111</v>
      </c>
      <c r="C1044" s="56">
        <f t="shared" si="3"/>
        <v>10410</v>
      </c>
      <c r="D1044" s="56">
        <v>3.459</v>
      </c>
      <c r="F1044" s="371">
        <v>1041.0</v>
      </c>
      <c r="G1044" s="372">
        <f t="shared" si="1"/>
        <v>2.928</v>
      </c>
    </row>
    <row r="1045" ht="15.75" customHeight="1">
      <c r="B1045" s="370">
        <f t="shared" si="2"/>
        <v>0.1206018519</v>
      </c>
      <c r="C1045" s="56">
        <f t="shared" si="3"/>
        <v>10420</v>
      </c>
      <c r="D1045" s="56">
        <v>3.323</v>
      </c>
      <c r="F1045" s="371">
        <v>1042.0</v>
      </c>
      <c r="G1045" s="372">
        <f t="shared" si="1"/>
        <v>2.6955</v>
      </c>
    </row>
    <row r="1046" ht="15.75" customHeight="1">
      <c r="B1046" s="370">
        <f t="shared" si="2"/>
        <v>0.1207175926</v>
      </c>
      <c r="C1046" s="56">
        <f t="shared" si="3"/>
        <v>10430</v>
      </c>
      <c r="D1046" s="56">
        <v>2.673</v>
      </c>
      <c r="F1046" s="371">
        <v>1043.0</v>
      </c>
      <c r="G1046" s="372">
        <f t="shared" si="1"/>
        <v>3.029666667</v>
      </c>
    </row>
    <row r="1047" ht="15.75" customHeight="1">
      <c r="B1047" s="370">
        <f t="shared" si="2"/>
        <v>0.1208333333</v>
      </c>
      <c r="C1047" s="56">
        <f t="shared" si="3"/>
        <v>10440</v>
      </c>
      <c r="D1047" s="56">
        <v>2.279</v>
      </c>
      <c r="F1047" s="371">
        <v>1044.0</v>
      </c>
      <c r="G1047" s="372">
        <f t="shared" si="1"/>
        <v>2.672166667</v>
      </c>
    </row>
    <row r="1048" ht="15.75" customHeight="1">
      <c r="B1048" s="370">
        <f t="shared" si="2"/>
        <v>0.1209490741</v>
      </c>
      <c r="C1048" s="56">
        <f t="shared" si="3"/>
        <v>10450</v>
      </c>
      <c r="D1048" s="56">
        <v>2.58</v>
      </c>
      <c r="F1048" s="371">
        <v>1045.0</v>
      </c>
      <c r="G1048" s="372">
        <f t="shared" si="1"/>
        <v>3.007</v>
      </c>
    </row>
    <row r="1049" ht="15.75" customHeight="1">
      <c r="B1049" s="370">
        <f t="shared" si="2"/>
        <v>0.1210648148</v>
      </c>
      <c r="C1049" s="56">
        <f t="shared" si="3"/>
        <v>10460</v>
      </c>
      <c r="D1049" s="56">
        <v>2.692</v>
      </c>
      <c r="F1049" s="371">
        <v>1046.0</v>
      </c>
      <c r="G1049" s="372">
        <f t="shared" si="1"/>
        <v>2.966166667</v>
      </c>
    </row>
    <row r="1050" ht="15.75" customHeight="1">
      <c r="B1050" s="370">
        <f t="shared" si="2"/>
        <v>0.1211805556</v>
      </c>
      <c r="C1050" s="56">
        <f t="shared" si="3"/>
        <v>10470</v>
      </c>
      <c r="D1050" s="56">
        <v>2.823</v>
      </c>
      <c r="F1050" s="371">
        <v>1047.0</v>
      </c>
      <c r="G1050" s="372">
        <f t="shared" si="1"/>
        <v>2.730333333</v>
      </c>
    </row>
    <row r="1051" ht="15.75" customHeight="1">
      <c r="B1051" s="370">
        <f t="shared" si="2"/>
        <v>0.1212962963</v>
      </c>
      <c r="C1051" s="56">
        <f t="shared" si="3"/>
        <v>10480</v>
      </c>
      <c r="D1051" s="56">
        <v>2.835</v>
      </c>
      <c r="F1051" s="371">
        <v>1048.0</v>
      </c>
      <c r="G1051" s="372">
        <f t="shared" si="1"/>
        <v>3.137833333</v>
      </c>
    </row>
    <row r="1052" ht="15.75" customHeight="1">
      <c r="B1052" s="370">
        <f t="shared" si="2"/>
        <v>0.121412037</v>
      </c>
      <c r="C1052" s="56">
        <f t="shared" si="3"/>
        <v>10490</v>
      </c>
      <c r="D1052" s="56">
        <v>2.788</v>
      </c>
      <c r="F1052" s="371">
        <v>1049.0</v>
      </c>
      <c r="G1052" s="372">
        <f t="shared" si="1"/>
        <v>2.629666667</v>
      </c>
    </row>
    <row r="1053" ht="15.75" customHeight="1">
      <c r="B1053" s="370">
        <f t="shared" si="2"/>
        <v>0.1215277778</v>
      </c>
      <c r="C1053" s="56">
        <f t="shared" si="3"/>
        <v>10500</v>
      </c>
      <c r="D1053" s="56">
        <v>3.005</v>
      </c>
      <c r="F1053" s="371">
        <v>1050.0</v>
      </c>
      <c r="G1053" s="372">
        <f t="shared" si="1"/>
        <v>2.940666667</v>
      </c>
    </row>
    <row r="1054" ht="15.75" customHeight="1">
      <c r="B1054" s="370">
        <f t="shared" si="2"/>
        <v>0.1216435185</v>
      </c>
      <c r="C1054" s="56">
        <f t="shared" si="3"/>
        <v>10510</v>
      </c>
      <c r="D1054" s="56">
        <v>3.083</v>
      </c>
      <c r="F1054" s="371">
        <v>1051.0</v>
      </c>
      <c r="G1054" s="372">
        <f t="shared" si="1"/>
        <v>2.355333333</v>
      </c>
    </row>
    <row r="1055" ht="15.75" customHeight="1">
      <c r="B1055" s="370">
        <f t="shared" si="2"/>
        <v>0.1217592593</v>
      </c>
      <c r="C1055" s="56">
        <f t="shared" si="3"/>
        <v>10520</v>
      </c>
      <c r="D1055" s="56">
        <v>3.218</v>
      </c>
      <c r="F1055" s="371">
        <v>1052.0</v>
      </c>
      <c r="G1055" s="372">
        <f t="shared" si="1"/>
        <v>0</v>
      </c>
    </row>
    <row r="1056" ht="15.75" customHeight="1">
      <c r="B1056" s="370">
        <f t="shared" si="2"/>
        <v>0.121875</v>
      </c>
      <c r="C1056" s="56">
        <f t="shared" si="3"/>
        <v>10530</v>
      </c>
      <c r="D1056" s="56">
        <v>3.176</v>
      </c>
      <c r="F1056" s="371">
        <v>1053.0</v>
      </c>
      <c r="G1056" s="372">
        <f t="shared" si="1"/>
        <v>0</v>
      </c>
    </row>
    <row r="1057" ht="15.75" customHeight="1">
      <c r="B1057" s="370">
        <f t="shared" si="2"/>
        <v>0.1219907407</v>
      </c>
      <c r="C1057" s="56">
        <f t="shared" si="3"/>
        <v>10540</v>
      </c>
      <c r="D1057" s="56">
        <v>2.852</v>
      </c>
      <c r="F1057" s="371">
        <v>1054.0</v>
      </c>
      <c r="G1057" s="372">
        <f t="shared" si="1"/>
        <v>0</v>
      </c>
    </row>
    <row r="1058" ht="15.75" customHeight="1">
      <c r="B1058" s="370">
        <f t="shared" si="2"/>
        <v>0.1221064815</v>
      </c>
      <c r="C1058" s="56">
        <f t="shared" si="3"/>
        <v>10550</v>
      </c>
      <c r="D1058" s="56">
        <v>2.557</v>
      </c>
      <c r="F1058" s="371">
        <v>1055.0</v>
      </c>
      <c r="G1058" s="372">
        <f t="shared" si="1"/>
        <v>0</v>
      </c>
    </row>
    <row r="1059" ht="15.75" customHeight="1">
      <c r="B1059" s="370">
        <f t="shared" si="2"/>
        <v>0.1222222222</v>
      </c>
      <c r="C1059" s="56">
        <f t="shared" si="3"/>
        <v>10560</v>
      </c>
      <c r="D1059" s="56">
        <v>2.207</v>
      </c>
      <c r="F1059" s="371">
        <v>1056.0</v>
      </c>
      <c r="G1059" s="372">
        <f t="shared" si="1"/>
        <v>0</v>
      </c>
    </row>
    <row r="1060" ht="15.75" customHeight="1">
      <c r="B1060" s="370">
        <f t="shared" si="2"/>
        <v>0.122337963</v>
      </c>
      <c r="C1060" s="56">
        <f t="shared" si="3"/>
        <v>10570</v>
      </c>
      <c r="D1060" s="56">
        <v>2.072</v>
      </c>
      <c r="F1060" s="371">
        <v>1057.0</v>
      </c>
      <c r="G1060" s="372">
        <f t="shared" si="1"/>
        <v>0</v>
      </c>
    </row>
    <row r="1061" ht="15.75" customHeight="1">
      <c r="B1061" s="370">
        <f t="shared" si="2"/>
        <v>0.1224537037</v>
      </c>
      <c r="C1061" s="56">
        <f t="shared" si="3"/>
        <v>10580</v>
      </c>
      <c r="D1061" s="56">
        <v>2.765</v>
      </c>
      <c r="F1061" s="371">
        <v>1058.0</v>
      </c>
      <c r="G1061" s="372">
        <f t="shared" si="1"/>
        <v>0</v>
      </c>
    </row>
    <row r="1062" ht="15.75" customHeight="1">
      <c r="B1062" s="370">
        <f t="shared" si="2"/>
        <v>0.1225694444</v>
      </c>
      <c r="C1062" s="56">
        <f t="shared" si="3"/>
        <v>10590</v>
      </c>
      <c r="D1062" s="56">
        <v>3.418</v>
      </c>
      <c r="F1062" s="371">
        <v>1059.0</v>
      </c>
      <c r="G1062" s="372">
        <f t="shared" si="1"/>
        <v>0</v>
      </c>
    </row>
    <row r="1063" ht="15.75" customHeight="1">
      <c r="B1063" s="370">
        <f t="shared" si="2"/>
        <v>0.1226851852</v>
      </c>
      <c r="C1063" s="56">
        <f t="shared" si="3"/>
        <v>10600</v>
      </c>
      <c r="D1063" s="56">
        <v>3.519</v>
      </c>
      <c r="F1063" s="371">
        <v>1060.0</v>
      </c>
      <c r="G1063" s="372">
        <f t="shared" si="1"/>
        <v>0</v>
      </c>
    </row>
    <row r="1064" ht="15.75" customHeight="1">
      <c r="B1064" s="370">
        <f t="shared" si="2"/>
        <v>0.1228009259</v>
      </c>
      <c r="C1064" s="56">
        <f t="shared" si="3"/>
        <v>10610</v>
      </c>
      <c r="D1064" s="56">
        <v>3.504</v>
      </c>
      <c r="F1064" s="371">
        <v>1061.0</v>
      </c>
      <c r="G1064" s="372">
        <f t="shared" si="1"/>
        <v>0</v>
      </c>
    </row>
    <row r="1065" ht="15.75" customHeight="1">
      <c r="B1065" s="370">
        <f t="shared" si="2"/>
        <v>0.1229166667</v>
      </c>
      <c r="C1065" s="56">
        <f t="shared" si="3"/>
        <v>10620</v>
      </c>
      <c r="D1065" s="56">
        <v>3.425</v>
      </c>
      <c r="F1065" s="371">
        <v>1062.0</v>
      </c>
      <c r="G1065" s="372">
        <f t="shared" si="1"/>
        <v>0</v>
      </c>
    </row>
    <row r="1066" ht="15.75" customHeight="1">
      <c r="B1066" s="370">
        <f t="shared" si="2"/>
        <v>0.1230324074</v>
      </c>
      <c r="C1066" s="56">
        <f t="shared" si="3"/>
        <v>10630</v>
      </c>
      <c r="D1066" s="56">
        <v>2.851</v>
      </c>
      <c r="F1066" s="371">
        <v>1063.0</v>
      </c>
      <c r="G1066" s="372">
        <f t="shared" si="1"/>
        <v>0</v>
      </c>
    </row>
    <row r="1067" ht="15.75" customHeight="1">
      <c r="B1067" s="370">
        <f t="shared" si="2"/>
        <v>0.1231481481</v>
      </c>
      <c r="C1067" s="56">
        <f t="shared" si="3"/>
        <v>10640</v>
      </c>
      <c r="D1067" s="56">
        <v>2.138</v>
      </c>
      <c r="F1067" s="371">
        <v>1064.0</v>
      </c>
      <c r="G1067" s="372">
        <f t="shared" si="1"/>
        <v>0</v>
      </c>
    </row>
    <row r="1068" ht="15.75" customHeight="1">
      <c r="B1068" s="370">
        <f t="shared" si="2"/>
        <v>0.1232638889</v>
      </c>
      <c r="C1068" s="56">
        <f t="shared" si="3"/>
        <v>10650</v>
      </c>
      <c r="D1068" s="56">
        <v>2.461</v>
      </c>
      <c r="F1068" s="371">
        <v>1065.0</v>
      </c>
      <c r="G1068" s="372">
        <f t="shared" si="1"/>
        <v>0</v>
      </c>
    </row>
    <row r="1069" ht="15.75" customHeight="1">
      <c r="B1069" s="370">
        <f t="shared" si="2"/>
        <v>0.1233796296</v>
      </c>
      <c r="C1069" s="56">
        <f t="shared" si="3"/>
        <v>10660</v>
      </c>
      <c r="D1069" s="56">
        <v>2.63</v>
      </c>
      <c r="F1069" s="371">
        <v>1066.0</v>
      </c>
      <c r="G1069" s="372">
        <f t="shared" si="1"/>
        <v>0</v>
      </c>
    </row>
    <row r="1070" ht="15.75" customHeight="1">
      <c r="B1070" s="370">
        <f t="shared" si="2"/>
        <v>0.1234953704</v>
      </c>
      <c r="C1070" s="56">
        <f t="shared" si="3"/>
        <v>10670</v>
      </c>
      <c r="D1070" s="56">
        <v>2.836</v>
      </c>
      <c r="F1070" s="371">
        <v>1067.0</v>
      </c>
      <c r="G1070" s="372">
        <f t="shared" si="1"/>
        <v>0</v>
      </c>
    </row>
    <row r="1071" ht="15.75" customHeight="1">
      <c r="B1071" s="370">
        <f t="shared" si="2"/>
        <v>0.1236111111</v>
      </c>
      <c r="C1071" s="56">
        <f t="shared" si="3"/>
        <v>10680</v>
      </c>
      <c r="D1071" s="56">
        <v>2.944</v>
      </c>
      <c r="F1071" s="371">
        <v>1068.0</v>
      </c>
      <c r="G1071" s="372">
        <f t="shared" si="1"/>
        <v>0</v>
      </c>
    </row>
    <row r="1072" ht="15.75" customHeight="1">
      <c r="B1072" s="370">
        <f t="shared" si="2"/>
        <v>0.1237268519</v>
      </c>
      <c r="C1072" s="56">
        <f t="shared" si="3"/>
        <v>10690</v>
      </c>
      <c r="D1072" s="56">
        <v>3.001</v>
      </c>
      <c r="F1072" s="371">
        <v>1069.0</v>
      </c>
      <c r="G1072" s="372">
        <f t="shared" si="1"/>
        <v>0</v>
      </c>
    </row>
    <row r="1073" ht="15.75" customHeight="1">
      <c r="B1073" s="370">
        <f t="shared" si="2"/>
        <v>0.1238425926</v>
      </c>
      <c r="C1073" s="56">
        <f t="shared" si="3"/>
        <v>10700</v>
      </c>
      <c r="D1073" s="56">
        <v>2.856</v>
      </c>
      <c r="F1073" s="371">
        <v>1070.0</v>
      </c>
      <c r="G1073" s="372">
        <f t="shared" si="1"/>
        <v>0</v>
      </c>
    </row>
    <row r="1074" ht="15.75" customHeight="1">
      <c r="B1074" s="370">
        <f t="shared" si="2"/>
        <v>0.1239583333</v>
      </c>
      <c r="C1074" s="56">
        <f t="shared" si="3"/>
        <v>10710</v>
      </c>
      <c r="D1074" s="56">
        <v>2.949</v>
      </c>
      <c r="F1074" s="371">
        <v>1071.0</v>
      </c>
      <c r="G1074" s="372">
        <f t="shared" si="1"/>
        <v>0</v>
      </c>
    </row>
    <row r="1075" ht="15.75" customHeight="1">
      <c r="B1075" s="370">
        <f t="shared" si="2"/>
        <v>0.1240740741</v>
      </c>
      <c r="C1075" s="56">
        <f t="shared" si="3"/>
        <v>10720</v>
      </c>
      <c r="D1075" s="56">
        <v>3.029</v>
      </c>
      <c r="F1075" s="371">
        <v>1072.0</v>
      </c>
      <c r="G1075" s="372">
        <f t="shared" si="1"/>
        <v>0</v>
      </c>
    </row>
    <row r="1076" ht="15.75" customHeight="1">
      <c r="B1076" s="370">
        <f t="shared" si="2"/>
        <v>0.1241898148</v>
      </c>
      <c r="C1076" s="56">
        <f t="shared" si="3"/>
        <v>10730</v>
      </c>
      <c r="D1076" s="56">
        <v>3.092</v>
      </c>
      <c r="F1076" s="371">
        <v>1073.0</v>
      </c>
      <c r="G1076" s="372">
        <f t="shared" si="1"/>
        <v>0</v>
      </c>
    </row>
    <row r="1077" ht="15.75" customHeight="1">
      <c r="B1077" s="370">
        <f t="shared" si="2"/>
        <v>0.1243055556</v>
      </c>
      <c r="C1077" s="56">
        <f t="shared" si="3"/>
        <v>10740</v>
      </c>
      <c r="D1077" s="56">
        <v>2.87</v>
      </c>
      <c r="F1077" s="371">
        <v>1074.0</v>
      </c>
      <c r="G1077" s="372">
        <f t="shared" si="1"/>
        <v>0</v>
      </c>
    </row>
    <row r="1078" ht="15.75" customHeight="1">
      <c r="B1078" s="370">
        <f t="shared" si="2"/>
        <v>0.1244212963</v>
      </c>
      <c r="C1078" s="56">
        <f t="shared" si="3"/>
        <v>10750</v>
      </c>
      <c r="D1078" s="56">
        <v>2.657</v>
      </c>
      <c r="F1078" s="371">
        <v>1075.0</v>
      </c>
      <c r="G1078" s="372">
        <f t="shared" si="1"/>
        <v>0</v>
      </c>
    </row>
    <row r="1079" ht="15.75" customHeight="1">
      <c r="B1079" s="370">
        <f t="shared" si="2"/>
        <v>0.124537037</v>
      </c>
      <c r="C1079" s="56">
        <f t="shared" si="3"/>
        <v>10760</v>
      </c>
      <c r="D1079" s="56">
        <v>2.426</v>
      </c>
      <c r="F1079" s="371">
        <v>1076.0</v>
      </c>
      <c r="G1079" s="372">
        <f t="shared" si="1"/>
        <v>0</v>
      </c>
    </row>
    <row r="1080" ht="15.75" customHeight="1">
      <c r="B1080" s="370">
        <f t="shared" si="2"/>
        <v>0.1246527778</v>
      </c>
      <c r="C1080" s="56">
        <f t="shared" si="3"/>
        <v>10770</v>
      </c>
      <c r="D1080" s="56">
        <v>2.111</v>
      </c>
      <c r="F1080" s="371">
        <v>1077.0</v>
      </c>
      <c r="G1080" s="372">
        <f t="shared" si="1"/>
        <v>0</v>
      </c>
    </row>
    <row r="1081" ht="15.75" customHeight="1">
      <c r="B1081" s="370">
        <f t="shared" si="2"/>
        <v>0.1247685185</v>
      </c>
      <c r="C1081" s="56">
        <f t="shared" si="3"/>
        <v>10780</v>
      </c>
      <c r="D1081" s="56">
        <v>2.625</v>
      </c>
      <c r="F1081" s="371">
        <v>1078.0</v>
      </c>
      <c r="G1081" s="372">
        <f t="shared" si="1"/>
        <v>0</v>
      </c>
    </row>
    <row r="1082" ht="15.75" customHeight="1">
      <c r="B1082" s="370">
        <f t="shared" si="2"/>
        <v>0.1248842593</v>
      </c>
      <c r="C1082" s="56">
        <f t="shared" si="3"/>
        <v>10790</v>
      </c>
      <c r="D1082" s="56">
        <v>3.364</v>
      </c>
      <c r="F1082" s="371">
        <v>1079.0</v>
      </c>
      <c r="G1082" s="372">
        <f t="shared" si="1"/>
        <v>0</v>
      </c>
    </row>
    <row r="1083" ht="15.75" customHeight="1">
      <c r="B1083" s="370">
        <f t="shared" si="2"/>
        <v>0.125</v>
      </c>
      <c r="C1083" s="56">
        <f t="shared" si="3"/>
        <v>10800</v>
      </c>
      <c r="D1083" s="56">
        <v>3.521</v>
      </c>
      <c r="F1083" s="371">
        <v>1080.0</v>
      </c>
      <c r="G1083" s="372">
        <f t="shared" si="1"/>
        <v>0</v>
      </c>
    </row>
    <row r="1084" ht="15.75" customHeight="1">
      <c r="B1084" s="370">
        <f t="shared" si="2"/>
        <v>0.1251157407</v>
      </c>
      <c r="C1084" s="56">
        <f t="shared" si="3"/>
        <v>10810</v>
      </c>
      <c r="D1084" s="56">
        <v>3.518</v>
      </c>
      <c r="F1084" s="371">
        <v>1081.0</v>
      </c>
      <c r="G1084" s="372">
        <f t="shared" si="1"/>
        <v>0</v>
      </c>
    </row>
    <row r="1085" ht="15.75" customHeight="1">
      <c r="B1085" s="370">
        <f t="shared" si="2"/>
        <v>0.1252314815</v>
      </c>
      <c r="C1085" s="56">
        <f t="shared" si="3"/>
        <v>10820</v>
      </c>
      <c r="D1085" s="56">
        <v>3.48</v>
      </c>
      <c r="F1085" s="371">
        <v>1082.0</v>
      </c>
      <c r="G1085" s="372">
        <f t="shared" si="1"/>
        <v>0</v>
      </c>
    </row>
    <row r="1086" ht="15.75" customHeight="1">
      <c r="B1086" s="370">
        <f t="shared" si="2"/>
        <v>0.1253472222</v>
      </c>
      <c r="C1086" s="56">
        <f t="shared" si="3"/>
        <v>10830</v>
      </c>
      <c r="D1086" s="56">
        <v>2.992</v>
      </c>
      <c r="F1086" s="371">
        <v>1083.0</v>
      </c>
      <c r="G1086" s="372">
        <f t="shared" si="1"/>
        <v>0</v>
      </c>
    </row>
    <row r="1087" ht="15.75" customHeight="1">
      <c r="B1087" s="370">
        <f t="shared" si="2"/>
        <v>0.125462963</v>
      </c>
      <c r="C1087" s="56">
        <f t="shared" si="3"/>
        <v>10840</v>
      </c>
      <c r="D1087" s="56">
        <v>2.044</v>
      </c>
      <c r="F1087" s="371">
        <v>1084.0</v>
      </c>
      <c r="G1087" s="372">
        <f t="shared" si="1"/>
        <v>0</v>
      </c>
    </row>
    <row r="1088" ht="15.75" customHeight="1">
      <c r="B1088" s="370">
        <f t="shared" si="2"/>
        <v>0.1255787037</v>
      </c>
      <c r="C1088" s="56">
        <f t="shared" si="3"/>
        <v>10850</v>
      </c>
      <c r="D1088" s="56">
        <v>2.3</v>
      </c>
      <c r="F1088" s="371">
        <v>1085.0</v>
      </c>
      <c r="G1088" s="372">
        <f t="shared" si="1"/>
        <v>0</v>
      </c>
    </row>
    <row r="1089" ht="15.75" customHeight="1">
      <c r="B1089" s="370">
        <f t="shared" si="2"/>
        <v>0.1256944444</v>
      </c>
      <c r="C1089" s="56">
        <f t="shared" si="3"/>
        <v>10860</v>
      </c>
      <c r="D1089" s="56">
        <v>2.536</v>
      </c>
      <c r="F1089" s="371">
        <v>1086.0</v>
      </c>
      <c r="G1089" s="372">
        <f t="shared" si="1"/>
        <v>2.002</v>
      </c>
    </row>
    <row r="1090" ht="15.75" customHeight="1">
      <c r="B1090" s="370">
        <f t="shared" si="2"/>
        <v>0.1258101852</v>
      </c>
      <c r="C1090" s="56">
        <f t="shared" si="3"/>
        <v>10870</v>
      </c>
      <c r="D1090" s="56">
        <v>2.811</v>
      </c>
      <c r="F1090" s="371">
        <v>1087.0</v>
      </c>
      <c r="G1090" s="372">
        <f t="shared" si="1"/>
        <v>2.711666667</v>
      </c>
    </row>
    <row r="1091" ht="15.75" customHeight="1">
      <c r="B1091" s="370">
        <f t="shared" si="2"/>
        <v>0.1259259259</v>
      </c>
      <c r="C1091" s="56">
        <f t="shared" si="3"/>
        <v>10880</v>
      </c>
      <c r="D1091" s="56">
        <v>3.015</v>
      </c>
      <c r="F1091" s="371">
        <v>1088.0</v>
      </c>
      <c r="G1091" s="372">
        <f t="shared" si="1"/>
        <v>3.2225</v>
      </c>
    </row>
    <row r="1092" ht="15.75" customHeight="1">
      <c r="B1092" s="370">
        <f t="shared" si="2"/>
        <v>0.1260416667</v>
      </c>
      <c r="C1092" s="56">
        <f t="shared" si="3"/>
        <v>10890</v>
      </c>
      <c r="D1092" s="56">
        <v>3.12</v>
      </c>
      <c r="F1092" s="371">
        <v>1089.0</v>
      </c>
      <c r="G1092" s="372">
        <f t="shared" si="1"/>
        <v>2.639166667</v>
      </c>
    </row>
    <row r="1093" ht="15.75" customHeight="1">
      <c r="B1093" s="370">
        <f t="shared" si="2"/>
        <v>0.1261574074</v>
      </c>
      <c r="C1093" s="56">
        <f t="shared" si="3"/>
        <v>10900</v>
      </c>
      <c r="D1093" s="56">
        <v>3.026</v>
      </c>
      <c r="F1093" s="371">
        <v>1090.0</v>
      </c>
      <c r="G1093" s="372">
        <f t="shared" si="1"/>
        <v>2.907833333</v>
      </c>
    </row>
    <row r="1094" ht="15.75" customHeight="1">
      <c r="B1094" s="370">
        <f t="shared" si="2"/>
        <v>0.1262731481</v>
      </c>
      <c r="C1094" s="56">
        <f t="shared" si="3"/>
        <v>10910</v>
      </c>
      <c r="D1094" s="56">
        <v>2.896</v>
      </c>
      <c r="F1094" s="371">
        <v>1091.0</v>
      </c>
      <c r="G1094" s="372">
        <f t="shared" si="1"/>
        <v>2.9015</v>
      </c>
    </row>
    <row r="1095" ht="15.75" customHeight="1">
      <c r="B1095" s="370">
        <f t="shared" si="2"/>
        <v>0.1263888889</v>
      </c>
      <c r="C1095" s="56">
        <f t="shared" si="3"/>
        <v>10920</v>
      </c>
      <c r="D1095" s="56">
        <v>2.899</v>
      </c>
      <c r="F1095" s="371">
        <v>1092.0</v>
      </c>
      <c r="G1095" s="372">
        <f t="shared" si="1"/>
        <v>2.677333333</v>
      </c>
    </row>
    <row r="1096" ht="15.75" customHeight="1">
      <c r="B1096" s="370">
        <f t="shared" si="2"/>
        <v>0.1265046296</v>
      </c>
      <c r="C1096" s="56">
        <f t="shared" si="3"/>
        <v>10930</v>
      </c>
      <c r="D1096" s="56">
        <v>2.982</v>
      </c>
      <c r="F1096" s="371">
        <v>1093.0</v>
      </c>
      <c r="G1096" s="372">
        <f t="shared" si="1"/>
        <v>3.087333333</v>
      </c>
    </row>
    <row r="1097" ht="15.75" customHeight="1">
      <c r="B1097" s="370">
        <f t="shared" si="2"/>
        <v>0.1266203704</v>
      </c>
      <c r="C1097" s="56">
        <f t="shared" si="3"/>
        <v>10940</v>
      </c>
      <c r="D1097" s="56">
        <v>2.853</v>
      </c>
      <c r="F1097" s="371">
        <v>1094.0</v>
      </c>
      <c r="G1097" s="372">
        <f t="shared" si="1"/>
        <v>2.690333333</v>
      </c>
    </row>
    <row r="1098" ht="15.75" customHeight="1">
      <c r="B1098" s="370">
        <f t="shared" si="2"/>
        <v>0.1267361111</v>
      </c>
      <c r="C1098" s="56">
        <f t="shared" si="3"/>
        <v>10950</v>
      </c>
      <c r="D1098" s="56">
        <v>2.722</v>
      </c>
      <c r="F1098" s="371">
        <v>1095.0</v>
      </c>
      <c r="G1098" s="372">
        <f t="shared" si="1"/>
        <v>3.040833333</v>
      </c>
    </row>
    <row r="1099" ht="15.75" customHeight="1">
      <c r="B1099" s="370">
        <f t="shared" si="2"/>
        <v>0.1268518519</v>
      </c>
      <c r="C1099" s="56">
        <f t="shared" si="3"/>
        <v>10960</v>
      </c>
      <c r="D1099" s="56">
        <v>2.55</v>
      </c>
      <c r="F1099" s="371">
        <v>1096.0</v>
      </c>
      <c r="G1099" s="372">
        <f t="shared" si="1"/>
        <v>2.952</v>
      </c>
    </row>
    <row r="1100" ht="15.75" customHeight="1">
      <c r="B1100" s="370">
        <f t="shared" si="2"/>
        <v>0.1269675926</v>
      </c>
      <c r="C1100" s="56">
        <f t="shared" si="3"/>
        <v>10970</v>
      </c>
      <c r="D1100" s="56">
        <v>2.342</v>
      </c>
      <c r="F1100" s="371">
        <v>1097.0</v>
      </c>
      <c r="G1100" s="372">
        <f t="shared" si="1"/>
        <v>2.722166667</v>
      </c>
    </row>
    <row r="1101" ht="15.75" customHeight="1">
      <c r="B1101" s="370">
        <f t="shared" si="2"/>
        <v>0.1270833333</v>
      </c>
      <c r="C1101" s="56">
        <f t="shared" si="3"/>
        <v>10980</v>
      </c>
      <c r="D1101" s="56">
        <v>2.406</v>
      </c>
      <c r="F1101" s="371">
        <v>1098.0</v>
      </c>
      <c r="G1101" s="372">
        <f t="shared" si="1"/>
        <v>3.096833333</v>
      </c>
    </row>
    <row r="1102" ht="15.75" customHeight="1">
      <c r="B1102" s="370">
        <f t="shared" si="2"/>
        <v>0.1271990741</v>
      </c>
      <c r="C1102" s="56">
        <f t="shared" si="3"/>
        <v>10990</v>
      </c>
      <c r="D1102" s="56">
        <v>3.272</v>
      </c>
      <c r="F1102" s="371">
        <v>1099.0</v>
      </c>
      <c r="G1102" s="372">
        <f t="shared" si="1"/>
        <v>2.6255</v>
      </c>
    </row>
    <row r="1103" ht="15.75" customHeight="1">
      <c r="B1103" s="370">
        <f t="shared" si="2"/>
        <v>0.1273148148</v>
      </c>
      <c r="C1103" s="56">
        <f t="shared" si="3"/>
        <v>11000</v>
      </c>
      <c r="D1103" s="56">
        <v>3.492</v>
      </c>
      <c r="F1103" s="371">
        <v>1100.0</v>
      </c>
      <c r="G1103" s="372">
        <f t="shared" si="1"/>
        <v>2.969833333</v>
      </c>
    </row>
    <row r="1104" ht="15.75" customHeight="1">
      <c r="B1104" s="370">
        <f t="shared" si="2"/>
        <v>0.1274305556</v>
      </c>
      <c r="C1104" s="56">
        <f t="shared" si="3"/>
        <v>11010</v>
      </c>
      <c r="D1104" s="56">
        <v>3.501</v>
      </c>
      <c r="F1104" s="371">
        <v>1101.0</v>
      </c>
      <c r="G1104" s="372">
        <f t="shared" si="1"/>
        <v>2.865333333</v>
      </c>
    </row>
    <row r="1105" ht="15.75" customHeight="1">
      <c r="B1105" s="370">
        <f t="shared" si="2"/>
        <v>0.1275462963</v>
      </c>
      <c r="C1105" s="56">
        <f t="shared" si="3"/>
        <v>11020</v>
      </c>
      <c r="D1105" s="56">
        <v>3.499</v>
      </c>
      <c r="F1105" s="371">
        <v>1102.0</v>
      </c>
      <c r="G1105" s="372">
        <f t="shared" si="1"/>
        <v>2.692833333</v>
      </c>
    </row>
    <row r="1106" ht="15.75" customHeight="1">
      <c r="B1106" s="370">
        <f t="shared" si="2"/>
        <v>0.127662037</v>
      </c>
      <c r="C1106" s="56">
        <f t="shared" si="3"/>
        <v>11030</v>
      </c>
      <c r="D1106" s="56">
        <v>3.098</v>
      </c>
      <c r="F1106" s="371">
        <v>1103.0</v>
      </c>
      <c r="G1106" s="372">
        <f t="shared" si="1"/>
        <v>3.229166667</v>
      </c>
    </row>
    <row r="1107" ht="15.75" customHeight="1">
      <c r="B1107" s="370">
        <f t="shared" si="2"/>
        <v>0.1277777778</v>
      </c>
      <c r="C1107" s="56">
        <f t="shared" si="3"/>
        <v>11040</v>
      </c>
      <c r="D1107" s="56">
        <v>2.34</v>
      </c>
      <c r="F1107" s="371">
        <v>1104.0</v>
      </c>
      <c r="G1107" s="372">
        <f t="shared" si="1"/>
        <v>2.675166667</v>
      </c>
    </row>
    <row r="1108" ht="15.75" customHeight="1">
      <c r="B1108" s="370">
        <f t="shared" si="2"/>
        <v>0.1278935185</v>
      </c>
      <c r="C1108" s="56">
        <f t="shared" si="3"/>
        <v>11050</v>
      </c>
      <c r="D1108" s="56">
        <v>2.043</v>
      </c>
      <c r="F1108" s="371">
        <v>1105.0</v>
      </c>
      <c r="G1108" s="372">
        <f t="shared" si="1"/>
        <v>2.946333333</v>
      </c>
    </row>
    <row r="1109" ht="15.75" customHeight="1">
      <c r="B1109" s="370">
        <f t="shared" si="2"/>
        <v>0.1280092593</v>
      </c>
      <c r="C1109" s="56">
        <f t="shared" si="3"/>
        <v>11060</v>
      </c>
      <c r="D1109" s="56">
        <v>2.403</v>
      </c>
      <c r="F1109" s="371">
        <v>1106.0</v>
      </c>
      <c r="G1109" s="372">
        <f t="shared" si="1"/>
        <v>2.914833333</v>
      </c>
    </row>
    <row r="1110" ht="15.75" customHeight="1">
      <c r="B1110" s="370">
        <f t="shared" si="2"/>
        <v>0.128125</v>
      </c>
      <c r="C1110" s="56">
        <f t="shared" si="3"/>
        <v>11070</v>
      </c>
      <c r="D1110" s="56">
        <v>2.751</v>
      </c>
      <c r="F1110" s="371">
        <v>1107.0</v>
      </c>
      <c r="G1110" s="372">
        <f t="shared" si="1"/>
        <v>2.705</v>
      </c>
    </row>
    <row r="1111" ht="15.75" customHeight="1">
      <c r="B1111" s="370">
        <f t="shared" si="2"/>
        <v>0.1282407407</v>
      </c>
      <c r="C1111" s="56">
        <f t="shared" si="3"/>
        <v>11080</v>
      </c>
      <c r="D1111" s="56">
        <v>3.053</v>
      </c>
      <c r="F1111" s="371">
        <v>1108.0</v>
      </c>
      <c r="G1111" s="372">
        <f t="shared" si="1"/>
        <v>2.985666667</v>
      </c>
    </row>
    <row r="1112" ht="15.75" customHeight="1">
      <c r="B1112" s="370">
        <f t="shared" si="2"/>
        <v>0.1283564815</v>
      </c>
      <c r="C1112" s="56">
        <f t="shared" si="3"/>
        <v>11090</v>
      </c>
      <c r="D1112" s="56">
        <v>3.278</v>
      </c>
      <c r="F1112" s="371">
        <v>1109.0</v>
      </c>
      <c r="G1112" s="372">
        <f t="shared" si="1"/>
        <v>2.676333333</v>
      </c>
    </row>
    <row r="1113" ht="15.75" customHeight="1">
      <c r="B1113" s="370">
        <f t="shared" si="2"/>
        <v>0.1284722222</v>
      </c>
      <c r="C1113" s="56">
        <f t="shared" si="3"/>
        <v>11100</v>
      </c>
      <c r="D1113" s="56">
        <v>3.176</v>
      </c>
      <c r="F1113" s="371">
        <v>1110.0</v>
      </c>
      <c r="G1113" s="372">
        <f t="shared" si="1"/>
        <v>3.003333333</v>
      </c>
    </row>
    <row r="1114" ht="15.75" customHeight="1">
      <c r="B1114" s="370">
        <f t="shared" si="2"/>
        <v>0.128587963</v>
      </c>
      <c r="C1114" s="56">
        <f t="shared" si="3"/>
        <v>11110</v>
      </c>
      <c r="D1114" s="56">
        <v>3.099</v>
      </c>
      <c r="F1114" s="371">
        <v>1111.0</v>
      </c>
      <c r="G1114" s="372">
        <f t="shared" si="1"/>
        <v>2.927833333</v>
      </c>
    </row>
    <row r="1115" ht="15.75" customHeight="1">
      <c r="B1115" s="370">
        <f t="shared" si="2"/>
        <v>0.1287037037</v>
      </c>
      <c r="C1115" s="56">
        <f t="shared" si="3"/>
        <v>11120</v>
      </c>
      <c r="D1115" s="56">
        <v>2.778</v>
      </c>
      <c r="F1115" s="371">
        <v>1112.0</v>
      </c>
      <c r="G1115" s="372">
        <f t="shared" si="1"/>
        <v>2.715666667</v>
      </c>
    </row>
    <row r="1116" ht="15.75" customHeight="1">
      <c r="B1116" s="370">
        <f t="shared" si="2"/>
        <v>0.1288194444</v>
      </c>
      <c r="C1116" s="56">
        <f t="shared" si="3"/>
        <v>11130</v>
      </c>
      <c r="D1116" s="56">
        <v>2.832</v>
      </c>
      <c r="F1116" s="371">
        <v>1113.0</v>
      </c>
      <c r="G1116" s="372">
        <f t="shared" si="1"/>
        <v>3.194166667</v>
      </c>
    </row>
    <row r="1117" ht="15.75" customHeight="1">
      <c r="B1117" s="370">
        <f t="shared" si="2"/>
        <v>0.1289351852</v>
      </c>
      <c r="C1117" s="56">
        <f t="shared" si="3"/>
        <v>11140</v>
      </c>
      <c r="D1117" s="56">
        <v>2.797</v>
      </c>
      <c r="F1117" s="371">
        <v>1114.0</v>
      </c>
      <c r="G1117" s="372">
        <f t="shared" si="1"/>
        <v>2.628166667</v>
      </c>
    </row>
    <row r="1118" ht="15.75" customHeight="1">
      <c r="B1118" s="370">
        <f t="shared" si="2"/>
        <v>0.1290509259</v>
      </c>
      <c r="C1118" s="56">
        <f t="shared" si="3"/>
        <v>11150</v>
      </c>
      <c r="D1118" s="56">
        <v>2.75</v>
      </c>
      <c r="F1118" s="371">
        <v>1115.0</v>
      </c>
      <c r="G1118" s="372">
        <f t="shared" si="1"/>
        <v>2.926166667</v>
      </c>
    </row>
    <row r="1119" ht="15.75" customHeight="1">
      <c r="B1119" s="370">
        <f t="shared" si="2"/>
        <v>0.1291666667</v>
      </c>
      <c r="C1119" s="56">
        <f t="shared" si="3"/>
        <v>11160</v>
      </c>
      <c r="D1119" s="56">
        <v>2.637</v>
      </c>
      <c r="F1119" s="371">
        <v>1116.0</v>
      </c>
      <c r="G1119" s="372">
        <f t="shared" si="1"/>
        <v>2.895333333</v>
      </c>
    </row>
    <row r="1120" ht="15.75" customHeight="1">
      <c r="B1120" s="370">
        <f t="shared" si="2"/>
        <v>0.1292824074</v>
      </c>
      <c r="C1120" s="56">
        <f t="shared" si="3"/>
        <v>11170</v>
      </c>
      <c r="D1120" s="56">
        <v>2.465</v>
      </c>
      <c r="F1120" s="371">
        <v>1117.0</v>
      </c>
      <c r="G1120" s="372">
        <f t="shared" si="1"/>
        <v>2.680166667</v>
      </c>
    </row>
    <row r="1121" ht="15.75" customHeight="1">
      <c r="B1121" s="370">
        <f t="shared" si="2"/>
        <v>0.1293981481</v>
      </c>
      <c r="C1121" s="56">
        <f t="shared" si="3"/>
        <v>11180</v>
      </c>
      <c r="D1121" s="56">
        <v>2.233</v>
      </c>
      <c r="F1121" s="371">
        <v>1118.0</v>
      </c>
      <c r="G1121" s="372">
        <f t="shared" si="1"/>
        <v>3.112</v>
      </c>
    </row>
    <row r="1122" ht="15.75" customHeight="1">
      <c r="B1122" s="370">
        <f t="shared" si="2"/>
        <v>0.1295138889</v>
      </c>
      <c r="C1122" s="56">
        <f t="shared" si="3"/>
        <v>11190</v>
      </c>
      <c r="D1122" s="56">
        <v>3.128</v>
      </c>
      <c r="F1122" s="371">
        <v>1119.0</v>
      </c>
      <c r="G1122" s="372">
        <f t="shared" si="1"/>
        <v>2.691333333</v>
      </c>
    </row>
    <row r="1123" ht="15.75" customHeight="1">
      <c r="B1123" s="370">
        <f t="shared" si="2"/>
        <v>0.1296296296</v>
      </c>
      <c r="C1123" s="56">
        <f t="shared" si="3"/>
        <v>11200</v>
      </c>
      <c r="D1123" s="56">
        <v>3.425</v>
      </c>
      <c r="F1123" s="371">
        <v>1120.0</v>
      </c>
      <c r="G1123" s="372">
        <f t="shared" si="1"/>
        <v>3.047</v>
      </c>
    </row>
    <row r="1124" ht="15.75" customHeight="1">
      <c r="B1124" s="370">
        <f t="shared" si="2"/>
        <v>0.1297453704</v>
      </c>
      <c r="C1124" s="56">
        <f t="shared" si="3"/>
        <v>11210</v>
      </c>
      <c r="D1124" s="56">
        <v>3.464</v>
      </c>
      <c r="F1124" s="371">
        <v>1121.0</v>
      </c>
      <c r="G1124" s="372">
        <f t="shared" si="1"/>
        <v>2.936833333</v>
      </c>
    </row>
    <row r="1125" ht="15.75" customHeight="1">
      <c r="B1125" s="370">
        <f t="shared" si="2"/>
        <v>0.1298611111</v>
      </c>
      <c r="C1125" s="56">
        <f t="shared" si="3"/>
        <v>11220</v>
      </c>
      <c r="D1125" s="56">
        <v>3.496</v>
      </c>
      <c r="F1125" s="371">
        <v>1122.0</v>
      </c>
      <c r="G1125" s="372">
        <f t="shared" si="1"/>
        <v>2.726</v>
      </c>
    </row>
    <row r="1126" ht="15.75" customHeight="1">
      <c r="B1126" s="370">
        <f t="shared" si="2"/>
        <v>0.1299768519</v>
      </c>
      <c r="C1126" s="56">
        <f t="shared" si="3"/>
        <v>11230</v>
      </c>
      <c r="D1126" s="56">
        <v>3.182</v>
      </c>
      <c r="F1126" s="371">
        <v>1123.0</v>
      </c>
      <c r="G1126" s="372">
        <f t="shared" si="1"/>
        <v>3.060166667</v>
      </c>
    </row>
    <row r="1127" ht="15.75" customHeight="1">
      <c r="B1127" s="370">
        <f t="shared" si="2"/>
        <v>0.1300925926</v>
      </c>
      <c r="C1127" s="56">
        <f t="shared" si="3"/>
        <v>11240</v>
      </c>
      <c r="D1127" s="56">
        <v>2.514</v>
      </c>
      <c r="F1127" s="371">
        <v>1124.0</v>
      </c>
      <c r="G1127" s="372">
        <f t="shared" si="1"/>
        <v>2.638</v>
      </c>
    </row>
    <row r="1128" ht="15.75" customHeight="1">
      <c r="B1128" s="370">
        <f t="shared" si="2"/>
        <v>0.1302083333</v>
      </c>
      <c r="C1128" s="56">
        <f t="shared" si="3"/>
        <v>11250</v>
      </c>
      <c r="D1128" s="56">
        <v>1.978</v>
      </c>
      <c r="F1128" s="371">
        <v>1125.0</v>
      </c>
      <c r="G1128" s="372">
        <f t="shared" si="1"/>
        <v>2.9805</v>
      </c>
    </row>
    <row r="1129" ht="15.75" customHeight="1">
      <c r="B1129" s="370">
        <f t="shared" si="2"/>
        <v>0.1303240741</v>
      </c>
      <c r="C1129" s="56">
        <f t="shared" si="3"/>
        <v>11260</v>
      </c>
      <c r="D1129" s="56">
        <v>2.23</v>
      </c>
      <c r="F1129" s="371">
        <v>1126.0</v>
      </c>
      <c r="G1129" s="372">
        <f t="shared" si="1"/>
        <v>2.857166667</v>
      </c>
    </row>
    <row r="1130" ht="15.75" customHeight="1">
      <c r="B1130" s="370">
        <f t="shared" si="2"/>
        <v>0.1304398148</v>
      </c>
      <c r="C1130" s="56">
        <f t="shared" si="3"/>
        <v>11270</v>
      </c>
      <c r="D1130" s="56">
        <v>2.656</v>
      </c>
      <c r="F1130" s="371">
        <v>1127.0</v>
      </c>
      <c r="G1130" s="372">
        <f t="shared" si="1"/>
        <v>2.691833333</v>
      </c>
    </row>
    <row r="1131" ht="15.75" customHeight="1">
      <c r="B1131" s="370">
        <f t="shared" si="2"/>
        <v>0.1305555556</v>
      </c>
      <c r="C1131" s="56">
        <f t="shared" si="3"/>
        <v>11280</v>
      </c>
      <c r="D1131" s="56">
        <v>3.054</v>
      </c>
      <c r="F1131" s="371">
        <v>1128.0</v>
      </c>
      <c r="G1131" s="372">
        <f t="shared" si="1"/>
        <v>3.243333333</v>
      </c>
    </row>
    <row r="1132" ht="15.75" customHeight="1">
      <c r="B1132" s="370">
        <f t="shared" si="2"/>
        <v>0.1306712963</v>
      </c>
      <c r="C1132" s="56">
        <f t="shared" si="3"/>
        <v>11290</v>
      </c>
      <c r="D1132" s="56">
        <v>3.368</v>
      </c>
      <c r="F1132" s="371">
        <v>1129.0</v>
      </c>
      <c r="G1132" s="372">
        <f t="shared" si="1"/>
        <v>2.661833333</v>
      </c>
    </row>
    <row r="1133" ht="15.75" customHeight="1">
      <c r="B1133" s="370">
        <f t="shared" si="2"/>
        <v>0.130787037</v>
      </c>
      <c r="C1133" s="56">
        <f t="shared" si="3"/>
        <v>11300</v>
      </c>
      <c r="D1133" s="56">
        <v>3.298</v>
      </c>
      <c r="F1133" s="371">
        <v>1130.0</v>
      </c>
      <c r="G1133" s="372">
        <f t="shared" si="1"/>
        <v>2.9145</v>
      </c>
    </row>
    <row r="1134" ht="15.75" customHeight="1">
      <c r="B1134" s="370">
        <f t="shared" si="2"/>
        <v>0.1309027778</v>
      </c>
      <c r="C1134" s="56">
        <f t="shared" si="3"/>
        <v>11310</v>
      </c>
      <c r="D1134" s="56">
        <v>3.2</v>
      </c>
      <c r="F1134" s="371">
        <v>1131.0</v>
      </c>
      <c r="G1134" s="372">
        <f t="shared" si="1"/>
        <v>2.916333333</v>
      </c>
    </row>
    <row r="1135" ht="15.75" customHeight="1">
      <c r="B1135" s="370">
        <f t="shared" si="2"/>
        <v>0.1310185185</v>
      </c>
      <c r="C1135" s="56">
        <f t="shared" si="3"/>
        <v>11320</v>
      </c>
      <c r="D1135" s="56">
        <v>2.995</v>
      </c>
      <c r="F1135" s="371">
        <v>1132.0</v>
      </c>
      <c r="G1135" s="372">
        <f t="shared" si="1"/>
        <v>2.707166667</v>
      </c>
    </row>
    <row r="1136" ht="15.75" customHeight="1">
      <c r="B1136" s="370">
        <f t="shared" si="2"/>
        <v>0.1311342593</v>
      </c>
      <c r="C1136" s="56">
        <f t="shared" si="3"/>
        <v>11330</v>
      </c>
      <c r="D1136" s="56">
        <v>2.585</v>
      </c>
      <c r="F1136" s="371">
        <v>1133.0</v>
      </c>
      <c r="G1136" s="372">
        <f t="shared" si="1"/>
        <v>2.9925</v>
      </c>
    </row>
    <row r="1137" ht="15.75" customHeight="1">
      <c r="B1137" s="370">
        <f t="shared" si="2"/>
        <v>0.13125</v>
      </c>
      <c r="C1137" s="56">
        <f t="shared" si="3"/>
        <v>11340</v>
      </c>
      <c r="D1137" s="56">
        <v>2.708</v>
      </c>
      <c r="F1137" s="371">
        <v>1134.0</v>
      </c>
      <c r="G1137" s="372">
        <f t="shared" si="1"/>
        <v>2.678833333</v>
      </c>
    </row>
    <row r="1138" ht="15.75" customHeight="1">
      <c r="B1138" s="370">
        <f t="shared" si="2"/>
        <v>0.1313657407</v>
      </c>
      <c r="C1138" s="56">
        <f t="shared" si="3"/>
        <v>11350</v>
      </c>
      <c r="D1138" s="56">
        <v>2.746</v>
      </c>
      <c r="F1138" s="371">
        <v>1135.0</v>
      </c>
      <c r="G1138" s="372">
        <f t="shared" si="1"/>
        <v>3.0065</v>
      </c>
    </row>
    <row r="1139" ht="15.75" customHeight="1">
      <c r="B1139" s="370">
        <f t="shared" si="2"/>
        <v>0.1314814815</v>
      </c>
      <c r="C1139" s="56">
        <f t="shared" si="3"/>
        <v>11360</v>
      </c>
      <c r="D1139" s="56">
        <v>2.698</v>
      </c>
      <c r="F1139" s="371">
        <v>1136.0</v>
      </c>
      <c r="G1139" s="372">
        <f t="shared" si="1"/>
        <v>2.951666667</v>
      </c>
    </row>
    <row r="1140" ht="15.75" customHeight="1">
      <c r="B1140" s="370">
        <f t="shared" si="2"/>
        <v>0.1315972222</v>
      </c>
      <c r="C1140" s="56">
        <f t="shared" si="3"/>
        <v>11370</v>
      </c>
      <c r="D1140" s="56">
        <v>2.642</v>
      </c>
      <c r="F1140" s="371">
        <v>1137.0</v>
      </c>
      <c r="G1140" s="372">
        <f t="shared" si="1"/>
        <v>2.720666667</v>
      </c>
    </row>
    <row r="1141" ht="15.75" customHeight="1">
      <c r="B1141" s="370">
        <f t="shared" si="2"/>
        <v>0.131712963</v>
      </c>
      <c r="C1141" s="56">
        <f t="shared" si="3"/>
        <v>11380</v>
      </c>
      <c r="D1141" s="56">
        <v>2.403</v>
      </c>
      <c r="F1141" s="371">
        <v>1138.0</v>
      </c>
      <c r="G1141" s="372">
        <f t="shared" si="1"/>
        <v>3.157333333</v>
      </c>
    </row>
    <row r="1142" ht="15.75" customHeight="1">
      <c r="B1142" s="370">
        <f t="shared" si="2"/>
        <v>0.1318287037</v>
      </c>
      <c r="C1142" s="56">
        <f t="shared" si="3"/>
        <v>11390</v>
      </c>
      <c r="D1142" s="56">
        <v>2.99</v>
      </c>
      <c r="F1142" s="371">
        <v>1139.0</v>
      </c>
      <c r="G1142" s="372">
        <f t="shared" si="1"/>
        <v>2.621166667</v>
      </c>
    </row>
    <row r="1143" ht="15.75" customHeight="1">
      <c r="B1143" s="370">
        <f t="shared" si="2"/>
        <v>0.1319444444</v>
      </c>
      <c r="C1143" s="56">
        <f t="shared" si="3"/>
        <v>11400</v>
      </c>
      <c r="D1143" s="56">
        <v>3.342</v>
      </c>
      <c r="F1143" s="371">
        <v>1140.0</v>
      </c>
      <c r="G1143" s="372">
        <f t="shared" si="1"/>
        <v>2.935666667</v>
      </c>
    </row>
    <row r="1144" ht="15.75" customHeight="1">
      <c r="B1144" s="370">
        <f t="shared" si="2"/>
        <v>0.1320601852</v>
      </c>
      <c r="C1144" s="56">
        <f t="shared" si="3"/>
        <v>11410</v>
      </c>
      <c r="D1144" s="56">
        <v>3.394</v>
      </c>
      <c r="F1144" s="371">
        <v>1141.0</v>
      </c>
      <c r="G1144" s="372">
        <f t="shared" si="1"/>
        <v>2.900166667</v>
      </c>
    </row>
    <row r="1145" ht="15.75" customHeight="1">
      <c r="B1145" s="370">
        <f t="shared" si="2"/>
        <v>0.1321759259</v>
      </c>
      <c r="C1145" s="56">
        <f t="shared" si="3"/>
        <v>11420</v>
      </c>
      <c r="D1145" s="56">
        <v>3.456</v>
      </c>
      <c r="F1145" s="371">
        <v>1142.0</v>
      </c>
      <c r="G1145" s="372">
        <f t="shared" si="1"/>
        <v>2.682333333</v>
      </c>
    </row>
    <row r="1146" ht="15.75" customHeight="1">
      <c r="B1146" s="370">
        <f t="shared" si="2"/>
        <v>0.1322916667</v>
      </c>
      <c r="C1146" s="56">
        <f t="shared" si="3"/>
        <v>11430</v>
      </c>
      <c r="D1146" s="56">
        <v>3.224</v>
      </c>
      <c r="F1146" s="371">
        <v>1143.0</v>
      </c>
      <c r="G1146" s="372">
        <f t="shared" si="1"/>
        <v>3.125333333</v>
      </c>
    </row>
    <row r="1147" ht="15.75" customHeight="1">
      <c r="B1147" s="370">
        <f t="shared" si="2"/>
        <v>0.1324074074</v>
      </c>
      <c r="C1147" s="56">
        <f t="shared" si="3"/>
        <v>11440</v>
      </c>
      <c r="D1147" s="56">
        <v>2.654</v>
      </c>
      <c r="F1147" s="371">
        <v>1144.0</v>
      </c>
      <c r="G1147" s="372">
        <f t="shared" si="1"/>
        <v>1.441166667</v>
      </c>
    </row>
    <row r="1148" ht="15.75" customHeight="1">
      <c r="B1148" s="370">
        <f t="shared" si="2"/>
        <v>0.1325231481</v>
      </c>
      <c r="C1148" s="56">
        <f t="shared" si="3"/>
        <v>11450</v>
      </c>
      <c r="D1148" s="56">
        <v>2.105</v>
      </c>
      <c r="F1148" s="371">
        <v>1145.0</v>
      </c>
      <c r="G1148" s="372">
        <f t="shared" si="1"/>
        <v>0</v>
      </c>
    </row>
    <row r="1149" ht="15.75" customHeight="1">
      <c r="B1149" s="370">
        <f t="shared" si="2"/>
        <v>0.1326388889</v>
      </c>
      <c r="C1149" s="56">
        <f t="shared" si="3"/>
        <v>11460</v>
      </c>
      <c r="D1149" s="56">
        <v>2.057</v>
      </c>
      <c r="F1149" s="371">
        <v>1146.0</v>
      </c>
      <c r="G1149" s="372">
        <f t="shared" si="1"/>
        <v>0</v>
      </c>
    </row>
    <row r="1150" ht="15.75" customHeight="1">
      <c r="B1150" s="370">
        <f t="shared" si="2"/>
        <v>0.1327546296</v>
      </c>
      <c r="C1150" s="56">
        <f t="shared" si="3"/>
        <v>11470</v>
      </c>
      <c r="D1150" s="56">
        <v>2.505</v>
      </c>
      <c r="F1150" s="371">
        <v>1147.0</v>
      </c>
      <c r="G1150" s="372">
        <f t="shared" si="1"/>
        <v>0</v>
      </c>
    </row>
    <row r="1151" ht="15.75" customHeight="1">
      <c r="B1151" s="370">
        <f t="shared" si="2"/>
        <v>0.1328703704</v>
      </c>
      <c r="C1151" s="56">
        <f t="shared" si="3"/>
        <v>11480</v>
      </c>
      <c r="D1151" s="56">
        <v>3.019</v>
      </c>
      <c r="F1151" s="371">
        <v>1148.0</v>
      </c>
      <c r="G1151" s="372">
        <f t="shared" si="1"/>
        <v>0</v>
      </c>
    </row>
    <row r="1152" ht="15.75" customHeight="1">
      <c r="B1152" s="370">
        <f t="shared" si="2"/>
        <v>0.1329861111</v>
      </c>
      <c r="C1152" s="56">
        <f t="shared" si="3"/>
        <v>11490</v>
      </c>
      <c r="D1152" s="56">
        <v>3.42</v>
      </c>
      <c r="F1152" s="371">
        <v>1149.0</v>
      </c>
      <c r="G1152" s="372">
        <f t="shared" si="1"/>
        <v>0</v>
      </c>
    </row>
    <row r="1153" ht="15.75" customHeight="1">
      <c r="B1153" s="370">
        <f t="shared" si="2"/>
        <v>0.1331018519</v>
      </c>
      <c r="C1153" s="56">
        <f t="shared" si="3"/>
        <v>11500</v>
      </c>
      <c r="D1153" s="56">
        <v>3.395</v>
      </c>
      <c r="F1153" s="371">
        <v>1150.0</v>
      </c>
      <c r="G1153" s="372">
        <f t="shared" si="1"/>
        <v>0</v>
      </c>
    </row>
    <row r="1154" ht="15.75" customHeight="1">
      <c r="B1154" s="370">
        <f t="shared" si="2"/>
        <v>0.1332175926</v>
      </c>
      <c r="C1154" s="56">
        <f t="shared" si="3"/>
        <v>11510</v>
      </c>
      <c r="D1154" s="56">
        <v>3.345</v>
      </c>
      <c r="F1154" s="371">
        <v>1151.0</v>
      </c>
      <c r="G1154" s="372">
        <f t="shared" si="1"/>
        <v>0</v>
      </c>
    </row>
    <row r="1155" ht="15.75" customHeight="1">
      <c r="B1155" s="370">
        <f t="shared" si="2"/>
        <v>0.1333333333</v>
      </c>
      <c r="C1155" s="56">
        <f t="shared" si="3"/>
        <v>11520</v>
      </c>
      <c r="D1155" s="56">
        <v>3.157</v>
      </c>
      <c r="F1155" s="371">
        <v>1152.0</v>
      </c>
      <c r="G1155" s="372">
        <f t="shared" si="1"/>
        <v>0</v>
      </c>
    </row>
    <row r="1156" ht="15.75" customHeight="1">
      <c r="B1156" s="370">
        <f t="shared" si="2"/>
        <v>0.1334490741</v>
      </c>
      <c r="C1156" s="56">
        <f t="shared" si="3"/>
        <v>11530</v>
      </c>
      <c r="D1156" s="56">
        <v>2.451</v>
      </c>
      <c r="F1156" s="371">
        <v>1153.0</v>
      </c>
      <c r="G1156" s="372">
        <f t="shared" si="1"/>
        <v>0</v>
      </c>
    </row>
    <row r="1157" ht="15.75" customHeight="1">
      <c r="B1157" s="370">
        <f t="shared" si="2"/>
        <v>0.1335648148</v>
      </c>
      <c r="C1157" s="56">
        <f t="shared" si="3"/>
        <v>11540</v>
      </c>
      <c r="D1157" s="56">
        <v>2.584</v>
      </c>
      <c r="F1157" s="371">
        <v>1154.0</v>
      </c>
      <c r="G1157" s="372">
        <f t="shared" si="1"/>
        <v>0</v>
      </c>
    </row>
    <row r="1158" ht="15.75" customHeight="1">
      <c r="B1158" s="370">
        <f t="shared" si="2"/>
        <v>0.1336805556</v>
      </c>
      <c r="C1158" s="56">
        <f t="shared" si="3"/>
        <v>11550</v>
      </c>
      <c r="D1158" s="56">
        <v>2.704</v>
      </c>
      <c r="F1158" s="371">
        <v>1155.0</v>
      </c>
      <c r="G1158" s="372">
        <f t="shared" si="1"/>
        <v>0</v>
      </c>
    </row>
    <row r="1159" ht="15.75" customHeight="1">
      <c r="B1159" s="370">
        <f t="shared" si="2"/>
        <v>0.1337962963</v>
      </c>
      <c r="C1159" s="56">
        <f t="shared" si="3"/>
        <v>11560</v>
      </c>
      <c r="D1159" s="56">
        <v>2.72</v>
      </c>
      <c r="F1159" s="371">
        <v>1156.0</v>
      </c>
      <c r="G1159" s="372">
        <f t="shared" si="1"/>
        <v>0</v>
      </c>
    </row>
    <row r="1160" ht="15.75" customHeight="1">
      <c r="B1160" s="370">
        <f t="shared" si="2"/>
        <v>0.133912037</v>
      </c>
      <c r="C1160" s="56">
        <f t="shared" si="3"/>
        <v>11570</v>
      </c>
      <c r="D1160" s="56">
        <v>2.742</v>
      </c>
      <c r="F1160" s="371">
        <v>1157.0</v>
      </c>
      <c r="G1160" s="372">
        <f t="shared" si="1"/>
        <v>0</v>
      </c>
    </row>
    <row r="1161" ht="15.75" customHeight="1">
      <c r="B1161" s="370">
        <f t="shared" si="2"/>
        <v>0.1340277778</v>
      </c>
      <c r="C1161" s="56">
        <f t="shared" si="3"/>
        <v>11580</v>
      </c>
      <c r="D1161" s="56">
        <v>2.617</v>
      </c>
      <c r="F1161" s="371">
        <v>1158.0</v>
      </c>
      <c r="G1161" s="372">
        <f t="shared" si="1"/>
        <v>0</v>
      </c>
    </row>
    <row r="1162" ht="15.75" customHeight="1">
      <c r="B1162" s="370">
        <f t="shared" si="2"/>
        <v>0.1341435185</v>
      </c>
      <c r="C1162" s="56">
        <f t="shared" si="3"/>
        <v>11590</v>
      </c>
      <c r="D1162" s="56">
        <v>2.77</v>
      </c>
      <c r="F1162" s="371">
        <v>1159.0</v>
      </c>
      <c r="G1162" s="372">
        <f t="shared" si="1"/>
        <v>0</v>
      </c>
    </row>
    <row r="1163" ht="15.75" customHeight="1">
      <c r="B1163" s="370">
        <f t="shared" si="2"/>
        <v>0.1342592593</v>
      </c>
      <c r="C1163" s="56">
        <f t="shared" si="3"/>
        <v>11600</v>
      </c>
      <c r="D1163" s="56">
        <v>3.222</v>
      </c>
      <c r="F1163" s="371">
        <v>1160.0</v>
      </c>
      <c r="G1163" s="372">
        <f t="shared" si="1"/>
        <v>0</v>
      </c>
    </row>
    <row r="1164" ht="15.75" customHeight="1">
      <c r="B1164" s="370">
        <f t="shared" si="2"/>
        <v>0.134375</v>
      </c>
      <c r="C1164" s="56">
        <f t="shared" si="3"/>
        <v>11610</v>
      </c>
      <c r="D1164" s="56">
        <v>3.283</v>
      </c>
      <c r="F1164" s="371">
        <v>1161.0</v>
      </c>
      <c r="G1164" s="372">
        <f t="shared" si="1"/>
        <v>0</v>
      </c>
    </row>
    <row r="1165" ht="15.75" customHeight="1">
      <c r="B1165" s="370">
        <f t="shared" si="2"/>
        <v>0.1344907407</v>
      </c>
      <c r="C1165" s="56">
        <f t="shared" si="3"/>
        <v>11620</v>
      </c>
      <c r="D1165" s="56">
        <v>3.377</v>
      </c>
      <c r="F1165" s="371">
        <v>1162.0</v>
      </c>
      <c r="G1165" s="372">
        <f t="shared" si="1"/>
        <v>0</v>
      </c>
    </row>
    <row r="1166" ht="15.75" customHeight="1">
      <c r="B1166" s="370">
        <f t="shared" si="2"/>
        <v>0.1346064815</v>
      </c>
      <c r="C1166" s="56">
        <f t="shared" si="3"/>
        <v>11630</v>
      </c>
      <c r="D1166" s="56">
        <v>3.229</v>
      </c>
      <c r="F1166" s="371">
        <v>1163.0</v>
      </c>
      <c r="G1166" s="372">
        <f t="shared" si="1"/>
        <v>0</v>
      </c>
    </row>
    <row r="1167" ht="15.75" customHeight="1">
      <c r="B1167" s="370">
        <f t="shared" si="2"/>
        <v>0.1347222222</v>
      </c>
      <c r="C1167" s="56">
        <f t="shared" si="3"/>
        <v>11640</v>
      </c>
      <c r="D1167" s="56">
        <v>2.756</v>
      </c>
      <c r="F1167" s="371">
        <v>1164.0</v>
      </c>
      <c r="G1167" s="372">
        <f t="shared" si="1"/>
        <v>0</v>
      </c>
    </row>
    <row r="1168" ht="15.75" customHeight="1">
      <c r="B1168" s="370">
        <f t="shared" si="2"/>
        <v>0.134837963</v>
      </c>
      <c r="C1168" s="56">
        <f t="shared" si="3"/>
        <v>11650</v>
      </c>
      <c r="D1168" s="56">
        <v>2.354</v>
      </c>
      <c r="F1168" s="371">
        <v>1165.0</v>
      </c>
      <c r="G1168" s="372">
        <f t="shared" si="1"/>
        <v>0</v>
      </c>
    </row>
    <row r="1169" ht="15.75" customHeight="1">
      <c r="B1169" s="370">
        <f t="shared" si="2"/>
        <v>0.1349537037</v>
      </c>
      <c r="C1169" s="56">
        <f t="shared" si="3"/>
        <v>11660</v>
      </c>
      <c r="D1169" s="56">
        <v>1.946</v>
      </c>
      <c r="F1169" s="371">
        <v>1166.0</v>
      </c>
      <c r="G1169" s="372">
        <f t="shared" si="1"/>
        <v>0</v>
      </c>
    </row>
    <row r="1170" ht="15.75" customHeight="1">
      <c r="B1170" s="370">
        <f t="shared" si="2"/>
        <v>0.1350694444</v>
      </c>
      <c r="C1170" s="56">
        <f t="shared" si="3"/>
        <v>11670</v>
      </c>
      <c r="D1170" s="56">
        <v>2.362</v>
      </c>
      <c r="F1170" s="371">
        <v>1167.0</v>
      </c>
      <c r="G1170" s="372">
        <f t="shared" si="1"/>
        <v>0</v>
      </c>
    </row>
    <row r="1171" ht="15.75" customHeight="1">
      <c r="B1171" s="370">
        <f t="shared" si="2"/>
        <v>0.1351851852</v>
      </c>
      <c r="C1171" s="56">
        <f t="shared" si="3"/>
        <v>11680</v>
      </c>
      <c r="D1171" s="56">
        <v>2.947</v>
      </c>
      <c r="F1171" s="371">
        <v>1168.0</v>
      </c>
      <c r="G1171" s="372">
        <f t="shared" si="1"/>
        <v>0</v>
      </c>
    </row>
    <row r="1172" ht="15.75" customHeight="1">
      <c r="B1172" s="370">
        <f t="shared" si="2"/>
        <v>0.1353009259</v>
      </c>
      <c r="C1172" s="56">
        <f t="shared" si="3"/>
        <v>11690</v>
      </c>
      <c r="D1172" s="56">
        <v>3.449</v>
      </c>
      <c r="F1172" s="371">
        <v>1169.0</v>
      </c>
      <c r="G1172" s="372">
        <f t="shared" si="1"/>
        <v>0</v>
      </c>
    </row>
    <row r="1173" ht="15.75" customHeight="1">
      <c r="B1173" s="370">
        <f t="shared" si="2"/>
        <v>0.1354166667</v>
      </c>
      <c r="C1173" s="56">
        <f t="shared" si="3"/>
        <v>11700</v>
      </c>
      <c r="D1173" s="56">
        <v>3.471</v>
      </c>
      <c r="F1173" s="371">
        <v>1170.0</v>
      </c>
      <c r="G1173" s="372">
        <f t="shared" si="1"/>
        <v>0</v>
      </c>
    </row>
    <row r="1174" ht="15.75" customHeight="1">
      <c r="B1174" s="370">
        <f t="shared" si="2"/>
        <v>0.1355324074</v>
      </c>
      <c r="C1174" s="56">
        <f t="shared" si="3"/>
        <v>11710</v>
      </c>
      <c r="D1174" s="56">
        <v>3.431</v>
      </c>
      <c r="F1174" s="371">
        <v>1171.0</v>
      </c>
      <c r="G1174" s="372">
        <f t="shared" si="1"/>
        <v>0</v>
      </c>
    </row>
    <row r="1175" ht="15.75" customHeight="1">
      <c r="B1175" s="370">
        <f t="shared" si="2"/>
        <v>0.1356481481</v>
      </c>
      <c r="C1175" s="56">
        <f t="shared" si="3"/>
        <v>11720</v>
      </c>
      <c r="D1175" s="56">
        <v>3.283</v>
      </c>
      <c r="F1175" s="371">
        <v>1172.0</v>
      </c>
      <c r="G1175" s="372">
        <f t="shared" si="1"/>
        <v>0</v>
      </c>
    </row>
    <row r="1176" ht="15.75" customHeight="1">
      <c r="B1176" s="370">
        <f t="shared" si="2"/>
        <v>0.1357638889</v>
      </c>
      <c r="C1176" s="56">
        <f t="shared" si="3"/>
        <v>11730</v>
      </c>
      <c r="D1176" s="56">
        <v>2.502</v>
      </c>
      <c r="F1176" s="371">
        <v>1173.0</v>
      </c>
      <c r="G1176" s="372">
        <f t="shared" si="1"/>
        <v>0</v>
      </c>
    </row>
    <row r="1177" ht="15.75" customHeight="1">
      <c r="B1177" s="370">
        <f t="shared" si="2"/>
        <v>0.1358796296</v>
      </c>
      <c r="C1177" s="56">
        <f t="shared" si="3"/>
        <v>11740</v>
      </c>
      <c r="D1177" s="56">
        <v>2.426</v>
      </c>
      <c r="F1177" s="371">
        <v>1174.0</v>
      </c>
      <c r="G1177" s="372">
        <f t="shared" si="1"/>
        <v>0</v>
      </c>
    </row>
    <row r="1178" ht="15.75" customHeight="1">
      <c r="B1178" s="370">
        <f t="shared" si="2"/>
        <v>0.1359953704</v>
      </c>
      <c r="C1178" s="56">
        <f t="shared" si="3"/>
        <v>11750</v>
      </c>
      <c r="D1178" s="56">
        <v>2.63</v>
      </c>
      <c r="F1178" s="371">
        <v>1175.0</v>
      </c>
      <c r="G1178" s="372">
        <f t="shared" si="1"/>
        <v>0</v>
      </c>
    </row>
    <row r="1179" ht="15.75" customHeight="1">
      <c r="B1179" s="370">
        <f t="shared" si="2"/>
        <v>0.1361111111</v>
      </c>
      <c r="C1179" s="56">
        <f t="shared" si="3"/>
        <v>11760</v>
      </c>
      <c r="D1179" s="56">
        <v>2.708</v>
      </c>
      <c r="F1179" s="371">
        <v>1176.0</v>
      </c>
      <c r="G1179" s="372">
        <f t="shared" si="1"/>
        <v>0</v>
      </c>
    </row>
    <row r="1180" ht="15.75" customHeight="1">
      <c r="B1180" s="370">
        <f t="shared" si="2"/>
        <v>0.1362268519</v>
      </c>
      <c r="C1180" s="56">
        <f t="shared" si="3"/>
        <v>11770</v>
      </c>
      <c r="D1180" s="56">
        <v>2.805</v>
      </c>
      <c r="F1180" s="371">
        <v>1177.0</v>
      </c>
      <c r="G1180" s="372">
        <f t="shared" si="1"/>
        <v>0</v>
      </c>
    </row>
    <row r="1181" ht="15.75" customHeight="1">
      <c r="B1181" s="370">
        <f t="shared" si="2"/>
        <v>0.1363425926</v>
      </c>
      <c r="C1181" s="56">
        <f t="shared" si="3"/>
        <v>11780</v>
      </c>
      <c r="D1181" s="56">
        <v>2.735</v>
      </c>
      <c r="F1181" s="371">
        <v>1178.0</v>
      </c>
      <c r="G1181" s="372">
        <f t="shared" si="1"/>
        <v>0</v>
      </c>
    </row>
    <row r="1182" ht="15.75" customHeight="1">
      <c r="B1182" s="370">
        <f t="shared" si="2"/>
        <v>0.1364583333</v>
      </c>
      <c r="C1182" s="56">
        <f t="shared" si="3"/>
        <v>11790</v>
      </c>
      <c r="D1182" s="56">
        <v>2.735</v>
      </c>
      <c r="F1182" s="371">
        <v>1179.0</v>
      </c>
      <c r="G1182" s="372">
        <f t="shared" si="1"/>
        <v>2.594</v>
      </c>
    </row>
    <row r="1183" ht="15.75" customHeight="1">
      <c r="B1183" s="370">
        <f t="shared" si="2"/>
        <v>0.1365740741</v>
      </c>
      <c r="C1183" s="56">
        <f t="shared" si="3"/>
        <v>11800</v>
      </c>
      <c r="D1183" s="56">
        <v>3.012</v>
      </c>
      <c r="F1183" s="371">
        <v>1180.0</v>
      </c>
      <c r="G1183" s="372">
        <f t="shared" si="1"/>
        <v>2.893333333</v>
      </c>
    </row>
    <row r="1184" ht="15.75" customHeight="1">
      <c r="B1184" s="370">
        <f t="shared" si="2"/>
        <v>0.1366898148</v>
      </c>
      <c r="C1184" s="56">
        <f t="shared" si="3"/>
        <v>11810</v>
      </c>
      <c r="D1184" s="56">
        <v>3.168</v>
      </c>
      <c r="F1184" s="371">
        <v>1181.0</v>
      </c>
      <c r="G1184" s="372">
        <f t="shared" si="1"/>
        <v>2.918333333</v>
      </c>
    </row>
    <row r="1185" ht="15.75" customHeight="1">
      <c r="B1185" s="370">
        <f t="shared" si="2"/>
        <v>0.1368055556</v>
      </c>
      <c r="C1185" s="56">
        <f t="shared" si="3"/>
        <v>11820</v>
      </c>
      <c r="D1185" s="56">
        <v>3.283</v>
      </c>
      <c r="F1185" s="371">
        <v>1182.0</v>
      </c>
      <c r="G1185" s="372">
        <f t="shared" si="1"/>
        <v>2.7035</v>
      </c>
    </row>
    <row r="1186" ht="15.75" customHeight="1">
      <c r="B1186" s="370">
        <f t="shared" si="2"/>
        <v>0.1369212963</v>
      </c>
      <c r="C1186" s="56">
        <f t="shared" si="3"/>
        <v>11830</v>
      </c>
      <c r="D1186" s="56">
        <v>3.201</v>
      </c>
      <c r="F1186" s="371">
        <v>1183.0</v>
      </c>
      <c r="G1186" s="372">
        <f t="shared" si="1"/>
        <v>3.031833333</v>
      </c>
    </row>
    <row r="1187" ht="15.75" customHeight="1">
      <c r="B1187" s="370">
        <f t="shared" si="2"/>
        <v>0.137037037</v>
      </c>
      <c r="C1187" s="56">
        <f t="shared" si="3"/>
        <v>11840</v>
      </c>
      <c r="D1187" s="56">
        <v>2.831</v>
      </c>
      <c r="F1187" s="371">
        <v>1184.0</v>
      </c>
      <c r="G1187" s="372">
        <f t="shared" si="1"/>
        <v>2.678</v>
      </c>
    </row>
    <row r="1188" ht="15.75" customHeight="1">
      <c r="B1188" s="370">
        <f t="shared" si="2"/>
        <v>0.1371527778</v>
      </c>
      <c r="C1188" s="56">
        <f t="shared" si="3"/>
        <v>11850</v>
      </c>
      <c r="D1188" s="56">
        <v>2.503</v>
      </c>
      <c r="F1188" s="371">
        <v>1185.0</v>
      </c>
      <c r="G1188" s="372">
        <f t="shared" si="1"/>
        <v>3.0105</v>
      </c>
    </row>
    <row r="1189" ht="15.75" customHeight="1">
      <c r="B1189" s="370">
        <f t="shared" si="2"/>
        <v>0.1372685185</v>
      </c>
      <c r="C1189" s="56">
        <f t="shared" si="3"/>
        <v>11860</v>
      </c>
      <c r="D1189" s="56">
        <v>2.179</v>
      </c>
      <c r="F1189" s="371">
        <v>1186.0</v>
      </c>
      <c r="G1189" s="372">
        <f t="shared" si="1"/>
        <v>2.970833333</v>
      </c>
    </row>
    <row r="1190" ht="15.75" customHeight="1">
      <c r="B1190" s="370">
        <f t="shared" si="2"/>
        <v>0.1373842593</v>
      </c>
      <c r="C1190" s="56">
        <f t="shared" si="3"/>
        <v>11870</v>
      </c>
      <c r="D1190" s="56">
        <v>2.133</v>
      </c>
      <c r="F1190" s="371">
        <v>1187.0</v>
      </c>
      <c r="G1190" s="372">
        <f t="shared" si="1"/>
        <v>2.739833333</v>
      </c>
    </row>
    <row r="1191" ht="15.75" customHeight="1">
      <c r="B1191" s="370">
        <f t="shared" si="2"/>
        <v>0.1375</v>
      </c>
      <c r="C1191" s="56">
        <f t="shared" si="3"/>
        <v>11880</v>
      </c>
      <c r="D1191" s="56">
        <v>2.841</v>
      </c>
      <c r="F1191" s="371">
        <v>1188.0</v>
      </c>
      <c r="G1191" s="372">
        <f t="shared" si="1"/>
        <v>3.133666667</v>
      </c>
    </row>
    <row r="1192" ht="15.75" customHeight="1">
      <c r="B1192" s="370">
        <f t="shared" si="2"/>
        <v>0.1376157407</v>
      </c>
      <c r="C1192" s="56">
        <f t="shared" si="3"/>
        <v>11890</v>
      </c>
      <c r="D1192" s="56">
        <v>3.44</v>
      </c>
      <c r="F1192" s="371">
        <v>1189.0</v>
      </c>
      <c r="G1192" s="372">
        <f t="shared" si="1"/>
        <v>2.626666667</v>
      </c>
    </row>
    <row r="1193" ht="15.75" customHeight="1">
      <c r="B1193" s="370">
        <f t="shared" si="2"/>
        <v>0.1377314815</v>
      </c>
      <c r="C1193" s="56">
        <f t="shared" si="3"/>
        <v>11900</v>
      </c>
      <c r="D1193" s="56">
        <v>3.513</v>
      </c>
      <c r="F1193" s="371">
        <v>1190.0</v>
      </c>
      <c r="G1193" s="372">
        <f t="shared" si="1"/>
        <v>2.937166667</v>
      </c>
    </row>
    <row r="1194" ht="15.75" customHeight="1">
      <c r="B1194" s="370">
        <f t="shared" si="2"/>
        <v>0.1378472222</v>
      </c>
      <c r="C1194" s="56">
        <f t="shared" si="3"/>
        <v>11910</v>
      </c>
      <c r="D1194" s="56">
        <v>3.483</v>
      </c>
      <c r="F1194" s="371">
        <v>1191.0</v>
      </c>
      <c r="G1194" s="372">
        <f t="shared" si="1"/>
        <v>2.882666667</v>
      </c>
    </row>
    <row r="1195" ht="15.75" customHeight="1">
      <c r="B1195" s="370">
        <f t="shared" si="2"/>
        <v>0.137962963</v>
      </c>
      <c r="C1195" s="56">
        <f t="shared" si="3"/>
        <v>11920</v>
      </c>
      <c r="D1195" s="56">
        <v>3.383</v>
      </c>
      <c r="F1195" s="371">
        <v>1192.0</v>
      </c>
      <c r="G1195" s="372">
        <f t="shared" si="1"/>
        <v>2.6835</v>
      </c>
    </row>
    <row r="1196" ht="15.75" customHeight="1">
      <c r="B1196" s="370">
        <f t="shared" si="2"/>
        <v>0.1380787037</v>
      </c>
      <c r="C1196" s="56">
        <f t="shared" si="3"/>
        <v>11930</v>
      </c>
      <c r="D1196" s="56">
        <v>2.771</v>
      </c>
      <c r="F1196" s="371">
        <v>1193.0</v>
      </c>
      <c r="G1196" s="372">
        <f t="shared" si="1"/>
        <v>3.198833333</v>
      </c>
    </row>
    <row r="1197" ht="15.75" customHeight="1">
      <c r="B1197" s="370">
        <f t="shared" si="2"/>
        <v>0.1381944444</v>
      </c>
      <c r="C1197" s="56">
        <f t="shared" si="3"/>
        <v>11940</v>
      </c>
      <c r="D1197" s="56">
        <v>2.157</v>
      </c>
      <c r="F1197" s="371">
        <v>1194.0</v>
      </c>
      <c r="G1197" s="372">
        <f t="shared" si="1"/>
        <v>2.6635</v>
      </c>
    </row>
    <row r="1198" ht="15.75" customHeight="1">
      <c r="B1198" s="370">
        <f t="shared" si="2"/>
        <v>0.1383101852</v>
      </c>
      <c r="C1198" s="56">
        <f t="shared" si="3"/>
        <v>11950</v>
      </c>
      <c r="D1198" s="56">
        <v>2.517</v>
      </c>
      <c r="F1198" s="371">
        <v>1195.0</v>
      </c>
      <c r="G1198" s="372">
        <f t="shared" si="1"/>
        <v>3.0065</v>
      </c>
    </row>
    <row r="1199" ht="15.75" customHeight="1">
      <c r="B1199" s="370">
        <f t="shared" si="2"/>
        <v>0.1384259259</v>
      </c>
      <c r="C1199" s="56">
        <f t="shared" si="3"/>
        <v>11960</v>
      </c>
      <c r="D1199" s="56">
        <v>2.663</v>
      </c>
      <c r="F1199" s="371">
        <v>1196.0</v>
      </c>
      <c r="G1199" s="372">
        <f t="shared" si="1"/>
        <v>2.923666667</v>
      </c>
    </row>
    <row r="1200" ht="15.75" customHeight="1">
      <c r="B1200" s="370">
        <f t="shared" si="2"/>
        <v>0.1385416667</v>
      </c>
      <c r="C1200" s="56">
        <f t="shared" si="3"/>
        <v>11970</v>
      </c>
      <c r="D1200" s="56">
        <v>2.835</v>
      </c>
      <c r="F1200" s="371">
        <v>1197.0</v>
      </c>
      <c r="G1200" s="372">
        <f t="shared" si="1"/>
        <v>2.737166667</v>
      </c>
    </row>
    <row r="1201" ht="15.75" customHeight="1">
      <c r="B1201" s="370">
        <f t="shared" si="2"/>
        <v>0.1386574074</v>
      </c>
      <c r="C1201" s="56">
        <f t="shared" si="3"/>
        <v>11980</v>
      </c>
      <c r="D1201" s="56">
        <v>2.894</v>
      </c>
      <c r="F1201" s="371">
        <v>1198.0</v>
      </c>
      <c r="G1201" s="372">
        <f t="shared" si="1"/>
        <v>2.991</v>
      </c>
    </row>
    <row r="1202" ht="15.75" customHeight="1">
      <c r="B1202" s="370">
        <f t="shared" si="2"/>
        <v>0.1387731481</v>
      </c>
      <c r="C1202" s="56">
        <f t="shared" si="3"/>
        <v>11990</v>
      </c>
      <c r="D1202" s="56">
        <v>2.905</v>
      </c>
      <c r="F1202" s="371">
        <v>1199.0</v>
      </c>
      <c r="G1202" s="372">
        <f t="shared" si="1"/>
        <v>2.6595</v>
      </c>
    </row>
    <row r="1203" ht="15.75" customHeight="1">
      <c r="B1203" s="370">
        <f t="shared" si="2"/>
        <v>0.1388888889</v>
      </c>
      <c r="C1203" s="56">
        <f t="shared" si="3"/>
        <v>12000</v>
      </c>
      <c r="D1203" s="56">
        <v>2.917</v>
      </c>
      <c r="F1203" s="371">
        <v>1200.0</v>
      </c>
      <c r="G1203" s="372">
        <f t="shared" si="1"/>
        <v>2.976</v>
      </c>
    </row>
    <row r="1204" ht="15.75" customHeight="1">
      <c r="B1204" s="370">
        <f t="shared" si="2"/>
        <v>0.1390046296</v>
      </c>
      <c r="C1204" s="56">
        <f t="shared" si="3"/>
        <v>12010</v>
      </c>
      <c r="D1204" s="56">
        <v>2.988</v>
      </c>
      <c r="F1204" s="371">
        <v>1201.0</v>
      </c>
      <c r="G1204" s="372">
        <f t="shared" si="1"/>
        <v>2.880666667</v>
      </c>
    </row>
    <row r="1205" ht="15.75" customHeight="1">
      <c r="B1205" s="370">
        <f t="shared" si="2"/>
        <v>0.1391203704</v>
      </c>
      <c r="C1205" s="56">
        <f t="shared" si="3"/>
        <v>12020</v>
      </c>
      <c r="D1205" s="56">
        <v>3.144</v>
      </c>
      <c r="F1205" s="371">
        <v>1202.0</v>
      </c>
      <c r="G1205" s="372">
        <f t="shared" si="1"/>
        <v>2.724833333</v>
      </c>
    </row>
    <row r="1206" ht="15.75" customHeight="1">
      <c r="B1206" s="370">
        <f t="shared" si="2"/>
        <v>0.1392361111</v>
      </c>
      <c r="C1206" s="56">
        <f t="shared" si="3"/>
        <v>12030</v>
      </c>
      <c r="D1206" s="56">
        <v>3.138</v>
      </c>
      <c r="F1206" s="371">
        <v>1203.0</v>
      </c>
      <c r="G1206" s="372">
        <f t="shared" si="1"/>
        <v>3.228333333</v>
      </c>
    </row>
    <row r="1207" ht="15.75" customHeight="1">
      <c r="B1207" s="370">
        <f t="shared" si="2"/>
        <v>0.1393518519</v>
      </c>
      <c r="C1207" s="56">
        <f t="shared" si="3"/>
        <v>12040</v>
      </c>
      <c r="D1207" s="56">
        <v>2.866</v>
      </c>
      <c r="F1207" s="371">
        <v>1204.0</v>
      </c>
      <c r="G1207" s="372">
        <f t="shared" si="1"/>
        <v>2.651833333</v>
      </c>
    </row>
    <row r="1208" ht="15.75" customHeight="1">
      <c r="B1208" s="370">
        <f t="shared" si="2"/>
        <v>0.1394675926</v>
      </c>
      <c r="C1208" s="56">
        <f t="shared" si="3"/>
        <v>12050</v>
      </c>
      <c r="D1208" s="56">
        <v>2.613</v>
      </c>
      <c r="F1208" s="371">
        <v>1205.0</v>
      </c>
      <c r="G1208" s="372">
        <f t="shared" si="1"/>
        <v>2.899333333</v>
      </c>
    </row>
    <row r="1209" ht="15.75" customHeight="1">
      <c r="B1209" s="370">
        <f t="shared" si="2"/>
        <v>0.1395833333</v>
      </c>
      <c r="C1209" s="56">
        <f t="shared" si="3"/>
        <v>12060</v>
      </c>
      <c r="D1209" s="56">
        <v>2.306</v>
      </c>
      <c r="F1209" s="371">
        <v>1206.0</v>
      </c>
      <c r="G1209" s="372">
        <f t="shared" si="1"/>
        <v>2.9055</v>
      </c>
    </row>
    <row r="1210" ht="15.75" customHeight="1">
      <c r="B1210" s="370">
        <f t="shared" si="2"/>
        <v>0.1396990741</v>
      </c>
      <c r="C1210" s="56">
        <f t="shared" si="3"/>
        <v>12070</v>
      </c>
      <c r="D1210" s="56">
        <v>2.049</v>
      </c>
      <c r="F1210" s="371">
        <v>1207.0</v>
      </c>
      <c r="G1210" s="372">
        <f t="shared" si="1"/>
        <v>2.686666667</v>
      </c>
    </row>
    <row r="1211" ht="15.75" customHeight="1">
      <c r="B1211" s="370">
        <f t="shared" si="2"/>
        <v>0.1398148148</v>
      </c>
      <c r="C1211" s="56">
        <f t="shared" si="3"/>
        <v>12080</v>
      </c>
      <c r="D1211" s="56">
        <v>2.668</v>
      </c>
      <c r="F1211" s="371">
        <v>1208.0</v>
      </c>
      <c r="G1211" s="372">
        <f t="shared" si="1"/>
        <v>3.066166667</v>
      </c>
    </row>
    <row r="1212" ht="15.75" customHeight="1">
      <c r="B1212" s="370">
        <f t="shared" si="2"/>
        <v>0.1399305556</v>
      </c>
      <c r="C1212" s="56">
        <f t="shared" si="3"/>
        <v>12090</v>
      </c>
      <c r="D1212" s="56">
        <v>3.391</v>
      </c>
      <c r="F1212" s="371">
        <v>1209.0</v>
      </c>
      <c r="G1212" s="372">
        <f t="shared" si="1"/>
        <v>2.69</v>
      </c>
    </row>
    <row r="1213" ht="15.75" customHeight="1">
      <c r="B1213" s="370">
        <f t="shared" si="2"/>
        <v>0.1400462963</v>
      </c>
      <c r="C1213" s="56">
        <f t="shared" si="3"/>
        <v>12100</v>
      </c>
      <c r="D1213" s="56">
        <v>3.524</v>
      </c>
      <c r="F1213" s="371">
        <v>1210.0</v>
      </c>
      <c r="G1213" s="372">
        <f t="shared" si="1"/>
        <v>3.024</v>
      </c>
    </row>
    <row r="1214" ht="15.75" customHeight="1">
      <c r="B1214" s="370">
        <f t="shared" si="2"/>
        <v>0.140162037</v>
      </c>
      <c r="C1214" s="56">
        <f t="shared" si="3"/>
        <v>12110</v>
      </c>
      <c r="D1214" s="56">
        <v>3.515</v>
      </c>
      <c r="F1214" s="371">
        <v>1211.0</v>
      </c>
      <c r="G1214" s="372">
        <f t="shared" si="1"/>
        <v>2.964666667</v>
      </c>
    </row>
    <row r="1215" ht="15.75" customHeight="1">
      <c r="B1215" s="370">
        <f t="shared" si="2"/>
        <v>0.1402777778</v>
      </c>
      <c r="C1215" s="56">
        <f t="shared" si="3"/>
        <v>12120</v>
      </c>
      <c r="D1215" s="56">
        <v>3.458</v>
      </c>
      <c r="F1215" s="371">
        <v>1212.0</v>
      </c>
      <c r="G1215" s="372">
        <f t="shared" si="1"/>
        <v>2.735666667</v>
      </c>
    </row>
    <row r="1216" ht="15.75" customHeight="1">
      <c r="B1216" s="370">
        <f t="shared" si="2"/>
        <v>0.1403935185</v>
      </c>
      <c r="C1216" s="56">
        <f t="shared" si="3"/>
        <v>12130</v>
      </c>
      <c r="D1216" s="56">
        <v>2.933</v>
      </c>
      <c r="F1216" s="371">
        <v>1213.0</v>
      </c>
      <c r="G1216" s="372">
        <f t="shared" si="1"/>
        <v>3.108166667</v>
      </c>
    </row>
    <row r="1217" ht="15.75" customHeight="1">
      <c r="B1217" s="370">
        <f t="shared" si="2"/>
        <v>0.1405092593</v>
      </c>
      <c r="C1217" s="56">
        <f t="shared" si="3"/>
        <v>12140</v>
      </c>
      <c r="D1217" s="56">
        <v>2.037</v>
      </c>
      <c r="F1217" s="371">
        <v>1214.0</v>
      </c>
      <c r="G1217" s="372">
        <f t="shared" si="1"/>
        <v>2.631333333</v>
      </c>
    </row>
    <row r="1218" ht="15.75" customHeight="1">
      <c r="B1218" s="370">
        <f t="shared" si="2"/>
        <v>0.140625</v>
      </c>
      <c r="C1218" s="56">
        <f t="shared" si="3"/>
        <v>12150</v>
      </c>
      <c r="D1218" s="56">
        <v>2.374</v>
      </c>
      <c r="F1218" s="371">
        <v>1215.0</v>
      </c>
      <c r="G1218" s="372">
        <f t="shared" si="1"/>
        <v>2.945666667</v>
      </c>
    </row>
    <row r="1219" ht="15.75" customHeight="1">
      <c r="B1219" s="370">
        <f t="shared" si="2"/>
        <v>0.1407407407</v>
      </c>
      <c r="C1219" s="56">
        <f t="shared" si="3"/>
        <v>12160</v>
      </c>
      <c r="D1219" s="56">
        <v>2.583</v>
      </c>
      <c r="F1219" s="371">
        <v>1216.0</v>
      </c>
      <c r="G1219" s="372">
        <f t="shared" si="1"/>
        <v>2.862</v>
      </c>
    </row>
    <row r="1220" ht="15.75" customHeight="1">
      <c r="B1220" s="370">
        <f t="shared" si="2"/>
        <v>0.1408564815</v>
      </c>
      <c r="C1220" s="56">
        <f t="shared" si="3"/>
        <v>12170</v>
      </c>
      <c r="D1220" s="56">
        <v>2.826</v>
      </c>
      <c r="F1220" s="371">
        <v>1217.0</v>
      </c>
      <c r="G1220" s="372">
        <f t="shared" si="1"/>
        <v>2.6915</v>
      </c>
    </row>
    <row r="1221" ht="15.75" customHeight="1">
      <c r="B1221" s="370">
        <f t="shared" si="2"/>
        <v>0.1409722222</v>
      </c>
      <c r="C1221" s="56">
        <f t="shared" si="3"/>
        <v>12180</v>
      </c>
      <c r="D1221" s="56">
        <v>2.987</v>
      </c>
      <c r="F1221" s="371">
        <v>1218.0</v>
      </c>
      <c r="G1221" s="372">
        <f t="shared" si="1"/>
        <v>3.227</v>
      </c>
    </row>
    <row r="1222" ht="15.75" customHeight="1">
      <c r="B1222" s="370">
        <f t="shared" si="2"/>
        <v>0.141087963</v>
      </c>
      <c r="C1222" s="56">
        <f t="shared" si="3"/>
        <v>12190</v>
      </c>
      <c r="D1222" s="56">
        <v>3.086</v>
      </c>
      <c r="F1222" s="371">
        <v>1219.0</v>
      </c>
      <c r="G1222" s="372">
        <f t="shared" si="1"/>
        <v>2.664666667</v>
      </c>
    </row>
    <row r="1223" ht="15.75" customHeight="1">
      <c r="B1223" s="370">
        <f t="shared" si="2"/>
        <v>0.1412037037</v>
      </c>
      <c r="C1223" s="56">
        <f t="shared" si="3"/>
        <v>12200</v>
      </c>
      <c r="D1223" s="56">
        <v>2.879</v>
      </c>
      <c r="F1223" s="371">
        <v>1220.0</v>
      </c>
      <c r="G1223" s="372">
        <f t="shared" si="1"/>
        <v>2.974</v>
      </c>
    </row>
    <row r="1224" ht="15.75" customHeight="1">
      <c r="B1224" s="370">
        <f t="shared" si="2"/>
        <v>0.1413194444</v>
      </c>
      <c r="C1224" s="56">
        <f t="shared" si="3"/>
        <v>12210</v>
      </c>
      <c r="D1224" s="56">
        <v>2.869</v>
      </c>
      <c r="F1224" s="371">
        <v>1221.0</v>
      </c>
      <c r="G1224" s="372">
        <f t="shared" si="1"/>
        <v>2.907</v>
      </c>
    </row>
    <row r="1225" ht="15.75" customHeight="1">
      <c r="B1225" s="370">
        <f t="shared" si="2"/>
        <v>0.1414351852</v>
      </c>
      <c r="C1225" s="56">
        <f t="shared" si="3"/>
        <v>12220</v>
      </c>
      <c r="D1225" s="56">
        <v>2.92</v>
      </c>
      <c r="F1225" s="371">
        <v>1222.0</v>
      </c>
      <c r="G1225" s="372">
        <f t="shared" si="1"/>
        <v>2.719666667</v>
      </c>
    </row>
    <row r="1226" ht="15.75" customHeight="1">
      <c r="B1226" s="370">
        <f t="shared" si="2"/>
        <v>0.1415509259</v>
      </c>
      <c r="C1226" s="56">
        <f t="shared" si="3"/>
        <v>12230</v>
      </c>
      <c r="D1226" s="56">
        <v>3.035</v>
      </c>
      <c r="F1226" s="371">
        <v>1223.0</v>
      </c>
      <c r="G1226" s="372">
        <f t="shared" si="1"/>
        <v>2.973833333</v>
      </c>
    </row>
    <row r="1227" ht="15.75" customHeight="1">
      <c r="B1227" s="370">
        <f t="shared" si="2"/>
        <v>0.1416666667</v>
      </c>
      <c r="C1227" s="56">
        <f t="shared" si="3"/>
        <v>12240</v>
      </c>
      <c r="D1227" s="56">
        <v>2.865</v>
      </c>
      <c r="F1227" s="371">
        <v>1224.0</v>
      </c>
      <c r="G1227" s="372">
        <f t="shared" si="1"/>
        <v>2.6815</v>
      </c>
    </row>
    <row r="1228" ht="15.75" customHeight="1">
      <c r="B1228" s="370">
        <f t="shared" si="2"/>
        <v>0.1417824074</v>
      </c>
      <c r="C1228" s="56">
        <f t="shared" si="3"/>
        <v>12250</v>
      </c>
      <c r="D1228" s="56">
        <v>2.697</v>
      </c>
      <c r="F1228" s="371">
        <v>1225.0</v>
      </c>
      <c r="G1228" s="372">
        <f t="shared" si="1"/>
        <v>2.985</v>
      </c>
    </row>
    <row r="1229" ht="15.75" customHeight="1">
      <c r="B1229" s="370">
        <f t="shared" si="2"/>
        <v>0.1418981481</v>
      </c>
      <c r="C1229" s="56">
        <f t="shared" si="3"/>
        <v>12260</v>
      </c>
      <c r="D1229" s="56">
        <v>2.493</v>
      </c>
      <c r="F1229" s="371">
        <v>1226.0</v>
      </c>
      <c r="G1229" s="372">
        <f t="shared" si="1"/>
        <v>2.91</v>
      </c>
    </row>
    <row r="1230" ht="15.75" customHeight="1">
      <c r="B1230" s="370">
        <f t="shared" si="2"/>
        <v>0.1420138889</v>
      </c>
      <c r="C1230" s="56">
        <f t="shared" si="3"/>
        <v>12270</v>
      </c>
      <c r="D1230" s="56">
        <v>2.238</v>
      </c>
      <c r="F1230" s="371">
        <v>1227.0</v>
      </c>
      <c r="G1230" s="372">
        <f t="shared" si="1"/>
        <v>2.724</v>
      </c>
    </row>
    <row r="1231" ht="15.75" customHeight="1">
      <c r="B1231" s="370">
        <f t="shared" si="2"/>
        <v>0.1421296296</v>
      </c>
      <c r="C1231" s="56">
        <f t="shared" si="3"/>
        <v>12280</v>
      </c>
      <c r="D1231" s="56">
        <v>2.529</v>
      </c>
      <c r="F1231" s="371">
        <v>1228.0</v>
      </c>
      <c r="G1231" s="372">
        <f t="shared" si="1"/>
        <v>3.205</v>
      </c>
    </row>
    <row r="1232" ht="15.75" customHeight="1">
      <c r="B1232" s="370">
        <f t="shared" si="2"/>
        <v>0.1422453704</v>
      </c>
      <c r="C1232" s="56">
        <f t="shared" si="3"/>
        <v>12290</v>
      </c>
      <c r="D1232" s="56">
        <v>3.319</v>
      </c>
      <c r="F1232" s="371">
        <v>1229.0</v>
      </c>
      <c r="G1232" s="372">
        <f t="shared" si="1"/>
        <v>2.640833333</v>
      </c>
    </row>
    <row r="1233" ht="15.75" customHeight="1">
      <c r="B1233" s="370">
        <f t="shared" si="2"/>
        <v>0.1423611111</v>
      </c>
      <c r="C1233" s="56">
        <f t="shared" si="3"/>
        <v>12300</v>
      </c>
      <c r="D1233" s="56">
        <v>3.507</v>
      </c>
      <c r="F1233" s="371">
        <v>1230.0</v>
      </c>
      <c r="G1233" s="372">
        <f t="shared" si="1"/>
        <v>2.909</v>
      </c>
    </row>
    <row r="1234" ht="15.75" customHeight="1">
      <c r="B1234" s="370">
        <f t="shared" si="2"/>
        <v>0.1424768519</v>
      </c>
      <c r="C1234" s="56">
        <f t="shared" si="3"/>
        <v>12310</v>
      </c>
      <c r="D1234" s="56">
        <v>3.515</v>
      </c>
      <c r="F1234" s="371">
        <v>1231.0</v>
      </c>
      <c r="G1234" s="372">
        <f t="shared" si="1"/>
        <v>2.893833333</v>
      </c>
    </row>
    <row r="1235" ht="15.75" customHeight="1">
      <c r="B1235" s="370">
        <f t="shared" si="2"/>
        <v>0.1425925926</v>
      </c>
      <c r="C1235" s="56">
        <f t="shared" si="3"/>
        <v>12320</v>
      </c>
      <c r="D1235" s="56">
        <v>3.496</v>
      </c>
      <c r="F1235" s="371">
        <v>1232.0</v>
      </c>
      <c r="G1235" s="372">
        <f t="shared" si="1"/>
        <v>2.681833333</v>
      </c>
    </row>
    <row r="1236" ht="15.75" customHeight="1">
      <c r="B1236" s="370">
        <f t="shared" si="2"/>
        <v>0.1427083333</v>
      </c>
      <c r="C1236" s="56">
        <f t="shared" si="3"/>
        <v>12330</v>
      </c>
      <c r="D1236" s="56">
        <v>3.055</v>
      </c>
      <c r="F1236" s="371">
        <v>1233.0</v>
      </c>
      <c r="G1236" s="372">
        <f t="shared" si="1"/>
        <v>3.091166667</v>
      </c>
    </row>
    <row r="1237" ht="15.75" customHeight="1">
      <c r="B1237" s="370">
        <f t="shared" si="2"/>
        <v>0.1428240741</v>
      </c>
      <c r="C1237" s="56">
        <f t="shared" si="3"/>
        <v>12340</v>
      </c>
      <c r="D1237" s="56">
        <v>2.167</v>
      </c>
      <c r="F1237" s="371">
        <v>1234.0</v>
      </c>
      <c r="G1237" s="372">
        <f t="shared" si="1"/>
        <v>2.699166667</v>
      </c>
    </row>
    <row r="1238" ht="15.75" customHeight="1">
      <c r="B1238" s="370">
        <f t="shared" si="2"/>
        <v>0.1429398148</v>
      </c>
      <c r="C1238" s="56">
        <f t="shared" si="3"/>
        <v>12350</v>
      </c>
      <c r="D1238" s="56">
        <v>2.203</v>
      </c>
      <c r="F1238" s="371">
        <v>1235.0</v>
      </c>
      <c r="G1238" s="372">
        <f t="shared" si="1"/>
        <v>3.034666667</v>
      </c>
    </row>
    <row r="1239" ht="15.75" customHeight="1">
      <c r="B1239" s="370">
        <f t="shared" si="2"/>
        <v>0.1430555556</v>
      </c>
      <c r="C1239" s="56">
        <f t="shared" si="3"/>
        <v>12360</v>
      </c>
      <c r="D1239" s="56">
        <v>2.462</v>
      </c>
      <c r="F1239" s="371">
        <v>1236.0</v>
      </c>
      <c r="G1239" s="372">
        <f t="shared" si="1"/>
        <v>2.949333333</v>
      </c>
    </row>
    <row r="1240" ht="15.75" customHeight="1">
      <c r="B1240" s="370">
        <f t="shared" si="2"/>
        <v>0.1431712963</v>
      </c>
      <c r="C1240" s="56">
        <f t="shared" si="3"/>
        <v>12370</v>
      </c>
      <c r="D1240" s="56">
        <v>2.782</v>
      </c>
      <c r="F1240" s="371">
        <v>1237.0</v>
      </c>
      <c r="G1240" s="372">
        <f t="shared" si="1"/>
        <v>0.752</v>
      </c>
    </row>
    <row r="1241" ht="15.75" customHeight="1">
      <c r="B1241" s="370">
        <f t="shared" si="2"/>
        <v>0.143287037</v>
      </c>
      <c r="C1241" s="56">
        <f t="shared" si="3"/>
        <v>12380</v>
      </c>
      <c r="D1241" s="56">
        <v>3.039</v>
      </c>
      <c r="F1241" s="371">
        <v>1238.0</v>
      </c>
      <c r="G1241" s="372">
        <f t="shared" si="1"/>
        <v>0</v>
      </c>
    </row>
    <row r="1242" ht="15.75" customHeight="1">
      <c r="B1242" s="370">
        <f t="shared" si="2"/>
        <v>0.1434027778</v>
      </c>
      <c r="C1242" s="56">
        <f t="shared" si="3"/>
        <v>12390</v>
      </c>
      <c r="D1242" s="56">
        <v>3.201</v>
      </c>
      <c r="F1242" s="371">
        <v>1239.0</v>
      </c>
      <c r="G1242" s="372">
        <f t="shared" si="1"/>
        <v>0</v>
      </c>
    </row>
    <row r="1243" ht="15.75" customHeight="1">
      <c r="B1243" s="370">
        <f t="shared" si="2"/>
        <v>0.1435185185</v>
      </c>
      <c r="C1243" s="56">
        <f t="shared" si="3"/>
        <v>12400</v>
      </c>
      <c r="D1243" s="56">
        <v>3.109</v>
      </c>
      <c r="F1243" s="371">
        <v>1240.0</v>
      </c>
      <c r="G1243" s="372">
        <f t="shared" si="1"/>
        <v>0</v>
      </c>
    </row>
    <row r="1244" ht="15.75" customHeight="1">
      <c r="B1244" s="370">
        <f t="shared" si="2"/>
        <v>0.1436342593</v>
      </c>
      <c r="C1244" s="56">
        <f t="shared" si="3"/>
        <v>12410</v>
      </c>
      <c r="D1244" s="56">
        <v>2.998</v>
      </c>
      <c r="F1244" s="371">
        <v>1241.0</v>
      </c>
      <c r="G1244" s="372">
        <f t="shared" si="1"/>
        <v>0</v>
      </c>
    </row>
    <row r="1245" ht="15.75" customHeight="1">
      <c r="B1245" s="370">
        <f t="shared" si="2"/>
        <v>0.14375</v>
      </c>
      <c r="C1245" s="56">
        <f t="shared" si="3"/>
        <v>12420</v>
      </c>
      <c r="D1245" s="56">
        <v>2.804</v>
      </c>
      <c r="F1245" s="371">
        <v>1242.0</v>
      </c>
      <c r="G1245" s="372">
        <f t="shared" si="1"/>
        <v>0</v>
      </c>
    </row>
    <row r="1246" ht="15.75" customHeight="1">
      <c r="B1246" s="370">
        <f t="shared" si="2"/>
        <v>0.1438657407</v>
      </c>
      <c r="C1246" s="56">
        <f t="shared" si="3"/>
        <v>12430</v>
      </c>
      <c r="D1246" s="56">
        <v>2.906</v>
      </c>
      <c r="F1246" s="371">
        <v>1243.0</v>
      </c>
      <c r="G1246" s="372">
        <f t="shared" si="1"/>
        <v>0</v>
      </c>
    </row>
    <row r="1247" ht="15.75" customHeight="1">
      <c r="B1247" s="370">
        <f t="shared" si="2"/>
        <v>0.1439814815</v>
      </c>
      <c r="C1247" s="56">
        <f t="shared" si="3"/>
        <v>12440</v>
      </c>
      <c r="D1247" s="56">
        <v>2.829</v>
      </c>
      <c r="F1247" s="371">
        <v>1244.0</v>
      </c>
      <c r="G1247" s="372">
        <f t="shared" si="1"/>
        <v>0</v>
      </c>
    </row>
    <row r="1248" ht="15.75" customHeight="1">
      <c r="B1248" s="370">
        <f t="shared" si="2"/>
        <v>0.1440972222</v>
      </c>
      <c r="C1248" s="56">
        <f t="shared" si="3"/>
        <v>12450</v>
      </c>
      <c r="D1248" s="56">
        <v>2.741</v>
      </c>
      <c r="F1248" s="371">
        <v>1245.0</v>
      </c>
      <c r="G1248" s="372">
        <f t="shared" si="1"/>
        <v>0</v>
      </c>
    </row>
    <row r="1249" ht="15.75" customHeight="1">
      <c r="B1249" s="370">
        <f t="shared" si="2"/>
        <v>0.144212963</v>
      </c>
      <c r="C1249" s="56">
        <f t="shared" si="3"/>
        <v>12460</v>
      </c>
      <c r="D1249" s="56">
        <v>2.601</v>
      </c>
      <c r="F1249" s="371">
        <v>1246.0</v>
      </c>
      <c r="G1249" s="372">
        <f t="shared" si="1"/>
        <v>0</v>
      </c>
    </row>
    <row r="1250" ht="15.75" customHeight="1">
      <c r="B1250" s="370">
        <f t="shared" si="2"/>
        <v>0.1443287037</v>
      </c>
      <c r="C1250" s="56">
        <f t="shared" si="3"/>
        <v>12470</v>
      </c>
      <c r="D1250" s="56">
        <v>2.435</v>
      </c>
      <c r="F1250" s="371">
        <v>1247.0</v>
      </c>
      <c r="G1250" s="372">
        <f t="shared" si="1"/>
        <v>0</v>
      </c>
    </row>
    <row r="1251" ht="15.75" customHeight="1">
      <c r="B1251" s="370">
        <f t="shared" si="2"/>
        <v>0.1444444444</v>
      </c>
      <c r="C1251" s="56">
        <f t="shared" si="3"/>
        <v>12480</v>
      </c>
      <c r="D1251" s="56">
        <v>2.281</v>
      </c>
      <c r="F1251" s="371">
        <v>1248.0</v>
      </c>
      <c r="G1251" s="372">
        <f t="shared" si="1"/>
        <v>0</v>
      </c>
    </row>
    <row r="1252" ht="15.75" customHeight="1">
      <c r="B1252" s="370">
        <f t="shared" si="2"/>
        <v>0.1445601852</v>
      </c>
      <c r="C1252" s="56">
        <f t="shared" si="3"/>
        <v>12490</v>
      </c>
      <c r="D1252" s="56">
        <v>3.208</v>
      </c>
      <c r="F1252" s="371">
        <v>1249.0</v>
      </c>
      <c r="G1252" s="372">
        <f t="shared" si="1"/>
        <v>0</v>
      </c>
    </row>
    <row r="1253" ht="15.75" customHeight="1">
      <c r="B1253" s="370">
        <f t="shared" si="2"/>
        <v>0.1446759259</v>
      </c>
      <c r="C1253" s="56">
        <f t="shared" si="3"/>
        <v>12500</v>
      </c>
      <c r="D1253" s="56">
        <v>3.462</v>
      </c>
      <c r="F1253" s="371">
        <v>1250.0</v>
      </c>
      <c r="G1253" s="372">
        <f t="shared" si="1"/>
        <v>0</v>
      </c>
    </row>
    <row r="1254" ht="15.75" customHeight="1">
      <c r="B1254" s="370">
        <f t="shared" si="2"/>
        <v>0.1447916667</v>
      </c>
      <c r="C1254" s="56">
        <f t="shared" si="3"/>
        <v>12510</v>
      </c>
      <c r="D1254" s="56">
        <v>3.482</v>
      </c>
      <c r="F1254" s="371">
        <v>1251.0</v>
      </c>
      <c r="G1254" s="372">
        <f t="shared" si="1"/>
        <v>0</v>
      </c>
    </row>
    <row r="1255" ht="15.75" customHeight="1">
      <c r="B1255" s="370">
        <f t="shared" si="2"/>
        <v>0.1449074074</v>
      </c>
      <c r="C1255" s="56">
        <f t="shared" si="3"/>
        <v>12520</v>
      </c>
      <c r="D1255" s="56">
        <v>3.501</v>
      </c>
      <c r="F1255" s="371">
        <v>1252.0</v>
      </c>
      <c r="G1255" s="372">
        <f t="shared" si="1"/>
        <v>0</v>
      </c>
    </row>
    <row r="1256" ht="15.75" customHeight="1">
      <c r="B1256" s="370">
        <f t="shared" si="2"/>
        <v>0.1450231481</v>
      </c>
      <c r="C1256" s="56">
        <f t="shared" si="3"/>
        <v>12530</v>
      </c>
      <c r="D1256" s="56">
        <v>3.152</v>
      </c>
      <c r="F1256" s="371">
        <v>1253.0</v>
      </c>
      <c r="G1256" s="372">
        <f t="shared" si="1"/>
        <v>0</v>
      </c>
    </row>
    <row r="1257" ht="15.75" customHeight="1">
      <c r="B1257" s="370">
        <f t="shared" si="2"/>
        <v>0.1451388889</v>
      </c>
      <c r="C1257" s="56">
        <f t="shared" si="3"/>
        <v>12540</v>
      </c>
      <c r="D1257" s="56">
        <v>2.437</v>
      </c>
      <c r="F1257" s="371">
        <v>1254.0</v>
      </c>
      <c r="G1257" s="372">
        <f t="shared" si="1"/>
        <v>0</v>
      </c>
    </row>
    <row r="1258" ht="15.75" customHeight="1">
      <c r="B1258" s="370">
        <f t="shared" si="2"/>
        <v>0.1452546296</v>
      </c>
      <c r="C1258" s="56">
        <f t="shared" si="3"/>
        <v>12550</v>
      </c>
      <c r="D1258" s="56">
        <v>1.956</v>
      </c>
      <c r="F1258" s="371">
        <v>1255.0</v>
      </c>
      <c r="G1258" s="372">
        <f t="shared" si="1"/>
        <v>0</v>
      </c>
    </row>
    <row r="1259" ht="15.75" customHeight="1">
      <c r="B1259" s="370">
        <f t="shared" si="2"/>
        <v>0.1453703704</v>
      </c>
      <c r="C1259" s="56">
        <f t="shared" si="3"/>
        <v>12560</v>
      </c>
      <c r="D1259" s="56">
        <v>2.321</v>
      </c>
      <c r="F1259" s="371">
        <v>1256.0</v>
      </c>
      <c r="G1259" s="372">
        <f t="shared" si="1"/>
        <v>0</v>
      </c>
    </row>
    <row r="1260" ht="15.75" customHeight="1">
      <c r="B1260" s="370">
        <f t="shared" si="2"/>
        <v>0.1454861111</v>
      </c>
      <c r="C1260" s="56">
        <f t="shared" si="3"/>
        <v>12570</v>
      </c>
      <c r="D1260" s="56">
        <v>2.704</v>
      </c>
      <c r="F1260" s="371">
        <v>1257.0</v>
      </c>
      <c r="G1260" s="372">
        <f t="shared" si="1"/>
        <v>0</v>
      </c>
    </row>
    <row r="1261" ht="15.75" customHeight="1">
      <c r="B1261" s="370">
        <f t="shared" si="2"/>
        <v>0.1456018519</v>
      </c>
      <c r="C1261" s="56">
        <f t="shared" si="3"/>
        <v>12580</v>
      </c>
      <c r="D1261" s="56">
        <v>3.058</v>
      </c>
      <c r="F1261" s="371">
        <v>1258.0</v>
      </c>
      <c r="G1261" s="372">
        <f t="shared" si="1"/>
        <v>0</v>
      </c>
    </row>
    <row r="1262" ht="15.75" customHeight="1">
      <c r="B1262" s="370">
        <f t="shared" si="2"/>
        <v>0.1457175926</v>
      </c>
      <c r="C1262" s="56">
        <f t="shared" si="3"/>
        <v>12590</v>
      </c>
      <c r="D1262" s="56">
        <v>3.331</v>
      </c>
      <c r="F1262" s="371">
        <v>1259.0</v>
      </c>
      <c r="G1262" s="372">
        <f t="shared" si="1"/>
        <v>0</v>
      </c>
    </row>
    <row r="1263" ht="15.75" customHeight="1">
      <c r="B1263" s="370">
        <f t="shared" si="2"/>
        <v>0.1458333333</v>
      </c>
      <c r="C1263" s="56">
        <f t="shared" si="3"/>
        <v>12600</v>
      </c>
      <c r="D1263" s="56">
        <v>3.248</v>
      </c>
      <c r="F1263" s="371">
        <v>1260.0</v>
      </c>
      <c r="G1263" s="372">
        <f t="shared" si="1"/>
        <v>0</v>
      </c>
    </row>
    <row r="1264" ht="15.75" customHeight="1">
      <c r="B1264" s="370">
        <f t="shared" si="2"/>
        <v>0.1459490741</v>
      </c>
      <c r="C1264" s="56">
        <f t="shared" si="3"/>
        <v>12610</v>
      </c>
      <c r="D1264" s="56">
        <v>3.174</v>
      </c>
      <c r="F1264" s="371">
        <v>1261.0</v>
      </c>
      <c r="G1264" s="372">
        <f t="shared" si="1"/>
        <v>0</v>
      </c>
    </row>
    <row r="1265" ht="15.75" customHeight="1">
      <c r="B1265" s="370">
        <f t="shared" si="2"/>
        <v>0.1460648148</v>
      </c>
      <c r="C1265" s="56">
        <f t="shared" si="3"/>
        <v>12620</v>
      </c>
      <c r="D1265" s="56">
        <v>2.835</v>
      </c>
      <c r="F1265" s="371">
        <v>1262.0</v>
      </c>
      <c r="G1265" s="372">
        <f t="shared" si="1"/>
        <v>0</v>
      </c>
    </row>
    <row r="1266" ht="15.75" customHeight="1">
      <c r="B1266" s="370">
        <f t="shared" si="2"/>
        <v>0.1461805556</v>
      </c>
      <c r="C1266" s="56">
        <f t="shared" si="3"/>
        <v>12630</v>
      </c>
      <c r="D1266" s="56">
        <v>2.739</v>
      </c>
      <c r="F1266" s="371">
        <v>1263.0</v>
      </c>
      <c r="G1266" s="372">
        <f t="shared" si="1"/>
        <v>0</v>
      </c>
    </row>
    <row r="1267" ht="15.75" customHeight="1">
      <c r="B1267" s="370">
        <f t="shared" si="2"/>
        <v>0.1462962963</v>
      </c>
      <c r="C1267" s="56">
        <f t="shared" si="3"/>
        <v>12640</v>
      </c>
      <c r="D1267" s="56">
        <v>2.754</v>
      </c>
      <c r="F1267" s="371">
        <v>1264.0</v>
      </c>
      <c r="G1267" s="372">
        <f t="shared" si="1"/>
        <v>0</v>
      </c>
    </row>
    <row r="1268" ht="15.75" customHeight="1">
      <c r="B1268" s="370">
        <f t="shared" si="2"/>
        <v>0.146412037</v>
      </c>
      <c r="C1268" s="56">
        <f t="shared" si="3"/>
        <v>12650</v>
      </c>
      <c r="D1268" s="56">
        <v>2.75</v>
      </c>
      <c r="F1268" s="371">
        <v>1265.0</v>
      </c>
      <c r="G1268" s="372">
        <f t="shared" si="1"/>
        <v>0</v>
      </c>
    </row>
    <row r="1269" ht="15.75" customHeight="1">
      <c r="B1269" s="370">
        <f t="shared" si="2"/>
        <v>0.1465277778</v>
      </c>
      <c r="C1269" s="56">
        <f t="shared" si="3"/>
        <v>12660</v>
      </c>
      <c r="D1269" s="56">
        <v>2.673</v>
      </c>
      <c r="F1269" s="371">
        <v>1266.0</v>
      </c>
      <c r="G1269" s="372">
        <f t="shared" si="1"/>
        <v>0</v>
      </c>
    </row>
    <row r="1270" ht="15.75" customHeight="1">
      <c r="B1270" s="370">
        <f t="shared" si="2"/>
        <v>0.1466435185</v>
      </c>
      <c r="C1270" s="56">
        <f t="shared" si="3"/>
        <v>12670</v>
      </c>
      <c r="D1270" s="56">
        <v>2.552</v>
      </c>
      <c r="F1270" s="371">
        <v>1267.0</v>
      </c>
      <c r="G1270" s="372">
        <f t="shared" si="1"/>
        <v>0</v>
      </c>
    </row>
    <row r="1271" ht="15.75" customHeight="1">
      <c r="B1271" s="370">
        <f t="shared" si="2"/>
        <v>0.1467592593</v>
      </c>
      <c r="C1271" s="56">
        <f t="shared" si="3"/>
        <v>12680</v>
      </c>
      <c r="D1271" s="56">
        <v>2.337</v>
      </c>
      <c r="F1271" s="371">
        <v>1268.0</v>
      </c>
      <c r="G1271" s="372">
        <f t="shared" si="1"/>
        <v>0</v>
      </c>
    </row>
    <row r="1272" ht="15.75" customHeight="1">
      <c r="B1272" s="370">
        <f t="shared" si="2"/>
        <v>0.146875</v>
      </c>
      <c r="C1272" s="56">
        <f t="shared" si="3"/>
        <v>12690</v>
      </c>
      <c r="D1272" s="56">
        <v>3.034</v>
      </c>
      <c r="F1272" s="371">
        <v>1269.0</v>
      </c>
      <c r="G1272" s="372">
        <f t="shared" si="1"/>
        <v>0</v>
      </c>
    </row>
    <row r="1273" ht="15.75" customHeight="1">
      <c r="B1273" s="370">
        <f t="shared" si="2"/>
        <v>0.1469907407</v>
      </c>
      <c r="C1273" s="56">
        <f t="shared" si="3"/>
        <v>12700</v>
      </c>
      <c r="D1273" s="56">
        <v>3.381</v>
      </c>
      <c r="F1273" s="371">
        <v>1270.0</v>
      </c>
      <c r="G1273" s="372">
        <f t="shared" si="1"/>
        <v>0</v>
      </c>
    </row>
    <row r="1274" ht="15.75" customHeight="1">
      <c r="B1274" s="370">
        <f t="shared" si="2"/>
        <v>0.1471064815</v>
      </c>
      <c r="C1274" s="56">
        <f t="shared" si="3"/>
        <v>12710</v>
      </c>
      <c r="D1274" s="56">
        <v>3.429</v>
      </c>
      <c r="F1274" s="371">
        <v>1271.0</v>
      </c>
      <c r="G1274" s="372">
        <f t="shared" si="1"/>
        <v>0.9361666667</v>
      </c>
    </row>
    <row r="1275" ht="15.75" customHeight="1">
      <c r="B1275" s="370">
        <f t="shared" si="2"/>
        <v>0.1472222222</v>
      </c>
      <c r="C1275" s="56">
        <f t="shared" si="3"/>
        <v>12720</v>
      </c>
      <c r="D1275" s="56">
        <v>3.476</v>
      </c>
      <c r="F1275" s="371">
        <v>1272.0</v>
      </c>
      <c r="G1275" s="372">
        <f t="shared" si="1"/>
        <v>2.713</v>
      </c>
    </row>
    <row r="1276" ht="15.75" customHeight="1">
      <c r="B1276" s="370">
        <f t="shared" si="2"/>
        <v>0.147337963</v>
      </c>
      <c r="C1276" s="56">
        <f t="shared" si="3"/>
        <v>12730</v>
      </c>
      <c r="D1276" s="56">
        <v>3.21</v>
      </c>
      <c r="F1276" s="371">
        <v>1273.0</v>
      </c>
      <c r="G1276" s="372">
        <f t="shared" si="1"/>
        <v>2.9865</v>
      </c>
    </row>
    <row r="1277" ht="15.75" customHeight="1">
      <c r="B1277" s="370">
        <f t="shared" si="2"/>
        <v>0.1474537037</v>
      </c>
      <c r="C1277" s="56">
        <f t="shared" si="3"/>
        <v>12740</v>
      </c>
      <c r="D1277" s="56">
        <v>2.593</v>
      </c>
      <c r="F1277" s="371">
        <v>1274.0</v>
      </c>
      <c r="G1277" s="372">
        <f t="shared" si="1"/>
        <v>2.695666667</v>
      </c>
    </row>
    <row r="1278" ht="15.75" customHeight="1">
      <c r="B1278" s="370">
        <f t="shared" si="2"/>
        <v>0.1475694444</v>
      </c>
      <c r="C1278" s="56">
        <f t="shared" si="3"/>
        <v>12750</v>
      </c>
      <c r="D1278" s="56">
        <v>2.083</v>
      </c>
      <c r="F1278" s="371">
        <v>1275.0</v>
      </c>
      <c r="G1278" s="372">
        <f t="shared" si="1"/>
        <v>3.0005</v>
      </c>
    </row>
    <row r="1279" ht="15.75" customHeight="1">
      <c r="B1279" s="370">
        <f t="shared" si="2"/>
        <v>0.1476851852</v>
      </c>
      <c r="C1279" s="56">
        <f t="shared" si="3"/>
        <v>12760</v>
      </c>
      <c r="D1279" s="56">
        <v>2.119</v>
      </c>
      <c r="F1279" s="371">
        <v>1276.0</v>
      </c>
      <c r="G1279" s="372">
        <f t="shared" si="1"/>
        <v>2.957666667</v>
      </c>
    </row>
    <row r="1280" ht="15.75" customHeight="1">
      <c r="B1280" s="370">
        <f t="shared" si="2"/>
        <v>0.1478009259</v>
      </c>
      <c r="C1280" s="56">
        <f t="shared" si="3"/>
        <v>12770</v>
      </c>
      <c r="D1280" s="56">
        <v>2.59</v>
      </c>
      <c r="F1280" s="371">
        <v>1277.0</v>
      </c>
      <c r="G1280" s="372">
        <f t="shared" si="1"/>
        <v>2.731166667</v>
      </c>
    </row>
    <row r="1281" ht="15.75" customHeight="1">
      <c r="B1281" s="370">
        <f t="shared" si="2"/>
        <v>0.1479166667</v>
      </c>
      <c r="C1281" s="56">
        <f t="shared" si="3"/>
        <v>12780</v>
      </c>
      <c r="D1281" s="56">
        <v>3.041</v>
      </c>
      <c r="F1281" s="371">
        <v>1278.0</v>
      </c>
      <c r="G1281" s="372">
        <f t="shared" si="1"/>
        <v>3.148</v>
      </c>
    </row>
    <row r="1282" ht="15.75" customHeight="1">
      <c r="B1282" s="370">
        <f t="shared" si="2"/>
        <v>0.1480324074</v>
      </c>
      <c r="C1282" s="56">
        <f t="shared" si="3"/>
        <v>12790</v>
      </c>
      <c r="D1282" s="56">
        <v>3.402</v>
      </c>
      <c r="F1282" s="371">
        <v>1279.0</v>
      </c>
      <c r="G1282" s="372">
        <f t="shared" si="1"/>
        <v>2.634333333</v>
      </c>
    </row>
    <row r="1283" ht="15.75" customHeight="1">
      <c r="B1283" s="370">
        <f t="shared" si="2"/>
        <v>0.1481481481</v>
      </c>
      <c r="C1283" s="56">
        <f t="shared" si="3"/>
        <v>12800</v>
      </c>
      <c r="D1283" s="56">
        <v>3.355</v>
      </c>
      <c r="F1283" s="371">
        <v>1280.0</v>
      </c>
      <c r="G1283" s="372">
        <f t="shared" si="1"/>
        <v>2.933333333</v>
      </c>
    </row>
    <row r="1284" ht="15.75" customHeight="1">
      <c r="B1284" s="370">
        <f t="shared" si="2"/>
        <v>0.1482638889</v>
      </c>
      <c r="C1284" s="56">
        <f t="shared" si="3"/>
        <v>12810</v>
      </c>
      <c r="D1284" s="56">
        <v>3.274</v>
      </c>
      <c r="F1284" s="371">
        <v>1281.0</v>
      </c>
      <c r="G1284" s="372">
        <f t="shared" si="1"/>
        <v>2.902666667</v>
      </c>
    </row>
    <row r="1285" ht="15.75" customHeight="1">
      <c r="B1285" s="370">
        <f t="shared" si="2"/>
        <v>0.1483796296</v>
      </c>
      <c r="C1285" s="56">
        <f t="shared" si="3"/>
        <v>12820</v>
      </c>
      <c r="D1285" s="56">
        <v>3.084</v>
      </c>
      <c r="F1285" s="371">
        <v>1282.0</v>
      </c>
      <c r="G1285" s="372">
        <f t="shared" si="1"/>
        <v>2.6755</v>
      </c>
    </row>
    <row r="1286" ht="15.75" customHeight="1">
      <c r="B1286" s="370">
        <f t="shared" si="2"/>
        <v>0.1484953704</v>
      </c>
      <c r="C1286" s="56">
        <f t="shared" si="3"/>
        <v>12830</v>
      </c>
      <c r="D1286" s="56">
        <v>2.463</v>
      </c>
      <c r="F1286" s="371">
        <v>1283.0</v>
      </c>
      <c r="G1286" s="372">
        <f t="shared" si="1"/>
        <v>3.136833333</v>
      </c>
    </row>
    <row r="1287" ht="15.75" customHeight="1">
      <c r="B1287" s="370">
        <f t="shared" si="2"/>
        <v>0.1486111111</v>
      </c>
      <c r="C1287" s="56">
        <f t="shared" si="3"/>
        <v>12840</v>
      </c>
      <c r="D1287" s="56">
        <v>2.644</v>
      </c>
      <c r="F1287" s="371">
        <v>1284.0</v>
      </c>
      <c r="G1287" s="372">
        <f t="shared" si="1"/>
        <v>2.69</v>
      </c>
    </row>
    <row r="1288" ht="15.75" customHeight="1">
      <c r="B1288" s="370">
        <f t="shared" si="2"/>
        <v>0.1487268519</v>
      </c>
      <c r="C1288" s="56">
        <f t="shared" si="3"/>
        <v>12850</v>
      </c>
      <c r="D1288" s="56">
        <v>2.727</v>
      </c>
      <c r="F1288" s="371">
        <v>1285.0</v>
      </c>
      <c r="G1288" s="372">
        <f t="shared" si="1"/>
        <v>3.030666667</v>
      </c>
    </row>
    <row r="1289" ht="15.75" customHeight="1">
      <c r="B1289" s="370">
        <f t="shared" si="2"/>
        <v>0.1488425926</v>
      </c>
      <c r="C1289" s="56">
        <f t="shared" si="3"/>
        <v>12860</v>
      </c>
      <c r="D1289" s="56">
        <v>2.714</v>
      </c>
      <c r="F1289" s="371">
        <v>1286.0</v>
      </c>
      <c r="G1289" s="372">
        <f t="shared" si="1"/>
        <v>2.931333333</v>
      </c>
    </row>
    <row r="1290" ht="15.75" customHeight="1">
      <c r="B1290" s="370">
        <f t="shared" si="2"/>
        <v>0.1489583333</v>
      </c>
      <c r="C1290" s="56">
        <f t="shared" si="3"/>
        <v>12870</v>
      </c>
      <c r="D1290" s="56">
        <v>2.699</v>
      </c>
      <c r="F1290" s="371">
        <v>1287.0</v>
      </c>
      <c r="G1290" s="372">
        <f t="shared" si="1"/>
        <v>2.742333333</v>
      </c>
    </row>
    <row r="1291" ht="15.75" customHeight="1">
      <c r="B1291" s="370">
        <f t="shared" si="2"/>
        <v>0.1490740741</v>
      </c>
      <c r="C1291" s="56">
        <f t="shared" si="3"/>
        <v>12880</v>
      </c>
      <c r="D1291" s="56">
        <v>2.522</v>
      </c>
      <c r="F1291" s="371">
        <v>1288.0</v>
      </c>
      <c r="G1291" s="372">
        <f t="shared" si="1"/>
        <v>3.012166667</v>
      </c>
    </row>
    <row r="1292" ht="15.75" customHeight="1">
      <c r="B1292" s="370">
        <f t="shared" si="2"/>
        <v>0.1491898148</v>
      </c>
      <c r="C1292" s="56">
        <f t="shared" si="3"/>
        <v>12890</v>
      </c>
      <c r="D1292" s="56">
        <v>2.896</v>
      </c>
      <c r="F1292" s="371">
        <v>1289.0</v>
      </c>
      <c r="G1292" s="372">
        <f t="shared" si="1"/>
        <v>2.66</v>
      </c>
    </row>
    <row r="1293" ht="15.75" customHeight="1">
      <c r="B1293" s="370">
        <f t="shared" si="2"/>
        <v>0.1493055556</v>
      </c>
      <c r="C1293" s="56">
        <f t="shared" si="3"/>
        <v>12900</v>
      </c>
      <c r="D1293" s="56">
        <v>3.28</v>
      </c>
      <c r="F1293" s="371">
        <v>1290.0</v>
      </c>
      <c r="G1293" s="372">
        <f t="shared" si="1"/>
        <v>2.974666667</v>
      </c>
    </row>
    <row r="1294" ht="15.75" customHeight="1">
      <c r="B1294" s="370">
        <f t="shared" si="2"/>
        <v>0.1494212963</v>
      </c>
      <c r="C1294" s="56">
        <f t="shared" si="3"/>
        <v>12910</v>
      </c>
      <c r="D1294" s="56">
        <v>3.342</v>
      </c>
      <c r="F1294" s="371">
        <v>1291.0</v>
      </c>
      <c r="G1294" s="372">
        <f t="shared" si="1"/>
        <v>2.866666667</v>
      </c>
    </row>
    <row r="1295" ht="15.75" customHeight="1">
      <c r="B1295" s="370">
        <f t="shared" si="2"/>
        <v>0.149537037</v>
      </c>
      <c r="C1295" s="56">
        <f t="shared" si="3"/>
        <v>12920</v>
      </c>
      <c r="D1295" s="56">
        <v>3.421</v>
      </c>
      <c r="F1295" s="371">
        <v>1292.0</v>
      </c>
      <c r="G1295" s="372">
        <f t="shared" si="1"/>
        <v>2.689666667</v>
      </c>
    </row>
    <row r="1296" ht="15.75" customHeight="1">
      <c r="B1296" s="370">
        <f t="shared" si="2"/>
        <v>0.1496527778</v>
      </c>
      <c r="C1296" s="56">
        <f t="shared" si="3"/>
        <v>12930</v>
      </c>
      <c r="D1296" s="56">
        <v>3.229</v>
      </c>
      <c r="F1296" s="371">
        <v>1293.0</v>
      </c>
      <c r="G1296" s="372">
        <f t="shared" si="1"/>
        <v>3.254833333</v>
      </c>
    </row>
    <row r="1297" ht="15.75" customHeight="1">
      <c r="B1297" s="370">
        <f t="shared" si="2"/>
        <v>0.1497685185</v>
      </c>
      <c r="C1297" s="56">
        <f t="shared" si="3"/>
        <v>12940</v>
      </c>
      <c r="D1297" s="56">
        <v>2.715</v>
      </c>
      <c r="F1297" s="371">
        <v>1294.0</v>
      </c>
      <c r="G1297" s="372">
        <f t="shared" si="1"/>
        <v>2.6495</v>
      </c>
    </row>
    <row r="1298" ht="15.75" customHeight="1">
      <c r="B1298" s="370">
        <f t="shared" si="2"/>
        <v>0.1498842593</v>
      </c>
      <c r="C1298" s="56">
        <f t="shared" si="3"/>
        <v>12950</v>
      </c>
      <c r="D1298" s="56">
        <v>2.215</v>
      </c>
      <c r="F1298" s="371">
        <v>1295.0</v>
      </c>
      <c r="G1298" s="372">
        <f t="shared" si="1"/>
        <v>2.898166667</v>
      </c>
    </row>
    <row r="1299" ht="15.75" customHeight="1">
      <c r="B1299" s="370">
        <f t="shared" si="2"/>
        <v>0.15</v>
      </c>
      <c r="C1299" s="56">
        <f t="shared" si="3"/>
        <v>12960</v>
      </c>
      <c r="D1299" s="56">
        <v>1.951</v>
      </c>
      <c r="F1299" s="371">
        <v>1296.0</v>
      </c>
      <c r="G1299" s="372">
        <f t="shared" si="1"/>
        <v>2.917833333</v>
      </c>
    </row>
    <row r="1300" ht="15.75" customHeight="1">
      <c r="B1300" s="370">
        <f t="shared" si="2"/>
        <v>0.1501157407</v>
      </c>
      <c r="C1300" s="56">
        <f t="shared" si="3"/>
        <v>12970</v>
      </c>
      <c r="D1300" s="56">
        <v>2.405</v>
      </c>
      <c r="F1300" s="371">
        <v>1297.0</v>
      </c>
      <c r="G1300" s="372">
        <f t="shared" si="1"/>
        <v>2.707333333</v>
      </c>
    </row>
    <row r="1301" ht="15.75" customHeight="1">
      <c r="B1301" s="370">
        <f t="shared" si="2"/>
        <v>0.1502314815</v>
      </c>
      <c r="C1301" s="56">
        <f t="shared" si="3"/>
        <v>12980</v>
      </c>
      <c r="D1301" s="56">
        <v>2.986</v>
      </c>
      <c r="F1301" s="371">
        <v>1298.0</v>
      </c>
      <c r="G1301" s="372">
        <f t="shared" si="1"/>
        <v>3.0155</v>
      </c>
    </row>
    <row r="1302" ht="15.75" customHeight="1">
      <c r="B1302" s="370">
        <f t="shared" si="2"/>
        <v>0.1503472222</v>
      </c>
      <c r="C1302" s="56">
        <f t="shared" si="3"/>
        <v>12990</v>
      </c>
      <c r="D1302" s="56">
        <v>3.438</v>
      </c>
      <c r="F1302" s="371">
        <v>1299.0</v>
      </c>
      <c r="G1302" s="372">
        <f t="shared" si="1"/>
        <v>2.6875</v>
      </c>
    </row>
    <row r="1303" ht="15.75" customHeight="1">
      <c r="B1303" s="370">
        <f t="shared" si="2"/>
        <v>0.150462963</v>
      </c>
      <c r="C1303" s="56">
        <f t="shared" si="3"/>
        <v>13000</v>
      </c>
      <c r="D1303" s="56">
        <v>3.443</v>
      </c>
      <c r="F1303" s="371">
        <v>1300.0</v>
      </c>
      <c r="G1303" s="372">
        <f t="shared" si="1"/>
        <v>2.997166667</v>
      </c>
    </row>
    <row r="1304" ht="15.75" customHeight="1">
      <c r="B1304" s="370">
        <f t="shared" si="2"/>
        <v>0.1505787037</v>
      </c>
      <c r="C1304" s="56">
        <f t="shared" si="3"/>
        <v>13010</v>
      </c>
      <c r="D1304" s="56">
        <v>3.394</v>
      </c>
      <c r="F1304" s="371">
        <v>1301.0</v>
      </c>
      <c r="G1304" s="372">
        <f t="shared" si="1"/>
        <v>2.9665</v>
      </c>
    </row>
    <row r="1305" ht="15.75" customHeight="1">
      <c r="B1305" s="370">
        <f t="shared" si="2"/>
        <v>0.1506944444</v>
      </c>
      <c r="C1305" s="56">
        <f t="shared" si="3"/>
        <v>13020</v>
      </c>
      <c r="D1305" s="56">
        <v>3.232</v>
      </c>
      <c r="F1305" s="371">
        <v>1302.0</v>
      </c>
      <c r="G1305" s="372">
        <f t="shared" si="1"/>
        <v>2.737666667</v>
      </c>
    </row>
    <row r="1306" ht="15.75" customHeight="1">
      <c r="B1306" s="370">
        <f t="shared" si="2"/>
        <v>0.1508101852</v>
      </c>
      <c r="C1306" s="56">
        <f t="shared" si="3"/>
        <v>13030</v>
      </c>
      <c r="D1306" s="56">
        <v>2.487</v>
      </c>
      <c r="F1306" s="371">
        <v>1303.0</v>
      </c>
      <c r="G1306" s="372">
        <f t="shared" si="1"/>
        <v>3.132</v>
      </c>
    </row>
    <row r="1307" ht="15.75" customHeight="1">
      <c r="B1307" s="370">
        <f t="shared" si="2"/>
        <v>0.1509259259</v>
      </c>
      <c r="C1307" s="56">
        <f t="shared" si="3"/>
        <v>13040</v>
      </c>
      <c r="D1307" s="56">
        <v>2.498</v>
      </c>
      <c r="F1307" s="371">
        <v>1304.0</v>
      </c>
      <c r="G1307" s="372">
        <f t="shared" si="1"/>
        <v>2.640666667</v>
      </c>
    </row>
    <row r="1308" ht="15.75" customHeight="1">
      <c r="B1308" s="370">
        <f t="shared" si="2"/>
        <v>0.1510416667</v>
      </c>
      <c r="C1308" s="56">
        <f t="shared" si="3"/>
        <v>13050</v>
      </c>
      <c r="D1308" s="56">
        <v>0.0</v>
      </c>
      <c r="F1308" s="371">
        <v>1305.0</v>
      </c>
      <c r="G1308" s="372">
        <f t="shared" si="1"/>
        <v>2.933166667</v>
      </c>
    </row>
    <row r="1309" ht="15.75" customHeight="1">
      <c r="B1309" s="370">
        <f t="shared" si="2"/>
        <v>0.1511574074</v>
      </c>
      <c r="C1309" s="56">
        <f t="shared" si="3"/>
        <v>13060</v>
      </c>
      <c r="D1309" s="56">
        <v>0.0</v>
      </c>
      <c r="F1309" s="371">
        <v>1306.0</v>
      </c>
      <c r="G1309" s="372">
        <f t="shared" si="1"/>
        <v>2.893333333</v>
      </c>
    </row>
    <row r="1310" ht="15.75" customHeight="1">
      <c r="B1310" s="370">
        <f t="shared" si="2"/>
        <v>0.1512731481</v>
      </c>
      <c r="C1310" s="56">
        <f t="shared" si="3"/>
        <v>13070</v>
      </c>
      <c r="D1310" s="56">
        <v>0.0</v>
      </c>
      <c r="F1310" s="371">
        <v>1307.0</v>
      </c>
      <c r="G1310" s="372">
        <f t="shared" si="1"/>
        <v>2.673833333</v>
      </c>
    </row>
    <row r="1311" ht="15.75" customHeight="1">
      <c r="B1311" s="370">
        <f t="shared" si="2"/>
        <v>0.1513888889</v>
      </c>
      <c r="C1311" s="56">
        <f t="shared" si="3"/>
        <v>13080</v>
      </c>
      <c r="D1311" s="56">
        <v>0.0</v>
      </c>
      <c r="F1311" s="371">
        <v>1308.0</v>
      </c>
      <c r="G1311" s="372">
        <f t="shared" si="1"/>
        <v>3.174833333</v>
      </c>
    </row>
    <row r="1312" ht="15.75" customHeight="1">
      <c r="B1312" s="370">
        <f t="shared" si="2"/>
        <v>0.1515046296</v>
      </c>
      <c r="C1312" s="56">
        <f t="shared" si="3"/>
        <v>13090</v>
      </c>
      <c r="D1312" s="56">
        <v>0.0</v>
      </c>
      <c r="F1312" s="371">
        <v>1309.0</v>
      </c>
      <c r="G1312" s="372">
        <f t="shared" si="1"/>
        <v>2.675</v>
      </c>
    </row>
    <row r="1313" ht="15.75" customHeight="1">
      <c r="B1313" s="370">
        <f t="shared" si="2"/>
        <v>0.1516203704</v>
      </c>
      <c r="C1313" s="56">
        <f t="shared" si="3"/>
        <v>13100</v>
      </c>
      <c r="D1313" s="56">
        <v>0.0</v>
      </c>
      <c r="F1313" s="371">
        <v>1310.0</v>
      </c>
      <c r="G1313" s="372">
        <f t="shared" si="1"/>
        <v>3.014</v>
      </c>
    </row>
    <row r="1314" ht="15.75" customHeight="1">
      <c r="B1314" s="370">
        <f t="shared" si="2"/>
        <v>0.1517361111</v>
      </c>
      <c r="C1314" s="56">
        <f t="shared" si="3"/>
        <v>13110</v>
      </c>
      <c r="D1314" s="56">
        <v>0.0</v>
      </c>
      <c r="F1314" s="371">
        <v>1311.0</v>
      </c>
      <c r="G1314" s="372">
        <f t="shared" si="1"/>
        <v>2.927333333</v>
      </c>
    </row>
    <row r="1315" ht="15.75" customHeight="1">
      <c r="B1315" s="370">
        <f t="shared" si="2"/>
        <v>0.1518518519</v>
      </c>
      <c r="C1315" s="56">
        <f t="shared" si="3"/>
        <v>13120</v>
      </c>
      <c r="D1315" s="56">
        <v>0.0</v>
      </c>
      <c r="F1315" s="371">
        <v>1312.0</v>
      </c>
      <c r="G1315" s="372">
        <f t="shared" si="1"/>
        <v>2.738166667</v>
      </c>
    </row>
    <row r="1316" ht="15.75" customHeight="1">
      <c r="B1316" s="370">
        <f t="shared" si="2"/>
        <v>0.1519675926</v>
      </c>
      <c r="C1316" s="56">
        <f t="shared" si="3"/>
        <v>13130</v>
      </c>
      <c r="D1316" s="56">
        <v>0.0</v>
      </c>
      <c r="F1316" s="371">
        <v>1313.0</v>
      </c>
      <c r="G1316" s="372">
        <f t="shared" si="1"/>
        <v>2.9925</v>
      </c>
    </row>
    <row r="1317" ht="15.75" customHeight="1">
      <c r="B1317" s="370">
        <f t="shared" si="2"/>
        <v>0.1520833333</v>
      </c>
      <c r="C1317" s="56">
        <f t="shared" si="3"/>
        <v>13140</v>
      </c>
      <c r="D1317" s="56">
        <v>0.0</v>
      </c>
      <c r="F1317" s="371">
        <v>1314.0</v>
      </c>
      <c r="G1317" s="372">
        <f t="shared" si="1"/>
        <v>2.655</v>
      </c>
    </row>
    <row r="1318" ht="15.75" customHeight="1">
      <c r="B1318" s="370">
        <f t="shared" si="2"/>
        <v>0.1521990741</v>
      </c>
      <c r="C1318" s="56">
        <f t="shared" si="3"/>
        <v>13150</v>
      </c>
      <c r="D1318" s="56">
        <v>0.0</v>
      </c>
      <c r="F1318" s="371">
        <v>1315.0</v>
      </c>
      <c r="G1318" s="372">
        <f t="shared" si="1"/>
        <v>2.965833333</v>
      </c>
    </row>
    <row r="1319" ht="15.75" customHeight="1">
      <c r="B1319" s="370">
        <f t="shared" si="2"/>
        <v>0.1523148148</v>
      </c>
      <c r="C1319" s="56">
        <f t="shared" si="3"/>
        <v>13160</v>
      </c>
      <c r="D1319" s="56">
        <v>0.0</v>
      </c>
      <c r="F1319" s="371">
        <v>1316.0</v>
      </c>
      <c r="G1319" s="372">
        <f t="shared" si="1"/>
        <v>2.870666667</v>
      </c>
    </row>
    <row r="1320" ht="15.75" customHeight="1">
      <c r="B1320" s="370">
        <f t="shared" si="2"/>
        <v>0.1524305556</v>
      </c>
      <c r="C1320" s="56">
        <f t="shared" si="3"/>
        <v>13170</v>
      </c>
      <c r="D1320" s="56">
        <v>0.0</v>
      </c>
      <c r="F1320" s="371">
        <v>1317.0</v>
      </c>
      <c r="G1320" s="372">
        <f t="shared" si="1"/>
        <v>2.702666667</v>
      </c>
    </row>
    <row r="1321" ht="15.75" customHeight="1">
      <c r="B1321" s="370">
        <f t="shared" si="2"/>
        <v>0.1525462963</v>
      </c>
      <c r="C1321" s="56">
        <f t="shared" si="3"/>
        <v>13180</v>
      </c>
      <c r="D1321" s="56">
        <v>0.0</v>
      </c>
      <c r="F1321" s="371">
        <v>1318.0</v>
      </c>
      <c r="G1321" s="372">
        <f t="shared" si="1"/>
        <v>3.245333333</v>
      </c>
    </row>
    <row r="1322" ht="15.75" customHeight="1">
      <c r="B1322" s="370">
        <f t="shared" si="2"/>
        <v>0.152662037</v>
      </c>
      <c r="C1322" s="56">
        <f t="shared" si="3"/>
        <v>13190</v>
      </c>
      <c r="D1322" s="56">
        <v>0.0</v>
      </c>
      <c r="F1322" s="371">
        <v>1319.0</v>
      </c>
      <c r="G1322" s="372">
        <f t="shared" si="1"/>
        <v>2.658166667</v>
      </c>
    </row>
    <row r="1323" ht="15.75" customHeight="1">
      <c r="B1323" s="370">
        <f t="shared" si="2"/>
        <v>0.1527777778</v>
      </c>
      <c r="C1323" s="56">
        <f t="shared" si="3"/>
        <v>13200</v>
      </c>
      <c r="D1323" s="56">
        <v>0.0</v>
      </c>
      <c r="F1323" s="371">
        <v>1320.0</v>
      </c>
      <c r="G1323" s="372">
        <f t="shared" si="1"/>
        <v>2.888166667</v>
      </c>
    </row>
    <row r="1324" ht="15.75" customHeight="1">
      <c r="B1324" s="370">
        <f t="shared" si="2"/>
        <v>0.1528935185</v>
      </c>
      <c r="C1324" s="56">
        <f t="shared" si="3"/>
        <v>13210</v>
      </c>
      <c r="D1324" s="56">
        <v>0.0</v>
      </c>
      <c r="F1324" s="371">
        <v>1321.0</v>
      </c>
      <c r="G1324" s="372">
        <f t="shared" si="1"/>
        <v>2.909166667</v>
      </c>
    </row>
    <row r="1325" ht="15.75" customHeight="1">
      <c r="B1325" s="370">
        <f t="shared" si="2"/>
        <v>0.1530092593</v>
      </c>
      <c r="C1325" s="56">
        <f t="shared" si="3"/>
        <v>13220</v>
      </c>
      <c r="D1325" s="56">
        <v>0.0</v>
      </c>
      <c r="F1325" s="371">
        <v>1322.0</v>
      </c>
      <c r="G1325" s="372">
        <f t="shared" si="1"/>
        <v>2.6915</v>
      </c>
    </row>
    <row r="1326" ht="15.75" customHeight="1">
      <c r="B1326" s="370">
        <f t="shared" si="2"/>
        <v>0.153125</v>
      </c>
      <c r="C1326" s="56">
        <f t="shared" si="3"/>
        <v>13230</v>
      </c>
      <c r="D1326" s="56">
        <v>0.0</v>
      </c>
      <c r="F1326" s="371">
        <v>1323.0</v>
      </c>
      <c r="G1326" s="372">
        <f t="shared" si="1"/>
        <v>3.050333333</v>
      </c>
    </row>
    <row r="1327" ht="15.75" customHeight="1">
      <c r="B1327" s="370">
        <f t="shared" si="2"/>
        <v>0.1532407407</v>
      </c>
      <c r="C1327" s="56">
        <f t="shared" si="3"/>
        <v>13240</v>
      </c>
      <c r="D1327" s="56">
        <v>0.0</v>
      </c>
      <c r="F1327" s="371">
        <v>1324.0</v>
      </c>
      <c r="G1327" s="372">
        <f t="shared" si="1"/>
        <v>2.689</v>
      </c>
    </row>
    <row r="1328" ht="15.75" customHeight="1">
      <c r="B1328" s="370">
        <f t="shared" si="2"/>
        <v>0.1533564815</v>
      </c>
      <c r="C1328" s="56">
        <f t="shared" si="3"/>
        <v>13250</v>
      </c>
      <c r="D1328" s="56">
        <v>0.0</v>
      </c>
      <c r="F1328" s="371">
        <v>1325.0</v>
      </c>
      <c r="G1328" s="372">
        <f t="shared" si="1"/>
        <v>3.018166667</v>
      </c>
    </row>
    <row r="1329" ht="15.75" customHeight="1">
      <c r="B1329" s="370">
        <f t="shared" si="2"/>
        <v>0.1534722222</v>
      </c>
      <c r="C1329" s="56">
        <f t="shared" si="3"/>
        <v>13260</v>
      </c>
      <c r="D1329" s="56">
        <v>0.0</v>
      </c>
      <c r="F1329" s="371">
        <v>1326.0</v>
      </c>
      <c r="G1329" s="372">
        <f t="shared" si="1"/>
        <v>2.964</v>
      </c>
    </row>
    <row r="1330" ht="15.75" customHeight="1">
      <c r="B1330" s="370">
        <f t="shared" si="2"/>
        <v>0.153587963</v>
      </c>
      <c r="C1330" s="56">
        <f t="shared" si="3"/>
        <v>13270</v>
      </c>
      <c r="D1330" s="56">
        <v>0.0</v>
      </c>
      <c r="F1330" s="371">
        <v>1327.0</v>
      </c>
      <c r="G1330" s="372">
        <f t="shared" si="1"/>
        <v>2.734333333</v>
      </c>
    </row>
    <row r="1331" ht="15.75" customHeight="1">
      <c r="B1331" s="370">
        <f t="shared" si="2"/>
        <v>0.1537037037</v>
      </c>
      <c r="C1331" s="56">
        <f t="shared" si="3"/>
        <v>13280</v>
      </c>
      <c r="D1331" s="56">
        <v>0.0</v>
      </c>
      <c r="F1331" s="371">
        <v>1328.0</v>
      </c>
      <c r="G1331" s="372">
        <f t="shared" si="1"/>
        <v>3.113666667</v>
      </c>
    </row>
    <row r="1332" ht="15.75" customHeight="1">
      <c r="B1332" s="370">
        <f t="shared" si="2"/>
        <v>0.1538194444</v>
      </c>
      <c r="C1332" s="56">
        <f t="shared" si="3"/>
        <v>13290</v>
      </c>
      <c r="D1332" s="56">
        <v>0.0</v>
      </c>
      <c r="F1332" s="371">
        <v>1329.0</v>
      </c>
      <c r="G1332" s="372">
        <f t="shared" si="1"/>
        <v>2.544666667</v>
      </c>
    </row>
    <row r="1333" ht="15.75" customHeight="1">
      <c r="B1333" s="370">
        <f t="shared" si="2"/>
        <v>0.1539351852</v>
      </c>
      <c r="C1333" s="56">
        <f t="shared" si="3"/>
        <v>13300</v>
      </c>
      <c r="D1333" s="56">
        <v>0.0</v>
      </c>
      <c r="F1333" s="371">
        <v>1330.0</v>
      </c>
      <c r="G1333" s="372">
        <f t="shared" si="1"/>
        <v>0</v>
      </c>
    </row>
    <row r="1334" ht="15.75" customHeight="1">
      <c r="B1334" s="370">
        <f t="shared" si="2"/>
        <v>0.1540509259</v>
      </c>
      <c r="C1334" s="56">
        <f t="shared" si="3"/>
        <v>13310</v>
      </c>
      <c r="D1334" s="56">
        <v>0.0</v>
      </c>
      <c r="F1334" s="371">
        <v>1331.0</v>
      </c>
      <c r="G1334" s="372">
        <f t="shared" si="1"/>
        <v>0</v>
      </c>
    </row>
    <row r="1335" ht="15.75" customHeight="1">
      <c r="B1335" s="370">
        <f t="shared" si="2"/>
        <v>0.1541666667</v>
      </c>
      <c r="C1335" s="56">
        <f t="shared" si="3"/>
        <v>13320</v>
      </c>
      <c r="D1335" s="56">
        <v>0.0</v>
      </c>
      <c r="F1335" s="371">
        <v>1332.0</v>
      </c>
      <c r="G1335" s="372">
        <f t="shared" si="1"/>
        <v>0</v>
      </c>
    </row>
    <row r="1336" ht="15.75" customHeight="1">
      <c r="B1336" s="370">
        <f t="shared" si="2"/>
        <v>0.1542824074</v>
      </c>
      <c r="C1336" s="56">
        <f t="shared" si="3"/>
        <v>13330</v>
      </c>
      <c r="D1336" s="56">
        <v>0.0</v>
      </c>
      <c r="F1336" s="371">
        <v>1333.0</v>
      </c>
      <c r="G1336" s="372">
        <f t="shared" si="1"/>
        <v>0</v>
      </c>
    </row>
    <row r="1337" ht="15.75" customHeight="1">
      <c r="B1337" s="370">
        <f t="shared" si="2"/>
        <v>0.1543981481</v>
      </c>
      <c r="C1337" s="56">
        <f t="shared" si="3"/>
        <v>13340</v>
      </c>
      <c r="D1337" s="56">
        <v>0.0</v>
      </c>
      <c r="F1337" s="371">
        <v>1334.0</v>
      </c>
      <c r="G1337" s="372">
        <f t="shared" si="1"/>
        <v>0</v>
      </c>
    </row>
    <row r="1338" ht="15.75" customHeight="1">
      <c r="B1338" s="370">
        <f t="shared" si="2"/>
        <v>0.1545138889</v>
      </c>
      <c r="C1338" s="56">
        <f t="shared" si="3"/>
        <v>13350</v>
      </c>
      <c r="D1338" s="56">
        <v>0.0</v>
      </c>
      <c r="F1338" s="371">
        <v>1335.0</v>
      </c>
      <c r="G1338" s="372">
        <f t="shared" si="1"/>
        <v>0</v>
      </c>
    </row>
    <row r="1339" ht="15.75" customHeight="1">
      <c r="B1339" s="370">
        <f t="shared" si="2"/>
        <v>0.1546296296</v>
      </c>
      <c r="C1339" s="56">
        <f t="shared" si="3"/>
        <v>13360</v>
      </c>
      <c r="D1339" s="56">
        <v>0.0</v>
      </c>
      <c r="F1339" s="371">
        <v>1336.0</v>
      </c>
      <c r="G1339" s="372">
        <f t="shared" si="1"/>
        <v>0</v>
      </c>
    </row>
    <row r="1340" ht="15.75" customHeight="1">
      <c r="B1340" s="370">
        <f t="shared" si="2"/>
        <v>0.1547453704</v>
      </c>
      <c r="C1340" s="56">
        <f t="shared" si="3"/>
        <v>13370</v>
      </c>
      <c r="D1340" s="56">
        <v>0.0</v>
      </c>
      <c r="F1340" s="371">
        <v>1337.0</v>
      </c>
      <c r="G1340" s="372">
        <f t="shared" si="1"/>
        <v>0</v>
      </c>
    </row>
    <row r="1341" ht="15.75" customHeight="1">
      <c r="B1341" s="370">
        <f t="shared" si="2"/>
        <v>0.1548611111</v>
      </c>
      <c r="C1341" s="56">
        <f t="shared" si="3"/>
        <v>13380</v>
      </c>
      <c r="D1341" s="56">
        <v>0.0</v>
      </c>
      <c r="F1341" s="371">
        <v>1338.0</v>
      </c>
      <c r="G1341" s="372">
        <f t="shared" si="1"/>
        <v>0</v>
      </c>
    </row>
    <row r="1342" ht="15.75" customHeight="1">
      <c r="B1342" s="370">
        <f t="shared" si="2"/>
        <v>0.1549768519</v>
      </c>
      <c r="C1342" s="56">
        <f t="shared" si="3"/>
        <v>13390</v>
      </c>
      <c r="D1342" s="56">
        <v>0.0</v>
      </c>
      <c r="F1342" s="371">
        <v>1339.0</v>
      </c>
      <c r="G1342" s="372">
        <f t="shared" si="1"/>
        <v>0</v>
      </c>
    </row>
    <row r="1343" ht="15.75" customHeight="1">
      <c r="B1343" s="370">
        <f t="shared" si="2"/>
        <v>0.1550925926</v>
      </c>
      <c r="C1343" s="56">
        <f t="shared" si="3"/>
        <v>13400</v>
      </c>
      <c r="D1343" s="56">
        <v>0.0</v>
      </c>
      <c r="F1343" s="371">
        <v>1340.0</v>
      </c>
      <c r="G1343" s="372">
        <f t="shared" si="1"/>
        <v>0</v>
      </c>
    </row>
    <row r="1344" ht="15.75" customHeight="1">
      <c r="B1344" s="370">
        <f t="shared" si="2"/>
        <v>0.1552083333</v>
      </c>
      <c r="C1344" s="56">
        <f t="shared" si="3"/>
        <v>13410</v>
      </c>
      <c r="D1344" s="56">
        <v>0.0</v>
      </c>
      <c r="F1344" s="371">
        <v>1341.0</v>
      </c>
      <c r="G1344" s="372">
        <f t="shared" si="1"/>
        <v>0</v>
      </c>
    </row>
    <row r="1345" ht="15.75" customHeight="1">
      <c r="B1345" s="370">
        <f t="shared" si="2"/>
        <v>0.1553240741</v>
      </c>
      <c r="C1345" s="56">
        <f t="shared" si="3"/>
        <v>13420</v>
      </c>
      <c r="D1345" s="56">
        <v>0.0</v>
      </c>
      <c r="F1345" s="371">
        <v>1342.0</v>
      </c>
      <c r="G1345" s="372">
        <f t="shared" si="1"/>
        <v>0</v>
      </c>
    </row>
    <row r="1346" ht="15.75" customHeight="1">
      <c r="B1346" s="370">
        <f t="shared" si="2"/>
        <v>0.1554398148</v>
      </c>
      <c r="C1346" s="56">
        <f t="shared" si="3"/>
        <v>13430</v>
      </c>
      <c r="D1346" s="56">
        <v>0.0</v>
      </c>
      <c r="F1346" s="371">
        <v>1343.0</v>
      </c>
      <c r="G1346" s="372">
        <f t="shared" si="1"/>
        <v>0</v>
      </c>
    </row>
    <row r="1347" ht="15.75" customHeight="1">
      <c r="B1347" s="370">
        <f t="shared" si="2"/>
        <v>0.1555555556</v>
      </c>
      <c r="C1347" s="56">
        <f t="shared" si="3"/>
        <v>13440</v>
      </c>
      <c r="D1347" s="56">
        <v>0.0</v>
      </c>
      <c r="F1347" s="371">
        <v>1344.0</v>
      </c>
      <c r="G1347" s="372">
        <f t="shared" si="1"/>
        <v>0</v>
      </c>
    </row>
    <row r="1348" ht="15.75" customHeight="1">
      <c r="B1348" s="370">
        <f t="shared" si="2"/>
        <v>0.1556712963</v>
      </c>
      <c r="C1348" s="56">
        <f t="shared" si="3"/>
        <v>13450</v>
      </c>
      <c r="D1348" s="56">
        <v>0.0</v>
      </c>
      <c r="F1348" s="371">
        <v>1345.0</v>
      </c>
      <c r="G1348" s="372">
        <f t="shared" si="1"/>
        <v>0</v>
      </c>
    </row>
    <row r="1349" ht="15.75" customHeight="1">
      <c r="B1349" s="370">
        <f t="shared" si="2"/>
        <v>0.155787037</v>
      </c>
      <c r="C1349" s="56">
        <f t="shared" si="3"/>
        <v>13460</v>
      </c>
      <c r="D1349" s="56">
        <v>0.0</v>
      </c>
      <c r="F1349" s="371">
        <v>1346.0</v>
      </c>
      <c r="G1349" s="372">
        <f t="shared" si="1"/>
        <v>0</v>
      </c>
    </row>
    <row r="1350" ht="15.75" customHeight="1">
      <c r="B1350" s="370">
        <f t="shared" si="2"/>
        <v>0.1559027778</v>
      </c>
      <c r="C1350" s="56">
        <f t="shared" si="3"/>
        <v>13470</v>
      </c>
      <c r="D1350" s="56">
        <v>0.0</v>
      </c>
      <c r="F1350" s="371">
        <v>1347.0</v>
      </c>
      <c r="G1350" s="372">
        <f t="shared" si="1"/>
        <v>0</v>
      </c>
    </row>
    <row r="1351" ht="15.75" customHeight="1">
      <c r="B1351" s="370">
        <f t="shared" si="2"/>
        <v>0.1560185185</v>
      </c>
      <c r="C1351" s="56">
        <f t="shared" si="3"/>
        <v>13480</v>
      </c>
      <c r="D1351" s="56">
        <v>0.0</v>
      </c>
      <c r="F1351" s="371">
        <v>1348.0</v>
      </c>
      <c r="G1351" s="372">
        <f t="shared" si="1"/>
        <v>0</v>
      </c>
    </row>
    <row r="1352" ht="15.75" customHeight="1">
      <c r="B1352" s="370">
        <f t="shared" si="2"/>
        <v>0.1561342593</v>
      </c>
      <c r="C1352" s="56">
        <f t="shared" si="3"/>
        <v>13490</v>
      </c>
      <c r="D1352" s="56">
        <v>0.0</v>
      </c>
      <c r="F1352" s="371">
        <v>1349.0</v>
      </c>
      <c r="G1352" s="372">
        <f t="shared" si="1"/>
        <v>0</v>
      </c>
    </row>
    <row r="1353" ht="15.75" customHeight="1">
      <c r="B1353" s="370">
        <f t="shared" si="2"/>
        <v>0.15625</v>
      </c>
      <c r="C1353" s="56">
        <f t="shared" si="3"/>
        <v>13500</v>
      </c>
      <c r="D1353" s="56">
        <v>0.0</v>
      </c>
      <c r="F1353" s="371">
        <v>1350.0</v>
      </c>
      <c r="G1353" s="372">
        <f t="shared" si="1"/>
        <v>0</v>
      </c>
    </row>
    <row r="1354" ht="15.75" customHeight="1">
      <c r="B1354" s="370">
        <f t="shared" si="2"/>
        <v>0.1563657407</v>
      </c>
      <c r="C1354" s="56">
        <f t="shared" si="3"/>
        <v>13510</v>
      </c>
      <c r="D1354" s="56">
        <v>0.0</v>
      </c>
      <c r="F1354" s="371">
        <v>1351.0</v>
      </c>
      <c r="G1354" s="372">
        <f t="shared" si="1"/>
        <v>0</v>
      </c>
    </row>
    <row r="1355" ht="15.75" customHeight="1">
      <c r="B1355" s="370">
        <f t="shared" si="2"/>
        <v>0.1564814815</v>
      </c>
      <c r="C1355" s="56">
        <f t="shared" si="3"/>
        <v>13520</v>
      </c>
      <c r="D1355" s="56">
        <v>0.0</v>
      </c>
      <c r="F1355" s="371">
        <v>1352.0</v>
      </c>
      <c r="G1355" s="372">
        <f t="shared" si="1"/>
        <v>0</v>
      </c>
    </row>
    <row r="1356" ht="15.75" customHeight="1">
      <c r="B1356" s="370">
        <f t="shared" si="2"/>
        <v>0.1565972222</v>
      </c>
      <c r="C1356" s="56">
        <f t="shared" si="3"/>
        <v>13530</v>
      </c>
      <c r="D1356" s="56">
        <v>0.0</v>
      </c>
      <c r="F1356" s="371">
        <v>1353.0</v>
      </c>
      <c r="G1356" s="372">
        <f t="shared" si="1"/>
        <v>0</v>
      </c>
    </row>
    <row r="1357" ht="15.75" customHeight="1">
      <c r="B1357" s="370">
        <f t="shared" si="2"/>
        <v>0.156712963</v>
      </c>
      <c r="C1357" s="56">
        <f t="shared" si="3"/>
        <v>13540</v>
      </c>
      <c r="D1357" s="56">
        <v>0.0</v>
      </c>
      <c r="F1357" s="371">
        <v>1354.0</v>
      </c>
      <c r="G1357" s="372">
        <f t="shared" si="1"/>
        <v>0</v>
      </c>
    </row>
    <row r="1358" ht="15.75" customHeight="1">
      <c r="B1358" s="370">
        <f t="shared" si="2"/>
        <v>0.1568287037</v>
      </c>
      <c r="C1358" s="56">
        <f t="shared" si="3"/>
        <v>13550</v>
      </c>
      <c r="D1358" s="56">
        <v>0.0</v>
      </c>
      <c r="F1358" s="371">
        <v>1355.0</v>
      </c>
      <c r="G1358" s="372">
        <f t="shared" si="1"/>
        <v>0</v>
      </c>
    </row>
    <row r="1359" ht="15.75" customHeight="1">
      <c r="B1359" s="370">
        <f t="shared" si="2"/>
        <v>0.1569444444</v>
      </c>
      <c r="C1359" s="56">
        <f t="shared" si="3"/>
        <v>13560</v>
      </c>
      <c r="D1359" s="56">
        <v>0.0</v>
      </c>
      <c r="F1359" s="371">
        <v>1356.0</v>
      </c>
      <c r="G1359" s="372">
        <f t="shared" si="1"/>
        <v>0</v>
      </c>
    </row>
    <row r="1360" ht="15.75" customHeight="1">
      <c r="B1360" s="370">
        <f t="shared" si="2"/>
        <v>0.1570601852</v>
      </c>
      <c r="C1360" s="56">
        <f t="shared" si="3"/>
        <v>13570</v>
      </c>
      <c r="D1360" s="56">
        <v>0.0</v>
      </c>
      <c r="F1360" s="371">
        <v>1357.0</v>
      </c>
      <c r="G1360" s="372">
        <f t="shared" si="1"/>
        <v>0</v>
      </c>
    </row>
    <row r="1361" ht="15.75" customHeight="1">
      <c r="B1361" s="370">
        <f t="shared" si="2"/>
        <v>0.1571759259</v>
      </c>
      <c r="C1361" s="56">
        <f t="shared" si="3"/>
        <v>13580</v>
      </c>
      <c r="D1361" s="56">
        <v>0.0</v>
      </c>
      <c r="F1361" s="371">
        <v>1358.0</v>
      </c>
      <c r="G1361" s="372">
        <f t="shared" si="1"/>
        <v>0</v>
      </c>
    </row>
    <row r="1362" ht="15.75" customHeight="1">
      <c r="B1362" s="370">
        <f t="shared" si="2"/>
        <v>0.1572916667</v>
      </c>
      <c r="C1362" s="56">
        <f t="shared" si="3"/>
        <v>13590</v>
      </c>
      <c r="D1362" s="56">
        <v>0.0</v>
      </c>
      <c r="F1362" s="371">
        <v>1359.0</v>
      </c>
      <c r="G1362" s="372">
        <f t="shared" si="1"/>
        <v>0</v>
      </c>
    </row>
    <row r="1363" ht="15.75" customHeight="1">
      <c r="B1363" s="370">
        <f t="shared" si="2"/>
        <v>0.1574074074</v>
      </c>
      <c r="C1363" s="56">
        <f t="shared" si="3"/>
        <v>13600</v>
      </c>
      <c r="D1363" s="56">
        <v>0.0</v>
      </c>
      <c r="F1363" s="371">
        <v>1360.0</v>
      </c>
      <c r="G1363" s="372">
        <f t="shared" si="1"/>
        <v>0</v>
      </c>
    </row>
    <row r="1364" ht="15.75" customHeight="1">
      <c r="B1364" s="370">
        <f t="shared" si="2"/>
        <v>0.1575231481</v>
      </c>
      <c r="C1364" s="56">
        <f t="shared" si="3"/>
        <v>13610</v>
      </c>
      <c r="D1364" s="56">
        <v>0.0</v>
      </c>
      <c r="F1364" s="371">
        <v>1361.0</v>
      </c>
      <c r="G1364" s="372">
        <f t="shared" si="1"/>
        <v>0</v>
      </c>
    </row>
    <row r="1365" ht="15.75" customHeight="1">
      <c r="B1365" s="370">
        <f t="shared" si="2"/>
        <v>0.1576388889</v>
      </c>
      <c r="C1365" s="56">
        <f t="shared" si="3"/>
        <v>13620</v>
      </c>
      <c r="D1365" s="56">
        <v>0.0</v>
      </c>
      <c r="F1365" s="371">
        <v>1362.0</v>
      </c>
      <c r="G1365" s="372">
        <f t="shared" si="1"/>
        <v>0</v>
      </c>
    </row>
    <row r="1366" ht="15.75" customHeight="1">
      <c r="B1366" s="370">
        <f t="shared" si="2"/>
        <v>0.1577546296</v>
      </c>
      <c r="C1366" s="56">
        <f t="shared" si="3"/>
        <v>13630</v>
      </c>
      <c r="D1366" s="56">
        <v>0.0</v>
      </c>
      <c r="F1366" s="371">
        <v>1363.0</v>
      </c>
      <c r="G1366" s="372">
        <f t="shared" si="1"/>
        <v>0</v>
      </c>
    </row>
    <row r="1367" ht="15.75" customHeight="1">
      <c r="B1367" s="370">
        <f t="shared" si="2"/>
        <v>0.1578703704</v>
      </c>
      <c r="C1367" s="56">
        <f t="shared" si="3"/>
        <v>13640</v>
      </c>
      <c r="D1367" s="56">
        <v>0.0</v>
      </c>
      <c r="F1367" s="371">
        <v>1364.0</v>
      </c>
      <c r="G1367" s="372">
        <f t="shared" si="1"/>
        <v>1.489666667</v>
      </c>
    </row>
    <row r="1368" ht="15.75" customHeight="1">
      <c r="B1368" s="370">
        <f t="shared" si="2"/>
        <v>0.1579861111</v>
      </c>
      <c r="C1368" s="56">
        <f t="shared" si="3"/>
        <v>13650</v>
      </c>
      <c r="D1368" s="56">
        <v>0.0</v>
      </c>
      <c r="F1368" s="371">
        <v>1365.0</v>
      </c>
      <c r="G1368" s="372">
        <f t="shared" si="1"/>
        <v>2.9925</v>
      </c>
    </row>
    <row r="1369" ht="15.75" customHeight="1">
      <c r="B1369" s="370">
        <f t="shared" si="2"/>
        <v>0.1581018519</v>
      </c>
      <c r="C1369" s="56">
        <f t="shared" si="3"/>
        <v>13660</v>
      </c>
      <c r="D1369" s="56">
        <v>0.0</v>
      </c>
      <c r="F1369" s="371">
        <v>1366.0</v>
      </c>
      <c r="G1369" s="372">
        <f t="shared" si="1"/>
        <v>2.931166667</v>
      </c>
    </row>
    <row r="1370" ht="15.75" customHeight="1">
      <c r="B1370" s="370">
        <f t="shared" si="2"/>
        <v>0.1582175926</v>
      </c>
      <c r="C1370" s="56">
        <f t="shared" si="3"/>
        <v>13670</v>
      </c>
      <c r="D1370" s="56">
        <v>0.0</v>
      </c>
      <c r="F1370" s="371">
        <v>1367.0</v>
      </c>
      <c r="G1370" s="372">
        <f t="shared" si="1"/>
        <v>2.7055</v>
      </c>
    </row>
    <row r="1371" ht="15.75" customHeight="1">
      <c r="B1371" s="370">
        <f t="shared" si="2"/>
        <v>0.1583333333</v>
      </c>
      <c r="C1371" s="56">
        <f t="shared" si="3"/>
        <v>13680</v>
      </c>
      <c r="D1371" s="56">
        <v>0.0</v>
      </c>
      <c r="F1371" s="371">
        <v>1368.0</v>
      </c>
      <c r="G1371" s="372">
        <f t="shared" si="1"/>
        <v>3.1995</v>
      </c>
    </row>
    <row r="1372" ht="15.75" customHeight="1">
      <c r="B1372" s="370">
        <f t="shared" si="2"/>
        <v>0.1584490741</v>
      </c>
      <c r="C1372" s="56">
        <f t="shared" si="3"/>
        <v>13690</v>
      </c>
      <c r="D1372" s="56">
        <v>0.0</v>
      </c>
      <c r="F1372" s="371">
        <v>1369.0</v>
      </c>
      <c r="G1372" s="372">
        <f t="shared" si="1"/>
        <v>2.647666667</v>
      </c>
    </row>
    <row r="1373" ht="15.75" customHeight="1">
      <c r="B1373" s="370">
        <f t="shared" si="2"/>
        <v>0.1585648148</v>
      </c>
      <c r="C1373" s="56">
        <f t="shared" si="3"/>
        <v>13700</v>
      </c>
      <c r="D1373" s="56">
        <v>0.0</v>
      </c>
      <c r="F1373" s="371">
        <v>1370.0</v>
      </c>
      <c r="G1373" s="372">
        <f t="shared" si="1"/>
        <v>2.9095</v>
      </c>
    </row>
    <row r="1374" ht="15.75" customHeight="1">
      <c r="B1374" s="370">
        <f t="shared" si="2"/>
        <v>0.1586805556</v>
      </c>
      <c r="C1374" s="56">
        <f t="shared" si="3"/>
        <v>13710</v>
      </c>
      <c r="D1374" s="56">
        <v>0.0</v>
      </c>
      <c r="F1374" s="371">
        <v>1371.0</v>
      </c>
      <c r="G1374" s="372">
        <f t="shared" si="1"/>
        <v>2.902833333</v>
      </c>
    </row>
    <row r="1375" ht="15.75" customHeight="1">
      <c r="B1375" s="370">
        <f t="shared" si="2"/>
        <v>0.1587962963</v>
      </c>
      <c r="C1375" s="56">
        <f t="shared" si="3"/>
        <v>13720</v>
      </c>
      <c r="D1375" s="56">
        <v>0.0</v>
      </c>
      <c r="F1375" s="371">
        <v>1372.0</v>
      </c>
      <c r="G1375" s="372">
        <f t="shared" si="1"/>
        <v>2.674</v>
      </c>
    </row>
    <row r="1376" ht="15.75" customHeight="1">
      <c r="B1376" s="370">
        <f t="shared" si="2"/>
        <v>0.158912037</v>
      </c>
      <c r="C1376" s="56">
        <f t="shared" si="3"/>
        <v>13730</v>
      </c>
      <c r="D1376" s="56">
        <v>0.0</v>
      </c>
      <c r="F1376" s="371">
        <v>1373.0</v>
      </c>
      <c r="G1376" s="372">
        <f t="shared" si="1"/>
        <v>3.111833333</v>
      </c>
    </row>
    <row r="1377" ht="15.75" customHeight="1">
      <c r="B1377" s="370">
        <f t="shared" si="2"/>
        <v>0.1590277778</v>
      </c>
      <c r="C1377" s="56">
        <f t="shared" si="3"/>
        <v>13740</v>
      </c>
      <c r="D1377" s="56">
        <v>0.0</v>
      </c>
      <c r="F1377" s="371">
        <v>1374.0</v>
      </c>
      <c r="G1377" s="372">
        <f t="shared" si="1"/>
        <v>2.700333333</v>
      </c>
    </row>
    <row r="1378" ht="15.75" customHeight="1">
      <c r="B1378" s="370">
        <f t="shared" si="2"/>
        <v>0.1591435185</v>
      </c>
      <c r="C1378" s="56">
        <f t="shared" si="3"/>
        <v>13750</v>
      </c>
      <c r="D1378" s="56">
        <v>0.0</v>
      </c>
      <c r="F1378" s="371">
        <v>1375.0</v>
      </c>
      <c r="G1378" s="372">
        <f t="shared" si="1"/>
        <v>3.044</v>
      </c>
    </row>
    <row r="1379" ht="15.75" customHeight="1">
      <c r="B1379" s="370">
        <f t="shared" si="2"/>
        <v>0.1592592593</v>
      </c>
      <c r="C1379" s="56">
        <f t="shared" si="3"/>
        <v>13760</v>
      </c>
      <c r="D1379" s="56">
        <v>0.0</v>
      </c>
      <c r="F1379" s="371">
        <v>1376.0</v>
      </c>
      <c r="G1379" s="372">
        <f t="shared" si="1"/>
        <v>2.939833333</v>
      </c>
    </row>
    <row r="1380" ht="15.75" customHeight="1">
      <c r="B1380" s="370">
        <f t="shared" si="2"/>
        <v>0.159375</v>
      </c>
      <c r="C1380" s="56">
        <f t="shared" si="3"/>
        <v>13770</v>
      </c>
      <c r="D1380" s="56">
        <v>0.0</v>
      </c>
      <c r="F1380" s="371">
        <v>1377.0</v>
      </c>
      <c r="G1380" s="372">
        <f t="shared" si="1"/>
        <v>2.7235</v>
      </c>
    </row>
    <row r="1381" ht="15.75" customHeight="1">
      <c r="B1381" s="370">
        <f t="shared" si="2"/>
        <v>0.1594907407</v>
      </c>
      <c r="C1381" s="56">
        <f t="shared" si="3"/>
        <v>13780</v>
      </c>
      <c r="D1381" s="56">
        <v>0.0</v>
      </c>
      <c r="F1381" s="371">
        <v>1378.0</v>
      </c>
      <c r="G1381" s="372">
        <f t="shared" si="1"/>
        <v>3.054333333</v>
      </c>
    </row>
    <row r="1382" ht="15.75" customHeight="1">
      <c r="B1382" s="370">
        <f t="shared" si="2"/>
        <v>0.1596064815</v>
      </c>
      <c r="C1382" s="56">
        <f t="shared" si="3"/>
        <v>13790</v>
      </c>
      <c r="D1382" s="56">
        <v>0.0</v>
      </c>
      <c r="F1382" s="371">
        <v>1379.0</v>
      </c>
      <c r="G1382" s="372">
        <f t="shared" si="1"/>
        <v>2.651166667</v>
      </c>
    </row>
    <row r="1383" ht="15.75" customHeight="1">
      <c r="B1383" s="370">
        <f t="shared" si="2"/>
        <v>0.1597222222</v>
      </c>
      <c r="C1383" s="56">
        <f t="shared" si="3"/>
        <v>13800</v>
      </c>
      <c r="D1383" s="56">
        <v>0.0</v>
      </c>
      <c r="F1383" s="371">
        <v>1380.0</v>
      </c>
      <c r="G1383" s="372">
        <f t="shared" si="1"/>
        <v>2.969166667</v>
      </c>
    </row>
    <row r="1384" ht="15.75" customHeight="1">
      <c r="B1384" s="370">
        <f t="shared" si="2"/>
        <v>0.159837963</v>
      </c>
      <c r="C1384" s="56">
        <f t="shared" si="3"/>
        <v>13810</v>
      </c>
      <c r="D1384" s="56">
        <v>0.0</v>
      </c>
      <c r="F1384" s="371">
        <v>1381.0</v>
      </c>
      <c r="G1384" s="372">
        <f t="shared" si="1"/>
        <v>2.871166667</v>
      </c>
    </row>
    <row r="1385" ht="15.75" customHeight="1">
      <c r="B1385" s="370">
        <f t="shared" si="2"/>
        <v>0.1599537037</v>
      </c>
      <c r="C1385" s="56">
        <f t="shared" si="3"/>
        <v>13820</v>
      </c>
      <c r="D1385" s="56">
        <v>0.0</v>
      </c>
      <c r="F1385" s="371">
        <v>1382.0</v>
      </c>
      <c r="G1385" s="372">
        <f t="shared" si="1"/>
        <v>2.684833333</v>
      </c>
    </row>
    <row r="1386" ht="15.75" customHeight="1">
      <c r="B1386" s="370">
        <f t="shared" si="2"/>
        <v>0.1600694444</v>
      </c>
      <c r="C1386" s="56">
        <f t="shared" si="3"/>
        <v>13830</v>
      </c>
      <c r="D1386" s="56">
        <v>0.0</v>
      </c>
      <c r="F1386" s="371">
        <v>1383.0</v>
      </c>
      <c r="G1386" s="372">
        <f t="shared" si="1"/>
        <v>3.248666667</v>
      </c>
    </row>
    <row r="1387" ht="15.75" customHeight="1">
      <c r="B1387" s="370">
        <f t="shared" si="2"/>
        <v>0.1601851852</v>
      </c>
      <c r="C1387" s="56">
        <f t="shared" si="3"/>
        <v>13840</v>
      </c>
      <c r="D1387" s="56">
        <v>0.0</v>
      </c>
      <c r="F1387" s="371">
        <v>1384.0</v>
      </c>
      <c r="G1387" s="372">
        <f t="shared" si="1"/>
        <v>2.6685</v>
      </c>
    </row>
    <row r="1388" ht="15.75" customHeight="1">
      <c r="B1388" s="370">
        <f t="shared" si="2"/>
        <v>0.1603009259</v>
      </c>
      <c r="C1388" s="56">
        <f t="shared" si="3"/>
        <v>13850</v>
      </c>
      <c r="D1388" s="56">
        <v>0.0</v>
      </c>
      <c r="F1388" s="371">
        <v>1385.0</v>
      </c>
      <c r="G1388" s="372">
        <f t="shared" si="1"/>
        <v>2.916</v>
      </c>
    </row>
    <row r="1389" ht="15.75" customHeight="1">
      <c r="B1389" s="370">
        <f t="shared" si="2"/>
        <v>0.1604166667</v>
      </c>
      <c r="C1389" s="56">
        <f t="shared" si="3"/>
        <v>13860</v>
      </c>
      <c r="D1389" s="56">
        <v>0.0</v>
      </c>
      <c r="F1389" s="371">
        <v>1386.0</v>
      </c>
      <c r="G1389" s="372">
        <f t="shared" si="1"/>
        <v>2.922166667</v>
      </c>
    </row>
    <row r="1390" ht="15.75" customHeight="1">
      <c r="B1390" s="370">
        <f t="shared" si="2"/>
        <v>0.1605324074</v>
      </c>
      <c r="C1390" s="56">
        <f t="shared" si="3"/>
        <v>13870</v>
      </c>
      <c r="D1390" s="56">
        <v>0.0</v>
      </c>
      <c r="F1390" s="371">
        <v>1387.0</v>
      </c>
      <c r="G1390" s="372">
        <f t="shared" si="1"/>
        <v>2.698</v>
      </c>
    </row>
    <row r="1391" ht="15.75" customHeight="1">
      <c r="B1391" s="370">
        <f t="shared" si="2"/>
        <v>0.1606481481</v>
      </c>
      <c r="C1391" s="56">
        <f t="shared" si="3"/>
        <v>13880</v>
      </c>
      <c r="D1391" s="56">
        <v>0.0</v>
      </c>
      <c r="F1391" s="371">
        <v>1388.0</v>
      </c>
      <c r="G1391" s="372">
        <f t="shared" si="1"/>
        <v>2.987333333</v>
      </c>
    </row>
    <row r="1392" ht="15.75" customHeight="1">
      <c r="B1392" s="370">
        <f t="shared" si="2"/>
        <v>0.1607638889</v>
      </c>
      <c r="C1392" s="56">
        <f t="shared" si="3"/>
        <v>13890</v>
      </c>
      <c r="D1392" s="56">
        <v>0.0</v>
      </c>
      <c r="F1392" s="371">
        <v>1389.0</v>
      </c>
      <c r="G1392" s="372">
        <f t="shared" si="1"/>
        <v>2.690833333</v>
      </c>
    </row>
    <row r="1393" ht="15.75" customHeight="1">
      <c r="B1393" s="370">
        <f t="shared" si="2"/>
        <v>0.1608796296</v>
      </c>
      <c r="C1393" s="56">
        <f t="shared" si="3"/>
        <v>13900</v>
      </c>
      <c r="D1393" s="56">
        <v>0.0</v>
      </c>
      <c r="F1393" s="371">
        <v>1390.0</v>
      </c>
      <c r="G1393" s="372">
        <f t="shared" si="1"/>
        <v>2.999833333</v>
      </c>
    </row>
    <row r="1394" ht="15.75" customHeight="1">
      <c r="B1394" s="370">
        <f t="shared" si="2"/>
        <v>0.1609953704</v>
      </c>
      <c r="C1394" s="56">
        <f t="shared" si="3"/>
        <v>13910</v>
      </c>
      <c r="D1394" s="56">
        <v>0.0</v>
      </c>
      <c r="F1394" s="371">
        <v>1391.0</v>
      </c>
      <c r="G1394" s="372">
        <f t="shared" si="1"/>
        <v>2.956166667</v>
      </c>
    </row>
    <row r="1395" ht="15.75" customHeight="1">
      <c r="B1395" s="370">
        <f t="shared" si="2"/>
        <v>0.1611111111</v>
      </c>
      <c r="C1395" s="56">
        <f t="shared" si="3"/>
        <v>13920</v>
      </c>
      <c r="D1395" s="56">
        <v>0.0</v>
      </c>
      <c r="F1395" s="371">
        <v>1392.0</v>
      </c>
      <c r="G1395" s="372">
        <f t="shared" si="1"/>
        <v>2.712</v>
      </c>
    </row>
    <row r="1396" ht="15.75" customHeight="1">
      <c r="B1396" s="370">
        <f t="shared" si="2"/>
        <v>0.1612268519</v>
      </c>
      <c r="C1396" s="56">
        <f t="shared" si="3"/>
        <v>13930</v>
      </c>
      <c r="D1396" s="56">
        <v>0.0</v>
      </c>
      <c r="F1396" s="371">
        <v>1393.0</v>
      </c>
      <c r="G1396" s="372">
        <f t="shared" si="1"/>
        <v>3.162</v>
      </c>
    </row>
    <row r="1397" ht="15.75" customHeight="1">
      <c r="B1397" s="370">
        <f t="shared" si="2"/>
        <v>0.1613425926</v>
      </c>
      <c r="C1397" s="56">
        <f t="shared" si="3"/>
        <v>13940</v>
      </c>
      <c r="D1397" s="56">
        <v>0.0</v>
      </c>
      <c r="F1397" s="371">
        <v>1394.0</v>
      </c>
      <c r="G1397" s="372">
        <f t="shared" si="1"/>
        <v>2.634</v>
      </c>
    </row>
    <row r="1398" ht="15.75" customHeight="1">
      <c r="B1398" s="370">
        <f t="shared" si="2"/>
        <v>0.1614583333</v>
      </c>
      <c r="C1398" s="56">
        <f t="shared" si="3"/>
        <v>13950</v>
      </c>
      <c r="D1398" s="56">
        <v>0.0</v>
      </c>
      <c r="F1398" s="371">
        <v>1395.0</v>
      </c>
      <c r="G1398" s="372">
        <f t="shared" si="1"/>
        <v>2.922</v>
      </c>
    </row>
    <row r="1399" ht="15.75" customHeight="1">
      <c r="B1399" s="370">
        <f t="shared" si="2"/>
        <v>0.1615740741</v>
      </c>
      <c r="C1399" s="56">
        <f t="shared" si="3"/>
        <v>13960</v>
      </c>
      <c r="D1399" s="56">
        <v>0.0</v>
      </c>
      <c r="F1399" s="371">
        <v>1396.0</v>
      </c>
      <c r="G1399" s="372">
        <f t="shared" si="1"/>
        <v>2.910166667</v>
      </c>
    </row>
    <row r="1400" ht="15.75" customHeight="1">
      <c r="B1400" s="370">
        <f t="shared" si="2"/>
        <v>0.1616898148</v>
      </c>
      <c r="C1400" s="56">
        <f t="shared" si="3"/>
        <v>13970</v>
      </c>
      <c r="D1400" s="56">
        <v>0.0</v>
      </c>
      <c r="F1400" s="371">
        <v>1397.0</v>
      </c>
      <c r="G1400" s="372">
        <f t="shared" si="1"/>
        <v>2.672166667</v>
      </c>
    </row>
    <row r="1401" ht="15.75" customHeight="1">
      <c r="B1401" s="370">
        <f t="shared" si="2"/>
        <v>0.1618055556</v>
      </c>
      <c r="C1401" s="56">
        <f t="shared" si="3"/>
        <v>13980</v>
      </c>
      <c r="D1401" s="56">
        <v>0.0</v>
      </c>
      <c r="F1401" s="371">
        <v>1398.0</v>
      </c>
      <c r="G1401" s="372">
        <f t="shared" si="1"/>
        <v>3.1285</v>
      </c>
    </row>
    <row r="1402" ht="15.75" customHeight="1">
      <c r="B1402" s="370">
        <f t="shared" si="2"/>
        <v>0.1619212963</v>
      </c>
      <c r="C1402" s="56">
        <f t="shared" si="3"/>
        <v>13990</v>
      </c>
      <c r="D1402" s="56">
        <v>0.0</v>
      </c>
      <c r="F1402" s="371">
        <v>1399.0</v>
      </c>
      <c r="G1402" s="372">
        <f t="shared" si="1"/>
        <v>2.690333333</v>
      </c>
    </row>
    <row r="1403" ht="15.75" customHeight="1">
      <c r="B1403" s="370">
        <f t="shared" si="2"/>
        <v>0.162037037</v>
      </c>
      <c r="C1403" s="56">
        <f t="shared" si="3"/>
        <v>14000</v>
      </c>
      <c r="D1403" s="56">
        <v>0.0</v>
      </c>
      <c r="F1403" s="371">
        <v>1400.0</v>
      </c>
      <c r="G1403" s="372">
        <f t="shared" si="1"/>
        <v>3.041833333</v>
      </c>
    </row>
    <row r="1404" ht="15.75" customHeight="1">
      <c r="B1404" s="370">
        <f t="shared" si="2"/>
        <v>0.1621527778</v>
      </c>
      <c r="C1404" s="56">
        <f t="shared" si="3"/>
        <v>14010</v>
      </c>
      <c r="D1404" s="56">
        <v>0.0</v>
      </c>
      <c r="F1404" s="371">
        <v>1401.0</v>
      </c>
      <c r="G1404" s="372">
        <f t="shared" si="1"/>
        <v>2.932833333</v>
      </c>
    </row>
    <row r="1405" ht="15.75" customHeight="1">
      <c r="B1405" s="370">
        <f t="shared" si="2"/>
        <v>0.1622685185</v>
      </c>
      <c r="C1405" s="56">
        <f t="shared" si="3"/>
        <v>14020</v>
      </c>
      <c r="D1405" s="56">
        <v>0.0</v>
      </c>
      <c r="F1405" s="371">
        <v>1402.0</v>
      </c>
      <c r="G1405" s="372">
        <f t="shared" si="1"/>
        <v>2.729166667</v>
      </c>
    </row>
    <row r="1406" ht="15.75" customHeight="1">
      <c r="B1406" s="370">
        <f t="shared" si="2"/>
        <v>0.1623842593</v>
      </c>
      <c r="C1406" s="56">
        <f t="shared" si="3"/>
        <v>14030</v>
      </c>
      <c r="D1406" s="56">
        <v>0.0</v>
      </c>
      <c r="F1406" s="371">
        <v>1403.0</v>
      </c>
      <c r="G1406" s="372">
        <f t="shared" si="1"/>
        <v>3.026166667</v>
      </c>
    </row>
    <row r="1407" ht="15.75" customHeight="1">
      <c r="B1407" s="370">
        <f t="shared" si="2"/>
        <v>0.1625</v>
      </c>
      <c r="C1407" s="56">
        <f t="shared" si="3"/>
        <v>14040</v>
      </c>
      <c r="D1407" s="56">
        <v>0.0</v>
      </c>
      <c r="F1407" s="371">
        <v>1404.0</v>
      </c>
      <c r="G1407" s="372">
        <f t="shared" si="1"/>
        <v>2.656</v>
      </c>
    </row>
    <row r="1408" ht="15.75" customHeight="1">
      <c r="B1408" s="370">
        <f t="shared" si="2"/>
        <v>0.1626157407</v>
      </c>
      <c r="C1408" s="56">
        <f t="shared" si="3"/>
        <v>14050</v>
      </c>
      <c r="D1408" s="56">
        <v>0.0</v>
      </c>
      <c r="F1408" s="371">
        <v>1405.0</v>
      </c>
      <c r="G1408" s="372">
        <f t="shared" si="1"/>
        <v>2.973333333</v>
      </c>
    </row>
    <row r="1409" ht="15.75" customHeight="1">
      <c r="B1409" s="370">
        <f t="shared" si="2"/>
        <v>0.1627314815</v>
      </c>
      <c r="C1409" s="56">
        <f t="shared" si="3"/>
        <v>14060</v>
      </c>
      <c r="D1409" s="56">
        <v>0.0</v>
      </c>
      <c r="F1409" s="371">
        <v>1406.0</v>
      </c>
      <c r="G1409" s="372">
        <f t="shared" si="1"/>
        <v>2.868166667</v>
      </c>
    </row>
    <row r="1410" ht="15.75" customHeight="1">
      <c r="B1410" s="370">
        <f t="shared" si="2"/>
        <v>0.1628472222</v>
      </c>
      <c r="C1410" s="56">
        <f t="shared" si="3"/>
        <v>14070</v>
      </c>
      <c r="D1410" s="56">
        <v>0.0</v>
      </c>
      <c r="F1410" s="371">
        <v>1407.0</v>
      </c>
      <c r="G1410" s="372">
        <f t="shared" si="1"/>
        <v>2.685833333</v>
      </c>
    </row>
    <row r="1411" ht="15.75" customHeight="1">
      <c r="B1411" s="370">
        <f t="shared" si="2"/>
        <v>0.162962963</v>
      </c>
      <c r="C1411" s="56">
        <f t="shared" si="3"/>
        <v>14080</v>
      </c>
      <c r="D1411" s="56">
        <v>0.0</v>
      </c>
      <c r="F1411" s="371">
        <v>1408.0</v>
      </c>
      <c r="G1411" s="372">
        <f t="shared" si="1"/>
        <v>3.251166667</v>
      </c>
    </row>
    <row r="1412" ht="15.75" customHeight="1">
      <c r="B1412" s="370">
        <f t="shared" si="2"/>
        <v>0.1630787037</v>
      </c>
      <c r="C1412" s="56">
        <f t="shared" si="3"/>
        <v>14090</v>
      </c>
      <c r="D1412" s="56">
        <v>0.0</v>
      </c>
      <c r="F1412" s="371">
        <v>1409.0</v>
      </c>
      <c r="G1412" s="372">
        <f t="shared" si="1"/>
        <v>2.648333333</v>
      </c>
    </row>
    <row r="1413" ht="15.75" customHeight="1">
      <c r="B1413" s="370">
        <f t="shared" si="2"/>
        <v>0.1631944444</v>
      </c>
      <c r="C1413" s="56">
        <f t="shared" si="3"/>
        <v>14100</v>
      </c>
      <c r="D1413" s="56">
        <v>0.0</v>
      </c>
      <c r="F1413" s="371">
        <v>1410.0</v>
      </c>
      <c r="G1413" s="372">
        <f t="shared" si="1"/>
        <v>2.882833333</v>
      </c>
    </row>
    <row r="1414" ht="15.75" customHeight="1">
      <c r="B1414" s="370">
        <f t="shared" si="2"/>
        <v>0.1633101852</v>
      </c>
      <c r="C1414" s="56">
        <f t="shared" si="3"/>
        <v>14110</v>
      </c>
      <c r="D1414" s="56">
        <v>0.0</v>
      </c>
      <c r="F1414" s="371">
        <v>1411.0</v>
      </c>
      <c r="G1414" s="372">
        <f t="shared" si="1"/>
        <v>2.932333333</v>
      </c>
    </row>
    <row r="1415" ht="15.75" customHeight="1">
      <c r="B1415" s="370">
        <f t="shared" si="2"/>
        <v>0.1634259259</v>
      </c>
      <c r="C1415" s="56">
        <f t="shared" si="3"/>
        <v>14120</v>
      </c>
      <c r="D1415" s="56">
        <v>0.0</v>
      </c>
      <c r="F1415" s="371">
        <v>1412.0</v>
      </c>
      <c r="G1415" s="372">
        <f t="shared" si="1"/>
        <v>2.699666667</v>
      </c>
    </row>
    <row r="1416" ht="15.75" customHeight="1">
      <c r="B1416" s="370">
        <f t="shared" si="2"/>
        <v>0.1635416667</v>
      </c>
      <c r="C1416" s="56">
        <f t="shared" si="3"/>
        <v>14130</v>
      </c>
      <c r="D1416" s="56">
        <v>0.0</v>
      </c>
      <c r="F1416" s="371">
        <v>1413.0</v>
      </c>
      <c r="G1416" s="372">
        <f t="shared" si="1"/>
        <v>3.006833333</v>
      </c>
    </row>
    <row r="1417" ht="15.75" customHeight="1">
      <c r="B1417" s="370">
        <f t="shared" si="2"/>
        <v>0.1636574074</v>
      </c>
      <c r="C1417" s="56">
        <f t="shared" si="3"/>
        <v>14140</v>
      </c>
      <c r="D1417" s="56">
        <v>0.0</v>
      </c>
      <c r="F1417" s="371">
        <v>1414.0</v>
      </c>
      <c r="G1417" s="372">
        <f t="shared" si="1"/>
        <v>2.684833333</v>
      </c>
    </row>
    <row r="1418" ht="15.75" customHeight="1">
      <c r="B1418" s="370">
        <f t="shared" si="2"/>
        <v>0.1637731481</v>
      </c>
      <c r="C1418" s="56">
        <f t="shared" si="3"/>
        <v>14150</v>
      </c>
      <c r="D1418" s="56">
        <v>0.0</v>
      </c>
      <c r="F1418" s="371">
        <v>1415.0</v>
      </c>
      <c r="G1418" s="372">
        <f t="shared" si="1"/>
        <v>3.001</v>
      </c>
    </row>
    <row r="1419" ht="15.75" customHeight="1">
      <c r="B1419" s="370">
        <f t="shared" si="2"/>
        <v>0.1638888889</v>
      </c>
      <c r="C1419" s="56">
        <f t="shared" si="3"/>
        <v>14160</v>
      </c>
      <c r="D1419" s="56">
        <v>0.0</v>
      </c>
      <c r="F1419" s="371">
        <v>1416.0</v>
      </c>
      <c r="G1419" s="372">
        <f t="shared" si="1"/>
        <v>2.969</v>
      </c>
    </row>
    <row r="1420" ht="15.75" customHeight="1">
      <c r="B1420" s="370">
        <f t="shared" si="2"/>
        <v>0.1640046296</v>
      </c>
      <c r="C1420" s="56">
        <f t="shared" si="3"/>
        <v>14170</v>
      </c>
      <c r="D1420" s="56">
        <v>0.0</v>
      </c>
      <c r="F1420" s="371">
        <v>1417.0</v>
      </c>
      <c r="G1420" s="372">
        <f t="shared" si="1"/>
        <v>2.718666667</v>
      </c>
    </row>
    <row r="1421" ht="15.75" customHeight="1">
      <c r="B1421" s="370">
        <f t="shared" si="2"/>
        <v>0.1641203704</v>
      </c>
      <c r="C1421" s="56">
        <f t="shared" si="3"/>
        <v>14180</v>
      </c>
      <c r="D1421" s="56">
        <v>0.0</v>
      </c>
      <c r="F1421" s="371">
        <v>1418.0</v>
      </c>
      <c r="G1421" s="372">
        <f t="shared" si="1"/>
        <v>3.147666667</v>
      </c>
    </row>
    <row r="1422" ht="15.75" customHeight="1">
      <c r="B1422" s="370">
        <f t="shared" si="2"/>
        <v>0.1642361111</v>
      </c>
      <c r="C1422" s="56">
        <f t="shared" si="3"/>
        <v>14190</v>
      </c>
      <c r="D1422" s="56">
        <v>0.0</v>
      </c>
      <c r="F1422" s="371">
        <v>1419.0</v>
      </c>
      <c r="G1422" s="372">
        <f t="shared" si="1"/>
        <v>2.639333333</v>
      </c>
    </row>
    <row r="1423" ht="15.75" customHeight="1">
      <c r="B1423" s="370">
        <f t="shared" si="2"/>
        <v>0.1643518519</v>
      </c>
      <c r="C1423" s="56">
        <f t="shared" si="3"/>
        <v>14200</v>
      </c>
      <c r="D1423" s="56">
        <v>0.0</v>
      </c>
      <c r="F1423" s="371">
        <v>1420.0</v>
      </c>
      <c r="G1423" s="372">
        <f t="shared" si="1"/>
        <v>2.9265</v>
      </c>
    </row>
    <row r="1424" ht="15.75" customHeight="1">
      <c r="B1424" s="370">
        <f t="shared" si="2"/>
        <v>0.1644675926</v>
      </c>
      <c r="C1424" s="56">
        <f t="shared" si="3"/>
        <v>14210</v>
      </c>
      <c r="D1424" s="56">
        <v>0.0</v>
      </c>
      <c r="F1424" s="371">
        <v>1421.0</v>
      </c>
      <c r="G1424" s="372">
        <f t="shared" si="1"/>
        <v>2.9095</v>
      </c>
    </row>
    <row r="1425" ht="15.75" customHeight="1">
      <c r="B1425" s="370">
        <f t="shared" si="2"/>
        <v>0.1645833333</v>
      </c>
      <c r="C1425" s="56">
        <f t="shared" si="3"/>
        <v>14220</v>
      </c>
      <c r="D1425" s="56">
        <v>0.0</v>
      </c>
      <c r="F1425" s="371">
        <v>1422.0</v>
      </c>
      <c r="G1425" s="372">
        <f t="shared" si="1"/>
        <v>1.932</v>
      </c>
    </row>
    <row r="1426" ht="15.75" customHeight="1">
      <c r="B1426" s="370">
        <f t="shared" si="2"/>
        <v>0.1646990741</v>
      </c>
      <c r="C1426" s="56">
        <f t="shared" si="3"/>
        <v>14230</v>
      </c>
      <c r="D1426" s="56">
        <v>0.0</v>
      </c>
      <c r="F1426" s="371">
        <v>1423.0</v>
      </c>
      <c r="G1426" s="372">
        <f t="shared" si="1"/>
        <v>0</v>
      </c>
    </row>
    <row r="1427" ht="15.75" customHeight="1">
      <c r="B1427" s="370">
        <f t="shared" si="2"/>
        <v>0.1648148148</v>
      </c>
      <c r="C1427" s="56">
        <f t="shared" si="3"/>
        <v>14240</v>
      </c>
      <c r="D1427" s="56">
        <v>0.0</v>
      </c>
      <c r="F1427" s="371">
        <v>1424.0</v>
      </c>
      <c r="G1427" s="372">
        <f t="shared" si="1"/>
        <v>0</v>
      </c>
    </row>
    <row r="1428" ht="15.75" customHeight="1">
      <c r="B1428" s="370">
        <f t="shared" si="2"/>
        <v>0.1649305556</v>
      </c>
      <c r="C1428" s="56">
        <f t="shared" si="3"/>
        <v>14250</v>
      </c>
      <c r="D1428" s="56">
        <v>0.0</v>
      </c>
      <c r="F1428" s="371">
        <v>1425.0</v>
      </c>
      <c r="G1428" s="372">
        <f t="shared" si="1"/>
        <v>0</v>
      </c>
    </row>
    <row r="1429" ht="15.75" customHeight="1">
      <c r="B1429" s="370">
        <f t="shared" si="2"/>
        <v>0.1650462963</v>
      </c>
      <c r="C1429" s="56">
        <f t="shared" si="3"/>
        <v>14260</v>
      </c>
      <c r="D1429" s="56">
        <v>0.0</v>
      </c>
      <c r="F1429" s="371">
        <v>1426.0</v>
      </c>
      <c r="G1429" s="372">
        <f t="shared" si="1"/>
        <v>0</v>
      </c>
    </row>
    <row r="1430" ht="15.75" customHeight="1">
      <c r="B1430" s="370">
        <f t="shared" si="2"/>
        <v>0.165162037</v>
      </c>
      <c r="C1430" s="56">
        <f t="shared" si="3"/>
        <v>14270</v>
      </c>
      <c r="D1430" s="56">
        <v>0.0</v>
      </c>
      <c r="F1430" s="371">
        <v>1427.0</v>
      </c>
      <c r="G1430" s="372">
        <f t="shared" si="1"/>
        <v>0</v>
      </c>
    </row>
    <row r="1431" ht="15.75" customHeight="1">
      <c r="B1431" s="370">
        <f t="shared" si="2"/>
        <v>0.1652777778</v>
      </c>
      <c r="C1431" s="56">
        <f t="shared" si="3"/>
        <v>14280</v>
      </c>
      <c r="D1431" s="56">
        <v>0.0</v>
      </c>
      <c r="F1431" s="371">
        <v>1428.0</v>
      </c>
      <c r="G1431" s="372">
        <f t="shared" si="1"/>
        <v>0</v>
      </c>
    </row>
    <row r="1432" ht="15.75" customHeight="1">
      <c r="B1432" s="370">
        <f t="shared" si="2"/>
        <v>0.1653935185</v>
      </c>
      <c r="C1432" s="56">
        <f t="shared" si="3"/>
        <v>14290</v>
      </c>
      <c r="D1432" s="56">
        <v>0.0</v>
      </c>
      <c r="F1432" s="371">
        <v>1429.0</v>
      </c>
      <c r="G1432" s="372">
        <f t="shared" si="1"/>
        <v>0</v>
      </c>
    </row>
    <row r="1433" ht="15.75" customHeight="1">
      <c r="B1433" s="370">
        <f t="shared" si="2"/>
        <v>0.1655092593</v>
      </c>
      <c r="C1433" s="56">
        <f t="shared" si="3"/>
        <v>14300</v>
      </c>
      <c r="D1433" s="56">
        <v>0.0</v>
      </c>
      <c r="F1433" s="371">
        <v>1430.0</v>
      </c>
      <c r="G1433" s="372">
        <f t="shared" si="1"/>
        <v>0</v>
      </c>
    </row>
    <row r="1434" ht="15.75" customHeight="1">
      <c r="B1434" s="370">
        <f t="shared" si="2"/>
        <v>0.165625</v>
      </c>
      <c r="C1434" s="56">
        <f t="shared" si="3"/>
        <v>14310</v>
      </c>
      <c r="D1434" s="56">
        <v>0.0</v>
      </c>
      <c r="F1434" s="371">
        <v>1431.0</v>
      </c>
      <c r="G1434" s="372">
        <f t="shared" si="1"/>
        <v>0</v>
      </c>
    </row>
    <row r="1435" ht="15.75" customHeight="1">
      <c r="B1435" s="370">
        <f t="shared" si="2"/>
        <v>0.1657407407</v>
      </c>
      <c r="C1435" s="56">
        <f t="shared" si="3"/>
        <v>14320</v>
      </c>
      <c r="D1435" s="56">
        <v>0.0</v>
      </c>
      <c r="F1435" s="371">
        <v>1432.0</v>
      </c>
      <c r="G1435" s="372">
        <f t="shared" si="1"/>
        <v>0</v>
      </c>
    </row>
    <row r="1436" ht="15.75" customHeight="1">
      <c r="B1436" s="370">
        <f t="shared" si="2"/>
        <v>0.1658564815</v>
      </c>
      <c r="C1436" s="56">
        <f t="shared" si="3"/>
        <v>14330</v>
      </c>
      <c r="D1436" s="56">
        <v>0.0</v>
      </c>
      <c r="F1436" s="371">
        <v>1433.0</v>
      </c>
      <c r="G1436" s="372">
        <f t="shared" si="1"/>
        <v>0</v>
      </c>
    </row>
    <row r="1437" ht="15.75" customHeight="1">
      <c r="B1437" s="370">
        <f t="shared" si="2"/>
        <v>0.1659722222</v>
      </c>
      <c r="C1437" s="56">
        <f t="shared" si="3"/>
        <v>14340</v>
      </c>
      <c r="D1437" s="56">
        <v>0.0</v>
      </c>
      <c r="F1437" s="371">
        <v>1434.0</v>
      </c>
      <c r="G1437" s="372">
        <f t="shared" si="1"/>
        <v>0</v>
      </c>
    </row>
    <row r="1438" ht="15.75" customHeight="1">
      <c r="B1438" s="370">
        <f t="shared" si="2"/>
        <v>0.166087963</v>
      </c>
      <c r="C1438" s="56">
        <f t="shared" si="3"/>
        <v>14350</v>
      </c>
      <c r="D1438" s="56">
        <v>0.0</v>
      </c>
      <c r="F1438" s="371">
        <v>1435.0</v>
      </c>
      <c r="G1438" s="372">
        <f t="shared" si="1"/>
        <v>0</v>
      </c>
    </row>
    <row r="1439" ht="15.75" customHeight="1">
      <c r="B1439" s="370">
        <f t="shared" si="2"/>
        <v>0.1662037037</v>
      </c>
      <c r="C1439" s="56">
        <f t="shared" si="3"/>
        <v>14360</v>
      </c>
      <c r="D1439" s="56">
        <v>0.0</v>
      </c>
      <c r="F1439" s="371">
        <v>1436.0</v>
      </c>
      <c r="G1439" s="372">
        <f t="shared" si="1"/>
        <v>0</v>
      </c>
    </row>
    <row r="1440" ht="15.75" customHeight="1">
      <c r="B1440" s="370">
        <f t="shared" si="2"/>
        <v>0.1663194444</v>
      </c>
      <c r="C1440" s="56">
        <f t="shared" si="3"/>
        <v>14370</v>
      </c>
      <c r="D1440" s="56">
        <v>0.0</v>
      </c>
      <c r="F1440" s="371">
        <v>1437.0</v>
      </c>
      <c r="G1440" s="372">
        <f t="shared" si="1"/>
        <v>0</v>
      </c>
    </row>
    <row r="1441" ht="15.75" customHeight="1">
      <c r="B1441" s="370">
        <f t="shared" si="2"/>
        <v>0.1664351852</v>
      </c>
      <c r="C1441" s="56">
        <f t="shared" si="3"/>
        <v>14380</v>
      </c>
      <c r="D1441" s="56">
        <v>0.0</v>
      </c>
      <c r="F1441" s="371">
        <v>1438.0</v>
      </c>
      <c r="G1441" s="372">
        <f t="shared" si="1"/>
        <v>0</v>
      </c>
    </row>
    <row r="1442" ht="15.75" customHeight="1">
      <c r="B1442" s="370">
        <f t="shared" si="2"/>
        <v>0.1665509259</v>
      </c>
      <c r="C1442" s="56">
        <f t="shared" si="3"/>
        <v>14390</v>
      </c>
      <c r="D1442" s="56">
        <v>0.0</v>
      </c>
      <c r="F1442" s="364">
        <v>1439.0</v>
      </c>
      <c r="G1442" s="372">
        <f t="shared" si="1"/>
        <v>0</v>
      </c>
    </row>
    <row r="1443" ht="15.75" customHeight="1">
      <c r="B1443" s="370">
        <f t="shared" si="2"/>
        <v>0.1666666667</v>
      </c>
      <c r="C1443" s="56">
        <f t="shared" si="3"/>
        <v>14400</v>
      </c>
      <c r="D1443" s="56">
        <v>0.0</v>
      </c>
    </row>
    <row r="1444" ht="15.75" customHeight="1">
      <c r="B1444" s="370">
        <f t="shared" si="2"/>
        <v>0.1667824074</v>
      </c>
      <c r="C1444" s="56">
        <f t="shared" si="3"/>
        <v>14410</v>
      </c>
      <c r="D1444" s="56">
        <v>0.0</v>
      </c>
    </row>
    <row r="1445" ht="15.75" customHeight="1">
      <c r="B1445" s="370">
        <f t="shared" si="2"/>
        <v>0.1668981481</v>
      </c>
      <c r="C1445" s="56">
        <f t="shared" si="3"/>
        <v>14420</v>
      </c>
      <c r="D1445" s="56">
        <v>0.0</v>
      </c>
    </row>
    <row r="1446" ht="15.75" customHeight="1">
      <c r="B1446" s="370">
        <f t="shared" si="2"/>
        <v>0.1670138889</v>
      </c>
      <c r="C1446" s="56">
        <f t="shared" si="3"/>
        <v>14430</v>
      </c>
      <c r="D1446" s="56">
        <v>0.0</v>
      </c>
    </row>
    <row r="1447" ht="15.75" customHeight="1">
      <c r="B1447" s="370">
        <f t="shared" si="2"/>
        <v>0.1671296296</v>
      </c>
      <c r="C1447" s="56">
        <f t="shared" si="3"/>
        <v>14440</v>
      </c>
      <c r="D1447" s="56">
        <v>0.0</v>
      </c>
    </row>
    <row r="1448" ht="15.75" customHeight="1">
      <c r="B1448" s="370">
        <f t="shared" si="2"/>
        <v>0.1672453704</v>
      </c>
      <c r="C1448" s="56">
        <f t="shared" si="3"/>
        <v>14450</v>
      </c>
      <c r="D1448" s="56">
        <v>0.0</v>
      </c>
    </row>
    <row r="1449" ht="15.75" customHeight="1">
      <c r="B1449" s="370">
        <f t="shared" si="2"/>
        <v>0.1673611111</v>
      </c>
      <c r="C1449" s="56">
        <f t="shared" si="3"/>
        <v>14460</v>
      </c>
      <c r="D1449" s="56">
        <v>0.0</v>
      </c>
    </row>
    <row r="1450" ht="15.75" customHeight="1">
      <c r="B1450" s="370">
        <f t="shared" si="2"/>
        <v>0.1674768519</v>
      </c>
      <c r="C1450" s="56">
        <f t="shared" si="3"/>
        <v>14470</v>
      </c>
      <c r="D1450" s="56">
        <v>0.0</v>
      </c>
    </row>
    <row r="1451" ht="15.75" customHeight="1">
      <c r="B1451" s="370">
        <f t="shared" si="2"/>
        <v>0.1675925926</v>
      </c>
      <c r="C1451" s="56">
        <f t="shared" si="3"/>
        <v>14480</v>
      </c>
      <c r="D1451" s="56">
        <v>0.0</v>
      </c>
    </row>
    <row r="1452" ht="15.75" customHeight="1">
      <c r="B1452" s="370">
        <f t="shared" si="2"/>
        <v>0.1677083333</v>
      </c>
      <c r="C1452" s="56">
        <f t="shared" si="3"/>
        <v>14490</v>
      </c>
      <c r="D1452" s="56">
        <v>0.0</v>
      </c>
    </row>
    <row r="1453" ht="15.75" customHeight="1">
      <c r="B1453" s="370">
        <f t="shared" si="2"/>
        <v>0.1678240741</v>
      </c>
      <c r="C1453" s="56">
        <f t="shared" si="3"/>
        <v>14500</v>
      </c>
      <c r="D1453" s="56">
        <v>0.0</v>
      </c>
    </row>
    <row r="1454" ht="15.75" customHeight="1">
      <c r="B1454" s="370">
        <f t="shared" si="2"/>
        <v>0.1679398148</v>
      </c>
      <c r="C1454" s="56">
        <f t="shared" si="3"/>
        <v>14510</v>
      </c>
      <c r="D1454" s="56">
        <v>0.0</v>
      </c>
    </row>
    <row r="1455" ht="15.75" customHeight="1">
      <c r="B1455" s="370">
        <f t="shared" si="2"/>
        <v>0.1680555556</v>
      </c>
      <c r="C1455" s="56">
        <f t="shared" si="3"/>
        <v>14520</v>
      </c>
      <c r="D1455" s="56">
        <v>0.0</v>
      </c>
    </row>
    <row r="1456" ht="15.75" customHeight="1">
      <c r="B1456" s="370">
        <f t="shared" si="2"/>
        <v>0.1681712963</v>
      </c>
      <c r="C1456" s="56">
        <f t="shared" si="3"/>
        <v>14530</v>
      </c>
      <c r="D1456" s="56">
        <v>0.0</v>
      </c>
    </row>
    <row r="1457" ht="15.75" customHeight="1">
      <c r="B1457" s="370">
        <f t="shared" si="2"/>
        <v>0.168287037</v>
      </c>
      <c r="C1457" s="56">
        <f t="shared" si="3"/>
        <v>14540</v>
      </c>
      <c r="D1457" s="56">
        <v>0.0</v>
      </c>
    </row>
    <row r="1458" ht="15.75" customHeight="1">
      <c r="B1458" s="370">
        <f t="shared" si="2"/>
        <v>0.1684027778</v>
      </c>
      <c r="C1458" s="56">
        <f t="shared" si="3"/>
        <v>14550</v>
      </c>
      <c r="D1458" s="56">
        <v>0.0</v>
      </c>
    </row>
    <row r="1459" ht="15.75" customHeight="1">
      <c r="B1459" s="370">
        <f t="shared" si="2"/>
        <v>0.1685185185</v>
      </c>
      <c r="C1459" s="56">
        <f t="shared" si="3"/>
        <v>14560</v>
      </c>
      <c r="D1459" s="56">
        <v>0.0</v>
      </c>
    </row>
    <row r="1460" ht="15.75" customHeight="1">
      <c r="B1460" s="370">
        <f t="shared" si="2"/>
        <v>0.1686342593</v>
      </c>
      <c r="C1460" s="56">
        <f t="shared" si="3"/>
        <v>14570</v>
      </c>
      <c r="D1460" s="56">
        <v>0.0</v>
      </c>
    </row>
    <row r="1461" ht="15.75" customHeight="1">
      <c r="B1461" s="370">
        <f t="shared" si="2"/>
        <v>0.16875</v>
      </c>
      <c r="C1461" s="56">
        <f t="shared" si="3"/>
        <v>14580</v>
      </c>
      <c r="D1461" s="56">
        <v>0.0</v>
      </c>
    </row>
    <row r="1462" ht="15.75" customHeight="1">
      <c r="B1462" s="370">
        <f t="shared" si="2"/>
        <v>0.1688657407</v>
      </c>
      <c r="C1462" s="56">
        <f t="shared" si="3"/>
        <v>14590</v>
      </c>
      <c r="D1462" s="56">
        <v>0.0</v>
      </c>
    </row>
    <row r="1463" ht="15.75" customHeight="1">
      <c r="B1463" s="370">
        <f t="shared" si="2"/>
        <v>0.1689814815</v>
      </c>
      <c r="C1463" s="56">
        <f t="shared" si="3"/>
        <v>14600</v>
      </c>
      <c r="D1463" s="56">
        <v>0.0</v>
      </c>
    </row>
    <row r="1464" ht="15.75" customHeight="1">
      <c r="B1464" s="370">
        <f t="shared" si="2"/>
        <v>0.1690972222</v>
      </c>
      <c r="C1464" s="56">
        <f t="shared" si="3"/>
        <v>14610</v>
      </c>
      <c r="D1464" s="56">
        <v>0.0</v>
      </c>
    </row>
    <row r="1465" ht="15.75" customHeight="1">
      <c r="B1465" s="370">
        <f t="shared" si="2"/>
        <v>0.169212963</v>
      </c>
      <c r="C1465" s="56">
        <f t="shared" si="3"/>
        <v>14620</v>
      </c>
      <c r="D1465" s="56">
        <v>0.0</v>
      </c>
    </row>
    <row r="1466" ht="15.75" customHeight="1">
      <c r="B1466" s="370">
        <f t="shared" si="2"/>
        <v>0.1693287037</v>
      </c>
      <c r="C1466" s="56">
        <f t="shared" si="3"/>
        <v>14630</v>
      </c>
      <c r="D1466" s="56">
        <v>0.0</v>
      </c>
    </row>
    <row r="1467" ht="15.75" customHeight="1">
      <c r="B1467" s="370">
        <f t="shared" si="2"/>
        <v>0.1694444444</v>
      </c>
      <c r="C1467" s="56">
        <f t="shared" si="3"/>
        <v>14640</v>
      </c>
      <c r="D1467" s="56">
        <v>0.0</v>
      </c>
    </row>
    <row r="1468" ht="15.75" customHeight="1">
      <c r="B1468" s="370">
        <f t="shared" si="2"/>
        <v>0.1695601852</v>
      </c>
      <c r="C1468" s="56">
        <f t="shared" si="3"/>
        <v>14650</v>
      </c>
      <c r="D1468" s="56">
        <v>0.0</v>
      </c>
    </row>
    <row r="1469" ht="15.75" customHeight="1">
      <c r="B1469" s="370">
        <f t="shared" si="2"/>
        <v>0.1696759259</v>
      </c>
      <c r="C1469" s="56">
        <f t="shared" si="3"/>
        <v>14660</v>
      </c>
      <c r="D1469" s="56">
        <v>0.0</v>
      </c>
    </row>
    <row r="1470" ht="15.75" customHeight="1">
      <c r="B1470" s="370">
        <f t="shared" si="2"/>
        <v>0.1697916667</v>
      </c>
      <c r="C1470" s="56">
        <f t="shared" si="3"/>
        <v>14670</v>
      </c>
      <c r="D1470" s="56">
        <v>0.0</v>
      </c>
    </row>
    <row r="1471" ht="15.75" customHeight="1">
      <c r="B1471" s="370">
        <f t="shared" si="2"/>
        <v>0.1699074074</v>
      </c>
      <c r="C1471" s="56">
        <f t="shared" si="3"/>
        <v>14680</v>
      </c>
      <c r="D1471" s="56">
        <v>0.0</v>
      </c>
    </row>
    <row r="1472" ht="15.75" customHeight="1">
      <c r="B1472" s="370">
        <f t="shared" si="2"/>
        <v>0.1700231481</v>
      </c>
      <c r="C1472" s="56">
        <f t="shared" si="3"/>
        <v>14690</v>
      </c>
      <c r="D1472" s="56">
        <v>0.0</v>
      </c>
    </row>
    <row r="1473" ht="15.75" customHeight="1">
      <c r="B1473" s="370">
        <f t="shared" si="2"/>
        <v>0.1701388889</v>
      </c>
      <c r="C1473" s="56">
        <f t="shared" si="3"/>
        <v>14700</v>
      </c>
      <c r="D1473" s="56">
        <v>0.0</v>
      </c>
    </row>
    <row r="1474" ht="15.75" customHeight="1">
      <c r="B1474" s="370">
        <f t="shared" si="2"/>
        <v>0.1702546296</v>
      </c>
      <c r="C1474" s="56">
        <f t="shared" si="3"/>
        <v>14710</v>
      </c>
      <c r="D1474" s="56">
        <v>0.0</v>
      </c>
    </row>
    <row r="1475" ht="15.75" customHeight="1">
      <c r="B1475" s="370">
        <f t="shared" si="2"/>
        <v>0.1703703704</v>
      </c>
      <c r="C1475" s="56">
        <f t="shared" si="3"/>
        <v>14720</v>
      </c>
      <c r="D1475" s="56">
        <v>0.0</v>
      </c>
    </row>
    <row r="1476" ht="15.75" customHeight="1">
      <c r="B1476" s="370">
        <f t="shared" si="2"/>
        <v>0.1704861111</v>
      </c>
      <c r="C1476" s="56">
        <f t="shared" si="3"/>
        <v>14730</v>
      </c>
      <c r="D1476" s="56">
        <v>0.0</v>
      </c>
    </row>
    <row r="1477" ht="15.75" customHeight="1">
      <c r="B1477" s="370">
        <f t="shared" si="2"/>
        <v>0.1706018519</v>
      </c>
      <c r="C1477" s="56">
        <f t="shared" si="3"/>
        <v>14740</v>
      </c>
      <c r="D1477" s="56">
        <v>0.0</v>
      </c>
    </row>
    <row r="1478" ht="15.75" customHeight="1">
      <c r="B1478" s="370">
        <f t="shared" si="2"/>
        <v>0.1707175926</v>
      </c>
      <c r="C1478" s="56">
        <f t="shared" si="3"/>
        <v>14750</v>
      </c>
      <c r="D1478" s="56">
        <v>0.0</v>
      </c>
    </row>
    <row r="1479" ht="15.75" customHeight="1">
      <c r="B1479" s="370">
        <f t="shared" si="2"/>
        <v>0.1708333333</v>
      </c>
      <c r="C1479" s="56">
        <f t="shared" si="3"/>
        <v>14760</v>
      </c>
      <c r="D1479" s="56">
        <v>0.0</v>
      </c>
    </row>
    <row r="1480" ht="15.75" customHeight="1">
      <c r="B1480" s="370">
        <f t="shared" si="2"/>
        <v>0.1709490741</v>
      </c>
      <c r="C1480" s="56">
        <f t="shared" si="3"/>
        <v>14770</v>
      </c>
      <c r="D1480" s="56">
        <v>0.0</v>
      </c>
    </row>
    <row r="1481" ht="15.75" customHeight="1">
      <c r="B1481" s="370">
        <f t="shared" si="2"/>
        <v>0.1710648148</v>
      </c>
      <c r="C1481" s="56">
        <f t="shared" si="3"/>
        <v>14780</v>
      </c>
      <c r="D1481" s="56">
        <v>0.0</v>
      </c>
    </row>
    <row r="1482" ht="15.75" customHeight="1">
      <c r="B1482" s="370">
        <f t="shared" si="2"/>
        <v>0.1711805556</v>
      </c>
      <c r="C1482" s="56">
        <f t="shared" si="3"/>
        <v>14790</v>
      </c>
      <c r="D1482" s="56">
        <v>0.0</v>
      </c>
    </row>
    <row r="1483" ht="15.75" customHeight="1">
      <c r="B1483" s="370">
        <f t="shared" si="2"/>
        <v>0.1712962963</v>
      </c>
      <c r="C1483" s="56">
        <f t="shared" si="3"/>
        <v>14800</v>
      </c>
      <c r="D1483" s="56">
        <v>0.0</v>
      </c>
    </row>
    <row r="1484" ht="15.75" customHeight="1">
      <c r="B1484" s="370">
        <f t="shared" si="2"/>
        <v>0.171412037</v>
      </c>
      <c r="C1484" s="56">
        <f t="shared" si="3"/>
        <v>14810</v>
      </c>
      <c r="D1484" s="56">
        <v>0.0</v>
      </c>
    </row>
    <row r="1485" ht="15.75" customHeight="1">
      <c r="B1485" s="370">
        <f t="shared" si="2"/>
        <v>0.1715277778</v>
      </c>
      <c r="C1485" s="56">
        <f t="shared" si="3"/>
        <v>14820</v>
      </c>
      <c r="D1485" s="56">
        <v>0.0</v>
      </c>
    </row>
    <row r="1486" ht="15.75" customHeight="1">
      <c r="B1486" s="370">
        <f t="shared" si="2"/>
        <v>0.1716435185</v>
      </c>
      <c r="C1486" s="56">
        <f t="shared" si="3"/>
        <v>14830</v>
      </c>
      <c r="D1486" s="56">
        <v>0.0</v>
      </c>
    </row>
    <row r="1487" ht="15.75" customHeight="1">
      <c r="B1487" s="370">
        <f t="shared" si="2"/>
        <v>0.1717592593</v>
      </c>
      <c r="C1487" s="56">
        <f t="shared" si="3"/>
        <v>14840</v>
      </c>
      <c r="D1487" s="56">
        <v>0.0</v>
      </c>
    </row>
    <row r="1488" ht="15.75" customHeight="1">
      <c r="B1488" s="370">
        <f t="shared" si="2"/>
        <v>0.171875</v>
      </c>
      <c r="C1488" s="56">
        <f t="shared" si="3"/>
        <v>14850</v>
      </c>
      <c r="D1488" s="56">
        <v>0.0</v>
      </c>
    </row>
    <row r="1489" ht="15.75" customHeight="1">
      <c r="B1489" s="370">
        <f t="shared" si="2"/>
        <v>0.1719907407</v>
      </c>
      <c r="C1489" s="56">
        <f t="shared" si="3"/>
        <v>14860</v>
      </c>
      <c r="D1489" s="56">
        <v>0.0</v>
      </c>
    </row>
    <row r="1490" ht="15.75" customHeight="1">
      <c r="B1490" s="370">
        <f t="shared" si="2"/>
        <v>0.1721064815</v>
      </c>
      <c r="C1490" s="56">
        <f t="shared" si="3"/>
        <v>14870</v>
      </c>
      <c r="D1490" s="56">
        <v>0.0</v>
      </c>
    </row>
    <row r="1491" ht="15.75" customHeight="1">
      <c r="B1491" s="370">
        <f t="shared" si="2"/>
        <v>0.1722222222</v>
      </c>
      <c r="C1491" s="56">
        <f t="shared" si="3"/>
        <v>14880</v>
      </c>
      <c r="D1491" s="56">
        <v>0.0</v>
      </c>
    </row>
    <row r="1492" ht="15.75" customHeight="1">
      <c r="B1492" s="370">
        <f t="shared" si="2"/>
        <v>0.172337963</v>
      </c>
      <c r="C1492" s="56">
        <f t="shared" si="3"/>
        <v>14890</v>
      </c>
      <c r="D1492" s="56">
        <v>0.0</v>
      </c>
    </row>
    <row r="1493" ht="15.75" customHeight="1">
      <c r="B1493" s="370">
        <f t="shared" si="2"/>
        <v>0.1724537037</v>
      </c>
      <c r="C1493" s="56">
        <f t="shared" si="3"/>
        <v>14900</v>
      </c>
      <c r="D1493" s="56">
        <v>0.0</v>
      </c>
    </row>
    <row r="1494" ht="15.75" customHeight="1">
      <c r="B1494" s="370">
        <f t="shared" si="2"/>
        <v>0.1725694444</v>
      </c>
      <c r="C1494" s="56">
        <f t="shared" si="3"/>
        <v>14910</v>
      </c>
      <c r="D1494" s="56">
        <v>0.0</v>
      </c>
    </row>
    <row r="1495" ht="15.75" customHeight="1">
      <c r="B1495" s="370">
        <f t="shared" si="2"/>
        <v>0.1726851852</v>
      </c>
      <c r="C1495" s="56">
        <f t="shared" si="3"/>
        <v>14920</v>
      </c>
      <c r="D1495" s="56">
        <v>0.0</v>
      </c>
    </row>
    <row r="1496" ht="15.75" customHeight="1">
      <c r="B1496" s="370">
        <f t="shared" si="2"/>
        <v>0.1728009259</v>
      </c>
      <c r="C1496" s="56">
        <f t="shared" si="3"/>
        <v>14930</v>
      </c>
      <c r="D1496" s="56">
        <v>0.0</v>
      </c>
    </row>
    <row r="1497" ht="15.75" customHeight="1">
      <c r="B1497" s="370">
        <f t="shared" si="2"/>
        <v>0.1729166667</v>
      </c>
      <c r="C1497" s="56">
        <f t="shared" si="3"/>
        <v>14940</v>
      </c>
      <c r="D1497" s="56">
        <v>0.0</v>
      </c>
    </row>
    <row r="1498" ht="15.75" customHeight="1">
      <c r="B1498" s="370">
        <f t="shared" si="2"/>
        <v>0.1730324074</v>
      </c>
      <c r="C1498" s="56">
        <f t="shared" si="3"/>
        <v>14950</v>
      </c>
      <c r="D1498" s="56">
        <v>0.0</v>
      </c>
    </row>
    <row r="1499" ht="15.75" customHeight="1">
      <c r="B1499" s="370">
        <f t="shared" si="2"/>
        <v>0.1731481481</v>
      </c>
      <c r="C1499" s="56">
        <f t="shared" si="3"/>
        <v>14960</v>
      </c>
      <c r="D1499" s="56">
        <v>0.0</v>
      </c>
    </row>
    <row r="1500" ht="15.75" customHeight="1">
      <c r="B1500" s="370">
        <f t="shared" si="2"/>
        <v>0.1732638889</v>
      </c>
      <c r="C1500" s="56">
        <f t="shared" si="3"/>
        <v>14970</v>
      </c>
      <c r="D1500" s="56">
        <v>0.0</v>
      </c>
    </row>
    <row r="1501" ht="15.75" customHeight="1">
      <c r="B1501" s="370">
        <f t="shared" si="2"/>
        <v>0.1733796296</v>
      </c>
      <c r="C1501" s="56">
        <f t="shared" si="3"/>
        <v>14980</v>
      </c>
      <c r="D1501" s="56">
        <v>0.0</v>
      </c>
    </row>
    <row r="1502" ht="15.75" customHeight="1">
      <c r="B1502" s="370">
        <f t="shared" si="2"/>
        <v>0.1734953704</v>
      </c>
      <c r="C1502" s="56">
        <f t="shared" si="3"/>
        <v>14990</v>
      </c>
      <c r="D1502" s="56">
        <v>0.0</v>
      </c>
    </row>
    <row r="1503" ht="15.75" customHeight="1">
      <c r="B1503" s="370">
        <f t="shared" si="2"/>
        <v>0.1736111111</v>
      </c>
      <c r="C1503" s="56">
        <f t="shared" si="3"/>
        <v>15000</v>
      </c>
      <c r="D1503" s="56">
        <v>0.0</v>
      </c>
    </row>
    <row r="1504" ht="15.75" customHeight="1">
      <c r="B1504" s="370">
        <f t="shared" si="2"/>
        <v>0.1737268519</v>
      </c>
      <c r="C1504" s="56">
        <f t="shared" si="3"/>
        <v>15010</v>
      </c>
      <c r="D1504" s="56">
        <v>0.0</v>
      </c>
    </row>
    <row r="1505" ht="15.75" customHeight="1">
      <c r="B1505" s="370">
        <f t="shared" si="2"/>
        <v>0.1738425926</v>
      </c>
      <c r="C1505" s="56">
        <f t="shared" si="3"/>
        <v>15020</v>
      </c>
      <c r="D1505" s="56">
        <v>0.0</v>
      </c>
    </row>
    <row r="1506" ht="15.75" customHeight="1">
      <c r="B1506" s="370">
        <f t="shared" si="2"/>
        <v>0.1739583333</v>
      </c>
      <c r="C1506" s="56">
        <f t="shared" si="3"/>
        <v>15030</v>
      </c>
      <c r="D1506" s="56">
        <v>0.0</v>
      </c>
    </row>
    <row r="1507" ht="15.75" customHeight="1">
      <c r="B1507" s="370">
        <f t="shared" si="2"/>
        <v>0.1740740741</v>
      </c>
      <c r="C1507" s="56">
        <f t="shared" si="3"/>
        <v>15040</v>
      </c>
      <c r="D1507" s="56">
        <v>0.0</v>
      </c>
    </row>
    <row r="1508" ht="15.75" customHeight="1">
      <c r="B1508" s="370">
        <f t="shared" si="2"/>
        <v>0.1741898148</v>
      </c>
      <c r="C1508" s="56">
        <f t="shared" si="3"/>
        <v>15050</v>
      </c>
      <c r="D1508" s="56">
        <v>0.0</v>
      </c>
    </row>
    <row r="1509" ht="15.75" customHeight="1">
      <c r="B1509" s="370">
        <f t="shared" si="2"/>
        <v>0.1743055556</v>
      </c>
      <c r="C1509" s="56">
        <f t="shared" si="3"/>
        <v>15060</v>
      </c>
      <c r="D1509" s="56">
        <v>0.0</v>
      </c>
    </row>
    <row r="1510" ht="15.75" customHeight="1">
      <c r="B1510" s="370">
        <f t="shared" si="2"/>
        <v>0.1744212963</v>
      </c>
      <c r="C1510" s="56">
        <f t="shared" si="3"/>
        <v>15070</v>
      </c>
      <c r="D1510" s="56">
        <v>0.0</v>
      </c>
    </row>
    <row r="1511" ht="15.75" customHeight="1">
      <c r="B1511" s="370">
        <f t="shared" si="2"/>
        <v>0.174537037</v>
      </c>
      <c r="C1511" s="56">
        <f t="shared" si="3"/>
        <v>15080</v>
      </c>
      <c r="D1511" s="56">
        <v>0.0</v>
      </c>
    </row>
    <row r="1512" ht="15.75" customHeight="1">
      <c r="B1512" s="370">
        <f t="shared" si="2"/>
        <v>0.1746527778</v>
      </c>
      <c r="C1512" s="56">
        <f t="shared" si="3"/>
        <v>15090</v>
      </c>
      <c r="D1512" s="56">
        <v>0.0</v>
      </c>
    </row>
    <row r="1513" ht="15.75" customHeight="1">
      <c r="B1513" s="370">
        <f t="shared" si="2"/>
        <v>0.1747685185</v>
      </c>
      <c r="C1513" s="56">
        <f t="shared" si="3"/>
        <v>15100</v>
      </c>
      <c r="D1513" s="56">
        <v>0.0</v>
      </c>
    </row>
    <row r="1514" ht="15.75" customHeight="1">
      <c r="B1514" s="370">
        <f t="shared" si="2"/>
        <v>0.1748842593</v>
      </c>
      <c r="C1514" s="56">
        <f t="shared" si="3"/>
        <v>15110</v>
      </c>
      <c r="D1514" s="56">
        <v>0.0</v>
      </c>
    </row>
    <row r="1515" ht="15.75" customHeight="1">
      <c r="B1515" s="370">
        <f t="shared" si="2"/>
        <v>0.175</v>
      </c>
      <c r="C1515" s="56">
        <f t="shared" si="3"/>
        <v>15120</v>
      </c>
      <c r="D1515" s="56">
        <v>2.57</v>
      </c>
    </row>
    <row r="1516" ht="15.75" customHeight="1">
      <c r="B1516" s="370">
        <f t="shared" si="2"/>
        <v>0.1751157407</v>
      </c>
      <c r="C1516" s="56">
        <f t="shared" si="3"/>
        <v>15130</v>
      </c>
      <c r="D1516" s="56">
        <v>3.067</v>
      </c>
    </row>
    <row r="1517" ht="15.75" customHeight="1">
      <c r="B1517" s="370">
        <f t="shared" si="2"/>
        <v>0.1752314815</v>
      </c>
      <c r="C1517" s="56">
        <f t="shared" si="3"/>
        <v>15140</v>
      </c>
      <c r="D1517" s="56">
        <v>2.267</v>
      </c>
    </row>
    <row r="1518" ht="15.75" customHeight="1">
      <c r="B1518" s="370">
        <f t="shared" si="2"/>
        <v>0.1753472222</v>
      </c>
      <c r="C1518" s="56">
        <f t="shared" si="3"/>
        <v>15150</v>
      </c>
      <c r="D1518" s="56">
        <v>2.164</v>
      </c>
    </row>
    <row r="1519" ht="15.75" customHeight="1">
      <c r="B1519" s="370">
        <f t="shared" si="2"/>
        <v>0.175462963</v>
      </c>
      <c r="C1519" s="56">
        <f t="shared" si="3"/>
        <v>15160</v>
      </c>
      <c r="D1519" s="56">
        <v>2.46</v>
      </c>
    </row>
    <row r="1520" ht="15.75" customHeight="1">
      <c r="B1520" s="370">
        <f t="shared" si="2"/>
        <v>0.1755787037</v>
      </c>
      <c r="C1520" s="56">
        <f t="shared" si="3"/>
        <v>15170</v>
      </c>
      <c r="D1520" s="56">
        <v>2.778</v>
      </c>
    </row>
    <row r="1521" ht="15.75" customHeight="1">
      <c r="B1521" s="370">
        <f t="shared" si="2"/>
        <v>0.1756944444</v>
      </c>
      <c r="C1521" s="56">
        <f t="shared" si="3"/>
        <v>15180</v>
      </c>
      <c r="D1521" s="56">
        <v>3.042</v>
      </c>
    </row>
    <row r="1522" ht="15.75" customHeight="1">
      <c r="B1522" s="370">
        <f t="shared" si="2"/>
        <v>0.1758101852</v>
      </c>
      <c r="C1522" s="56">
        <f t="shared" si="3"/>
        <v>15190</v>
      </c>
      <c r="D1522" s="56">
        <v>3.231</v>
      </c>
    </row>
    <row r="1523" ht="15.75" customHeight="1">
      <c r="B1523" s="370">
        <f t="shared" si="2"/>
        <v>0.1759259259</v>
      </c>
      <c r="C1523" s="56">
        <f t="shared" si="3"/>
        <v>15200</v>
      </c>
      <c r="D1523" s="56">
        <v>3.063</v>
      </c>
    </row>
    <row r="1524" ht="15.75" customHeight="1">
      <c r="B1524" s="370">
        <f t="shared" si="2"/>
        <v>0.1760416667</v>
      </c>
      <c r="C1524" s="56">
        <f t="shared" si="3"/>
        <v>15210</v>
      </c>
      <c r="D1524" s="56">
        <v>3.039</v>
      </c>
    </row>
    <row r="1525" ht="15.75" customHeight="1">
      <c r="B1525" s="370">
        <f t="shared" si="2"/>
        <v>0.1761574074</v>
      </c>
      <c r="C1525" s="56">
        <f t="shared" si="3"/>
        <v>15220</v>
      </c>
      <c r="D1525" s="56">
        <v>2.771</v>
      </c>
    </row>
    <row r="1526" ht="15.75" customHeight="1">
      <c r="B1526" s="370">
        <f t="shared" si="2"/>
        <v>0.1762731481</v>
      </c>
      <c r="C1526" s="56">
        <f t="shared" si="3"/>
        <v>15230</v>
      </c>
      <c r="D1526" s="56">
        <v>2.891</v>
      </c>
    </row>
    <row r="1527" ht="15.75" customHeight="1">
      <c r="B1527" s="370">
        <f t="shared" si="2"/>
        <v>0.1763888889</v>
      </c>
      <c r="C1527" s="56">
        <f t="shared" si="3"/>
        <v>15240</v>
      </c>
      <c r="D1527" s="56">
        <v>2.823</v>
      </c>
    </row>
    <row r="1528" ht="15.75" customHeight="1">
      <c r="B1528" s="370">
        <f t="shared" si="2"/>
        <v>0.1765046296</v>
      </c>
      <c r="C1528" s="56">
        <f t="shared" si="3"/>
        <v>15250</v>
      </c>
      <c r="D1528" s="56">
        <v>2.744</v>
      </c>
    </row>
    <row r="1529" ht="15.75" customHeight="1">
      <c r="B1529" s="370">
        <f t="shared" si="2"/>
        <v>0.1766203704</v>
      </c>
      <c r="C1529" s="56">
        <f t="shared" si="3"/>
        <v>15260</v>
      </c>
      <c r="D1529" s="56">
        <v>2.607</v>
      </c>
    </row>
    <row r="1530" ht="15.75" customHeight="1">
      <c r="B1530" s="370">
        <f t="shared" si="2"/>
        <v>0.1767361111</v>
      </c>
      <c r="C1530" s="56">
        <f t="shared" si="3"/>
        <v>15270</v>
      </c>
      <c r="D1530" s="56">
        <v>2.45</v>
      </c>
    </row>
    <row r="1531" ht="15.75" customHeight="1">
      <c r="B1531" s="370">
        <f t="shared" si="2"/>
        <v>0.1768518519</v>
      </c>
      <c r="C1531" s="56">
        <f t="shared" si="3"/>
        <v>15280</v>
      </c>
      <c r="D1531" s="56">
        <v>2.315</v>
      </c>
    </row>
    <row r="1532" ht="15.75" customHeight="1">
      <c r="B1532" s="370">
        <f t="shared" si="2"/>
        <v>0.1769675926</v>
      </c>
      <c r="C1532" s="56">
        <f t="shared" si="3"/>
        <v>15290</v>
      </c>
      <c r="D1532" s="56">
        <v>3.203</v>
      </c>
    </row>
    <row r="1533" ht="15.75" customHeight="1">
      <c r="B1533" s="370">
        <f t="shared" si="2"/>
        <v>0.1770833333</v>
      </c>
      <c r="C1533" s="56">
        <f t="shared" si="3"/>
        <v>15300</v>
      </c>
      <c r="D1533" s="56">
        <v>3.455</v>
      </c>
    </row>
    <row r="1534" ht="15.75" customHeight="1">
      <c r="B1534" s="370">
        <f t="shared" si="2"/>
        <v>0.1771990741</v>
      </c>
      <c r="C1534" s="56">
        <f t="shared" si="3"/>
        <v>15310</v>
      </c>
      <c r="D1534" s="56">
        <v>3.483</v>
      </c>
    </row>
    <row r="1535" ht="15.75" customHeight="1">
      <c r="B1535" s="370">
        <f t="shared" si="2"/>
        <v>0.1773148148</v>
      </c>
      <c r="C1535" s="56">
        <f t="shared" si="3"/>
        <v>15320</v>
      </c>
      <c r="D1535" s="56">
        <v>3.498</v>
      </c>
    </row>
    <row r="1536" ht="15.75" customHeight="1">
      <c r="B1536" s="370">
        <f t="shared" si="2"/>
        <v>0.1774305556</v>
      </c>
      <c r="C1536" s="56">
        <f t="shared" si="3"/>
        <v>15330</v>
      </c>
      <c r="D1536" s="56">
        <v>3.155</v>
      </c>
    </row>
    <row r="1537" ht="15.75" customHeight="1">
      <c r="B1537" s="370">
        <f t="shared" si="2"/>
        <v>0.1775462963</v>
      </c>
      <c r="C1537" s="56">
        <f t="shared" si="3"/>
        <v>15340</v>
      </c>
      <c r="D1537" s="56">
        <v>2.391</v>
      </c>
    </row>
    <row r="1538" ht="15.75" customHeight="1">
      <c r="B1538" s="370">
        <f t="shared" si="2"/>
        <v>0.177662037</v>
      </c>
      <c r="C1538" s="56">
        <f t="shared" si="3"/>
        <v>15350</v>
      </c>
      <c r="D1538" s="56">
        <v>1.991</v>
      </c>
    </row>
    <row r="1539" ht="15.75" customHeight="1">
      <c r="B1539" s="370">
        <f t="shared" si="2"/>
        <v>0.1777777778</v>
      </c>
      <c r="C1539" s="56">
        <f t="shared" si="3"/>
        <v>15360</v>
      </c>
      <c r="D1539" s="56">
        <v>2.275</v>
      </c>
    </row>
    <row r="1540" ht="15.75" customHeight="1">
      <c r="B1540" s="370">
        <f t="shared" si="2"/>
        <v>0.1778935185</v>
      </c>
      <c r="C1540" s="56">
        <f t="shared" si="3"/>
        <v>15370</v>
      </c>
      <c r="D1540" s="56">
        <v>2.696</v>
      </c>
    </row>
    <row r="1541" ht="15.75" customHeight="1">
      <c r="B1541" s="370">
        <f t="shared" si="2"/>
        <v>0.1780092593</v>
      </c>
      <c r="C1541" s="56">
        <f t="shared" si="3"/>
        <v>15380</v>
      </c>
      <c r="D1541" s="56">
        <v>3.057</v>
      </c>
    </row>
    <row r="1542" ht="15.75" customHeight="1">
      <c r="B1542" s="370">
        <f t="shared" si="2"/>
        <v>0.178125</v>
      </c>
      <c r="C1542" s="56">
        <f t="shared" si="3"/>
        <v>15390</v>
      </c>
      <c r="D1542" s="56">
        <v>3.334</v>
      </c>
    </row>
    <row r="1543" ht="15.75" customHeight="1">
      <c r="B1543" s="370">
        <f t="shared" si="2"/>
        <v>0.1782407407</v>
      </c>
      <c r="C1543" s="56">
        <f t="shared" si="3"/>
        <v>15400</v>
      </c>
      <c r="D1543" s="56">
        <v>3.257</v>
      </c>
    </row>
    <row r="1544" ht="15.75" customHeight="1">
      <c r="B1544" s="370">
        <f t="shared" si="2"/>
        <v>0.1783564815</v>
      </c>
      <c r="C1544" s="56">
        <f t="shared" si="3"/>
        <v>15410</v>
      </c>
      <c r="D1544" s="56">
        <v>3.182</v>
      </c>
    </row>
    <row r="1545" ht="15.75" customHeight="1">
      <c r="B1545" s="370">
        <f t="shared" si="2"/>
        <v>0.1784722222</v>
      </c>
      <c r="C1545" s="56">
        <f t="shared" si="3"/>
        <v>15420</v>
      </c>
      <c r="D1545" s="56">
        <v>2.926</v>
      </c>
    </row>
    <row r="1546" ht="15.75" customHeight="1">
      <c r="B1546" s="370">
        <f t="shared" si="2"/>
        <v>0.178587963</v>
      </c>
      <c r="C1546" s="56">
        <f t="shared" si="3"/>
        <v>15430</v>
      </c>
      <c r="D1546" s="56">
        <v>2.708</v>
      </c>
    </row>
    <row r="1547" ht="15.75" customHeight="1">
      <c r="B1547" s="370">
        <f t="shared" si="2"/>
        <v>0.1787037037</v>
      </c>
      <c r="C1547" s="56">
        <f t="shared" si="3"/>
        <v>15440</v>
      </c>
      <c r="D1547" s="56">
        <v>2.747</v>
      </c>
    </row>
    <row r="1548" ht="15.75" customHeight="1">
      <c r="B1548" s="370">
        <f t="shared" si="2"/>
        <v>0.1788194444</v>
      </c>
      <c r="C1548" s="56">
        <f t="shared" si="3"/>
        <v>15450</v>
      </c>
      <c r="D1548" s="56">
        <v>2.751</v>
      </c>
    </row>
    <row r="1549" ht="15.75" customHeight="1">
      <c r="B1549" s="370">
        <f t="shared" si="2"/>
        <v>0.1789351852</v>
      </c>
      <c r="C1549" s="56">
        <f t="shared" si="3"/>
        <v>15460</v>
      </c>
      <c r="D1549" s="56">
        <v>2.678</v>
      </c>
    </row>
    <row r="1550" ht="15.75" customHeight="1">
      <c r="B1550" s="370">
        <f t="shared" si="2"/>
        <v>0.1790509259</v>
      </c>
      <c r="C1550" s="56">
        <f t="shared" si="3"/>
        <v>15470</v>
      </c>
      <c r="D1550" s="56">
        <v>2.593</v>
      </c>
    </row>
    <row r="1551" ht="15.75" customHeight="1">
      <c r="B1551" s="370">
        <f t="shared" si="2"/>
        <v>0.1791666667</v>
      </c>
      <c r="C1551" s="56">
        <f t="shared" si="3"/>
        <v>15480</v>
      </c>
      <c r="D1551" s="56">
        <v>2.26</v>
      </c>
    </row>
    <row r="1552" ht="15.75" customHeight="1">
      <c r="B1552" s="370">
        <f t="shared" si="2"/>
        <v>0.1792824074</v>
      </c>
      <c r="C1552" s="56">
        <f t="shared" si="3"/>
        <v>15490</v>
      </c>
      <c r="D1552" s="56">
        <v>3.056</v>
      </c>
    </row>
    <row r="1553" ht="15.75" customHeight="1">
      <c r="B1553" s="370">
        <f t="shared" si="2"/>
        <v>0.1793981481</v>
      </c>
      <c r="C1553" s="56">
        <f t="shared" si="3"/>
        <v>15500</v>
      </c>
      <c r="D1553" s="56">
        <v>3.38</v>
      </c>
    </row>
    <row r="1554" ht="15.75" customHeight="1">
      <c r="B1554" s="370">
        <f t="shared" si="2"/>
        <v>0.1795138889</v>
      </c>
      <c r="C1554" s="56">
        <f t="shared" si="3"/>
        <v>15510</v>
      </c>
      <c r="D1554" s="56">
        <v>3.418</v>
      </c>
    </row>
    <row r="1555" ht="15.75" customHeight="1">
      <c r="B1555" s="370">
        <f t="shared" si="2"/>
        <v>0.1796296296</v>
      </c>
      <c r="C1555" s="56">
        <f t="shared" si="3"/>
        <v>15520</v>
      </c>
      <c r="D1555" s="56">
        <v>3.473</v>
      </c>
    </row>
    <row r="1556" ht="15.75" customHeight="1">
      <c r="B1556" s="370">
        <f t="shared" si="2"/>
        <v>0.1797453704</v>
      </c>
      <c r="C1556" s="56">
        <f t="shared" si="3"/>
        <v>15530</v>
      </c>
      <c r="D1556" s="56">
        <v>3.211</v>
      </c>
    </row>
    <row r="1557" ht="15.75" customHeight="1">
      <c r="B1557" s="370">
        <f t="shared" si="2"/>
        <v>0.1798611111</v>
      </c>
      <c r="C1557" s="56">
        <f t="shared" si="3"/>
        <v>15540</v>
      </c>
      <c r="D1557" s="56">
        <v>2.604</v>
      </c>
    </row>
    <row r="1558" ht="15.75" customHeight="1">
      <c r="B1558" s="370">
        <f t="shared" si="2"/>
        <v>0.1799768519</v>
      </c>
      <c r="C1558" s="56">
        <f t="shared" si="3"/>
        <v>15550</v>
      </c>
      <c r="D1558" s="56">
        <v>2.068</v>
      </c>
    </row>
    <row r="1559" ht="15.75" customHeight="1">
      <c r="B1559" s="370">
        <f t="shared" si="2"/>
        <v>0.1800925926</v>
      </c>
      <c r="C1559" s="56">
        <f t="shared" si="3"/>
        <v>15560</v>
      </c>
      <c r="D1559" s="56">
        <v>2.131</v>
      </c>
    </row>
    <row r="1560" ht="15.75" customHeight="1">
      <c r="B1560" s="370">
        <f t="shared" si="2"/>
        <v>0.1802083333</v>
      </c>
      <c r="C1560" s="56">
        <f t="shared" si="3"/>
        <v>15570</v>
      </c>
      <c r="D1560" s="56">
        <v>2.581</v>
      </c>
    </row>
    <row r="1561" ht="15.75" customHeight="1">
      <c r="B1561" s="370">
        <f t="shared" si="2"/>
        <v>0.1803240741</v>
      </c>
      <c r="C1561" s="56">
        <f t="shared" si="3"/>
        <v>15580</v>
      </c>
      <c r="D1561" s="56">
        <v>3.035</v>
      </c>
    </row>
    <row r="1562" ht="15.75" customHeight="1">
      <c r="B1562" s="370">
        <f t="shared" si="2"/>
        <v>0.1804398148</v>
      </c>
      <c r="C1562" s="56">
        <f t="shared" si="3"/>
        <v>15590</v>
      </c>
      <c r="D1562" s="56">
        <v>3.407</v>
      </c>
    </row>
    <row r="1563" ht="15.75" customHeight="1">
      <c r="B1563" s="370">
        <f t="shared" si="2"/>
        <v>0.1805555556</v>
      </c>
      <c r="C1563" s="56">
        <f t="shared" si="3"/>
        <v>15600</v>
      </c>
      <c r="D1563" s="56">
        <v>3.369</v>
      </c>
    </row>
    <row r="1564" ht="15.75" customHeight="1">
      <c r="B1564" s="370">
        <f t="shared" si="2"/>
        <v>0.1806712963</v>
      </c>
      <c r="C1564" s="56">
        <f t="shared" si="3"/>
        <v>15610</v>
      </c>
      <c r="D1564" s="56">
        <v>3.303</v>
      </c>
    </row>
    <row r="1565" ht="15.75" customHeight="1">
      <c r="B1565" s="370">
        <f t="shared" si="2"/>
        <v>0.180787037</v>
      </c>
      <c r="C1565" s="56">
        <f t="shared" si="3"/>
        <v>15620</v>
      </c>
      <c r="D1565" s="56">
        <v>3.046</v>
      </c>
    </row>
    <row r="1566" ht="15.75" customHeight="1">
      <c r="B1566" s="370">
        <f t="shared" si="2"/>
        <v>0.1809027778</v>
      </c>
      <c r="C1566" s="56">
        <f t="shared" si="3"/>
        <v>15630</v>
      </c>
      <c r="D1566" s="56">
        <v>2.531</v>
      </c>
    </row>
    <row r="1567" ht="15.75" customHeight="1">
      <c r="B1567" s="370">
        <f t="shared" si="2"/>
        <v>0.1810185185</v>
      </c>
      <c r="C1567" s="56">
        <f t="shared" si="3"/>
        <v>15640</v>
      </c>
      <c r="D1567" s="56">
        <v>2.632</v>
      </c>
    </row>
    <row r="1568" ht="15.75" customHeight="1">
      <c r="B1568" s="370">
        <f t="shared" si="2"/>
        <v>0.1811342593</v>
      </c>
      <c r="C1568" s="56">
        <f t="shared" si="3"/>
        <v>15650</v>
      </c>
      <c r="D1568" s="56">
        <v>2.727</v>
      </c>
    </row>
    <row r="1569" ht="15.75" customHeight="1">
      <c r="B1569" s="370">
        <f t="shared" si="2"/>
        <v>0.18125</v>
      </c>
      <c r="C1569" s="56">
        <f t="shared" si="3"/>
        <v>15660</v>
      </c>
      <c r="D1569" s="56">
        <v>2.714</v>
      </c>
    </row>
    <row r="1570" ht="15.75" customHeight="1">
      <c r="B1570" s="370">
        <f t="shared" si="2"/>
        <v>0.1813657407</v>
      </c>
      <c r="C1570" s="56">
        <f t="shared" si="3"/>
        <v>15670</v>
      </c>
      <c r="D1570" s="56">
        <v>2.7</v>
      </c>
    </row>
    <row r="1571" ht="15.75" customHeight="1">
      <c r="B1571" s="370">
        <f t="shared" si="2"/>
        <v>0.1814814815</v>
      </c>
      <c r="C1571" s="56">
        <f t="shared" si="3"/>
        <v>15680</v>
      </c>
      <c r="D1571" s="56">
        <v>2.55</v>
      </c>
    </row>
    <row r="1572" ht="15.75" customHeight="1">
      <c r="B1572" s="370">
        <f t="shared" si="2"/>
        <v>0.1815972222</v>
      </c>
      <c r="C1572" s="56">
        <f t="shared" si="3"/>
        <v>15690</v>
      </c>
      <c r="D1572" s="56">
        <v>2.818</v>
      </c>
    </row>
    <row r="1573" ht="15.75" customHeight="1">
      <c r="B1573" s="370">
        <f t="shared" si="2"/>
        <v>0.181712963</v>
      </c>
      <c r="C1573" s="56">
        <f t="shared" si="3"/>
        <v>15700</v>
      </c>
      <c r="D1573" s="56">
        <v>3.268</v>
      </c>
    </row>
    <row r="1574" ht="15.75" customHeight="1">
      <c r="B1574" s="370">
        <f t="shared" si="2"/>
        <v>0.1818287037</v>
      </c>
      <c r="C1574" s="56">
        <f t="shared" si="3"/>
        <v>15710</v>
      </c>
      <c r="D1574" s="56">
        <v>3.337</v>
      </c>
    </row>
    <row r="1575" ht="15.75" customHeight="1">
      <c r="B1575" s="370">
        <f t="shared" si="2"/>
        <v>0.1819444444</v>
      </c>
      <c r="C1575" s="56">
        <f t="shared" si="3"/>
        <v>15720</v>
      </c>
      <c r="D1575" s="56">
        <v>3.414</v>
      </c>
    </row>
    <row r="1576" ht="15.75" customHeight="1">
      <c r="B1576" s="370">
        <f t="shared" si="2"/>
        <v>0.1820601852</v>
      </c>
      <c r="C1576" s="56">
        <f t="shared" si="3"/>
        <v>15730</v>
      </c>
      <c r="D1576" s="56">
        <v>3.234</v>
      </c>
    </row>
    <row r="1577" ht="15.75" customHeight="1">
      <c r="B1577" s="370">
        <f t="shared" si="2"/>
        <v>0.1821759259</v>
      </c>
      <c r="C1577" s="56">
        <f t="shared" si="3"/>
        <v>15740</v>
      </c>
      <c r="D1577" s="56">
        <v>2.724</v>
      </c>
    </row>
    <row r="1578" ht="15.75" customHeight="1">
      <c r="B1578" s="370">
        <f t="shared" si="2"/>
        <v>0.1822916667</v>
      </c>
      <c r="C1578" s="56">
        <f t="shared" si="3"/>
        <v>15750</v>
      </c>
      <c r="D1578" s="56">
        <v>2.287</v>
      </c>
    </row>
    <row r="1579" ht="15.75" customHeight="1">
      <c r="B1579" s="370">
        <f t="shared" si="2"/>
        <v>0.1824074074</v>
      </c>
      <c r="C1579" s="56">
        <f t="shared" si="3"/>
        <v>15760</v>
      </c>
      <c r="D1579" s="56">
        <v>1.927</v>
      </c>
    </row>
    <row r="1580" ht="15.75" customHeight="1">
      <c r="B1580" s="370">
        <f t="shared" si="2"/>
        <v>0.1825231481</v>
      </c>
      <c r="C1580" s="56">
        <f t="shared" si="3"/>
        <v>15770</v>
      </c>
      <c r="D1580" s="56">
        <v>2.43</v>
      </c>
    </row>
    <row r="1581" ht="15.75" customHeight="1">
      <c r="B1581" s="370">
        <f t="shared" si="2"/>
        <v>0.1826388889</v>
      </c>
      <c r="C1581" s="56">
        <f t="shared" si="3"/>
        <v>15780</v>
      </c>
      <c r="D1581" s="56">
        <v>2.98</v>
      </c>
    </row>
    <row r="1582" ht="15.75" customHeight="1">
      <c r="B1582" s="370">
        <f t="shared" si="2"/>
        <v>0.1827546296</v>
      </c>
      <c r="C1582" s="56">
        <f t="shared" si="3"/>
        <v>15790</v>
      </c>
      <c r="D1582" s="56">
        <v>3.44</v>
      </c>
    </row>
    <row r="1583" ht="15.75" customHeight="1">
      <c r="B1583" s="370">
        <f t="shared" si="2"/>
        <v>0.1828703704</v>
      </c>
      <c r="C1583" s="56">
        <f t="shared" si="3"/>
        <v>15800</v>
      </c>
      <c r="D1583" s="56">
        <v>3.443</v>
      </c>
    </row>
    <row r="1584" ht="15.75" customHeight="1">
      <c r="B1584" s="370">
        <f t="shared" si="2"/>
        <v>0.1829861111</v>
      </c>
      <c r="C1584" s="56">
        <f t="shared" si="3"/>
        <v>15810</v>
      </c>
      <c r="D1584" s="56">
        <v>3.394</v>
      </c>
    </row>
    <row r="1585" ht="15.75" customHeight="1">
      <c r="B1585" s="370">
        <f t="shared" si="2"/>
        <v>0.1831018519</v>
      </c>
      <c r="C1585" s="56">
        <f t="shared" si="3"/>
        <v>15820</v>
      </c>
      <c r="D1585" s="56">
        <v>3.239</v>
      </c>
    </row>
    <row r="1586" ht="15.75" customHeight="1">
      <c r="B1586" s="370">
        <f t="shared" si="2"/>
        <v>0.1832175926</v>
      </c>
      <c r="C1586" s="56">
        <f t="shared" si="3"/>
        <v>15830</v>
      </c>
      <c r="D1586" s="56">
        <v>2.46</v>
      </c>
    </row>
    <row r="1587" ht="15.75" customHeight="1">
      <c r="B1587" s="370">
        <f t="shared" si="2"/>
        <v>0.1833333333</v>
      </c>
      <c r="C1587" s="56">
        <f t="shared" si="3"/>
        <v>15840</v>
      </c>
      <c r="D1587" s="56">
        <v>2.489</v>
      </c>
    </row>
    <row r="1588" ht="15.75" customHeight="1">
      <c r="B1588" s="370">
        <f t="shared" si="2"/>
        <v>0.1834490741</v>
      </c>
      <c r="C1588" s="56">
        <f t="shared" si="3"/>
        <v>15850</v>
      </c>
      <c r="D1588" s="56">
        <v>2.663</v>
      </c>
    </row>
    <row r="1589" ht="15.75" customHeight="1">
      <c r="B1589" s="370">
        <f t="shared" si="2"/>
        <v>0.1835648148</v>
      </c>
      <c r="C1589" s="56">
        <f t="shared" si="3"/>
        <v>15860</v>
      </c>
      <c r="D1589" s="56">
        <v>2.718</v>
      </c>
    </row>
    <row r="1590" ht="15.75" customHeight="1">
      <c r="B1590" s="370">
        <f t="shared" si="2"/>
        <v>0.1836805556</v>
      </c>
      <c r="C1590" s="56">
        <f t="shared" si="3"/>
        <v>15870</v>
      </c>
      <c r="D1590" s="56">
        <v>2.786</v>
      </c>
    </row>
    <row r="1591" ht="15.75" customHeight="1">
      <c r="B1591" s="370">
        <f t="shared" si="2"/>
        <v>0.1837962963</v>
      </c>
      <c r="C1591" s="56">
        <f t="shared" si="3"/>
        <v>15880</v>
      </c>
      <c r="D1591" s="56">
        <v>2.717</v>
      </c>
    </row>
    <row r="1592" ht="15.75" customHeight="1">
      <c r="B1592" s="370">
        <f t="shared" si="2"/>
        <v>0.183912037</v>
      </c>
      <c r="C1592" s="56">
        <f t="shared" si="3"/>
        <v>15890</v>
      </c>
      <c r="D1592" s="56">
        <v>2.695</v>
      </c>
    </row>
    <row r="1593" ht="15.75" customHeight="1">
      <c r="B1593" s="370">
        <f t="shared" si="2"/>
        <v>0.1840277778</v>
      </c>
      <c r="C1593" s="56">
        <f t="shared" si="3"/>
        <v>15900</v>
      </c>
      <c r="D1593" s="56">
        <v>3.123</v>
      </c>
    </row>
    <row r="1594" ht="15.75" customHeight="1">
      <c r="B1594" s="370">
        <f t="shared" si="2"/>
        <v>0.1841435185</v>
      </c>
      <c r="C1594" s="56">
        <f t="shared" si="3"/>
        <v>15910</v>
      </c>
      <c r="D1594" s="56">
        <v>3.22</v>
      </c>
    </row>
    <row r="1595" ht="15.75" customHeight="1">
      <c r="B1595" s="370">
        <f t="shared" si="2"/>
        <v>0.1842592593</v>
      </c>
      <c r="C1595" s="56">
        <f t="shared" si="3"/>
        <v>15920</v>
      </c>
      <c r="D1595" s="56">
        <v>3.325</v>
      </c>
    </row>
    <row r="1596" ht="15.75" customHeight="1">
      <c r="B1596" s="370">
        <f t="shared" si="2"/>
        <v>0.184375</v>
      </c>
      <c r="C1596" s="56">
        <f t="shared" si="3"/>
        <v>15930</v>
      </c>
      <c r="D1596" s="56">
        <v>3.215</v>
      </c>
    </row>
    <row r="1597" ht="15.75" customHeight="1">
      <c r="B1597" s="370">
        <f t="shared" si="2"/>
        <v>0.1844907407</v>
      </c>
      <c r="C1597" s="56">
        <f t="shared" si="3"/>
        <v>15940</v>
      </c>
      <c r="D1597" s="56">
        <v>2.808</v>
      </c>
    </row>
    <row r="1598" ht="15.75" customHeight="1">
      <c r="B1598" s="370">
        <f t="shared" si="2"/>
        <v>0.1846064815</v>
      </c>
      <c r="C1598" s="56">
        <f t="shared" si="3"/>
        <v>15950</v>
      </c>
      <c r="D1598" s="56">
        <v>2.41</v>
      </c>
    </row>
    <row r="1599" ht="15.75" customHeight="1">
      <c r="B1599" s="370">
        <f t="shared" si="2"/>
        <v>0.1847222222</v>
      </c>
      <c r="C1599" s="56">
        <f t="shared" si="3"/>
        <v>15960</v>
      </c>
      <c r="D1599" s="56">
        <v>2.107</v>
      </c>
    </row>
    <row r="1600" ht="15.75" customHeight="1">
      <c r="B1600" s="370">
        <f t="shared" si="2"/>
        <v>0.184837963</v>
      </c>
      <c r="C1600" s="56">
        <f t="shared" si="3"/>
        <v>15970</v>
      </c>
      <c r="D1600" s="56">
        <v>2.18</v>
      </c>
    </row>
    <row r="1601" ht="15.75" customHeight="1">
      <c r="B1601" s="370">
        <f t="shared" si="2"/>
        <v>0.1849537037</v>
      </c>
      <c r="C1601" s="56">
        <f t="shared" si="3"/>
        <v>15980</v>
      </c>
      <c r="D1601" s="56">
        <v>2.885</v>
      </c>
    </row>
    <row r="1602" ht="15.75" customHeight="1">
      <c r="B1602" s="370">
        <f t="shared" si="2"/>
        <v>0.1850694444</v>
      </c>
      <c r="C1602" s="56">
        <f t="shared" si="3"/>
        <v>15990</v>
      </c>
      <c r="D1602" s="56">
        <v>3.443</v>
      </c>
    </row>
    <row r="1603" ht="15.75" customHeight="1">
      <c r="B1603" s="370">
        <f t="shared" si="2"/>
        <v>0.1851851852</v>
      </c>
      <c r="C1603" s="56">
        <f t="shared" si="3"/>
        <v>16000</v>
      </c>
      <c r="D1603" s="56">
        <v>3.501</v>
      </c>
    </row>
    <row r="1604" ht="15.75" customHeight="1">
      <c r="B1604" s="370">
        <f t="shared" si="2"/>
        <v>0.1853009259</v>
      </c>
      <c r="C1604" s="56">
        <f t="shared" si="3"/>
        <v>16010</v>
      </c>
      <c r="D1604" s="56">
        <v>3.468</v>
      </c>
    </row>
    <row r="1605" ht="15.75" customHeight="1">
      <c r="B1605" s="370">
        <f t="shared" si="2"/>
        <v>0.1854166667</v>
      </c>
      <c r="C1605" s="56">
        <f t="shared" si="3"/>
        <v>16020</v>
      </c>
      <c r="D1605" s="56">
        <v>3.355</v>
      </c>
    </row>
    <row r="1606" ht="15.75" customHeight="1">
      <c r="B1606" s="370">
        <f t="shared" si="2"/>
        <v>0.1855324074</v>
      </c>
      <c r="C1606" s="56">
        <f t="shared" si="3"/>
        <v>16030</v>
      </c>
      <c r="D1606" s="56">
        <v>2.702</v>
      </c>
    </row>
    <row r="1607" ht="15.75" customHeight="1">
      <c r="B1607" s="370">
        <f t="shared" si="2"/>
        <v>0.1856481481</v>
      </c>
      <c r="C1607" s="56">
        <f t="shared" si="3"/>
        <v>16040</v>
      </c>
      <c r="D1607" s="56">
        <v>2.285</v>
      </c>
    </row>
    <row r="1608" ht="15.75" customHeight="1">
      <c r="B1608" s="370">
        <f t="shared" si="2"/>
        <v>0.1857638889</v>
      </c>
      <c r="C1608" s="56">
        <f t="shared" si="3"/>
        <v>16050</v>
      </c>
      <c r="D1608" s="56">
        <v>2.567</v>
      </c>
    </row>
    <row r="1609" ht="15.75" customHeight="1">
      <c r="B1609" s="370">
        <f t="shared" si="2"/>
        <v>0.1858796296</v>
      </c>
      <c r="C1609" s="56">
        <f t="shared" si="3"/>
        <v>16060</v>
      </c>
      <c r="D1609" s="56">
        <v>2.687</v>
      </c>
    </row>
    <row r="1610" ht="15.75" customHeight="1">
      <c r="B1610" s="370">
        <f t="shared" si="2"/>
        <v>0.1859953704</v>
      </c>
      <c r="C1610" s="56">
        <f t="shared" si="3"/>
        <v>16070</v>
      </c>
      <c r="D1610" s="56">
        <v>2.828</v>
      </c>
    </row>
    <row r="1611" ht="15.75" customHeight="1">
      <c r="B1611" s="370">
        <f t="shared" si="2"/>
        <v>0.1861111111</v>
      </c>
      <c r="C1611" s="56">
        <f t="shared" si="3"/>
        <v>16080</v>
      </c>
      <c r="D1611" s="56">
        <v>2.852</v>
      </c>
    </row>
    <row r="1612" ht="15.75" customHeight="1">
      <c r="B1612" s="370">
        <f t="shared" si="2"/>
        <v>0.1862268519</v>
      </c>
      <c r="C1612" s="56">
        <f t="shared" si="3"/>
        <v>16090</v>
      </c>
      <c r="D1612" s="56">
        <v>2.773</v>
      </c>
    </row>
    <row r="1613" ht="15.75" customHeight="1">
      <c r="B1613" s="370">
        <f t="shared" si="2"/>
        <v>0.1863425926</v>
      </c>
      <c r="C1613" s="56">
        <f t="shared" si="3"/>
        <v>16100</v>
      </c>
      <c r="D1613" s="56">
        <v>2.981</v>
      </c>
    </row>
    <row r="1614" ht="15.75" customHeight="1">
      <c r="B1614" s="370">
        <f t="shared" si="2"/>
        <v>0.1864583333</v>
      </c>
      <c r="C1614" s="56">
        <f t="shared" si="3"/>
        <v>16110</v>
      </c>
      <c r="D1614" s="56">
        <v>3.019</v>
      </c>
    </row>
    <row r="1615" ht="15.75" customHeight="1">
      <c r="B1615" s="370">
        <f t="shared" si="2"/>
        <v>0.1865740741</v>
      </c>
      <c r="C1615" s="56">
        <f t="shared" si="3"/>
        <v>16120</v>
      </c>
      <c r="D1615" s="56">
        <v>3.197</v>
      </c>
    </row>
    <row r="1616" ht="15.75" customHeight="1">
      <c r="B1616" s="370">
        <f t="shared" si="2"/>
        <v>0.1866898148</v>
      </c>
      <c r="C1616" s="56">
        <f t="shared" si="3"/>
        <v>16130</v>
      </c>
      <c r="D1616" s="56">
        <v>3.167</v>
      </c>
    </row>
    <row r="1617" ht="15.75" customHeight="1">
      <c r="B1617" s="370">
        <f t="shared" si="2"/>
        <v>0.1868055556</v>
      </c>
      <c r="C1617" s="56">
        <f t="shared" si="3"/>
        <v>16140</v>
      </c>
      <c r="D1617" s="56">
        <v>2.857</v>
      </c>
    </row>
    <row r="1618" ht="15.75" customHeight="1">
      <c r="B1618" s="370">
        <f t="shared" si="2"/>
        <v>0.1869212963</v>
      </c>
      <c r="C1618" s="56">
        <f t="shared" si="3"/>
        <v>16150</v>
      </c>
      <c r="D1618" s="56">
        <v>2.575</v>
      </c>
    </row>
    <row r="1619" ht="15.75" customHeight="1">
      <c r="B1619" s="370">
        <f t="shared" si="2"/>
        <v>0.187037037</v>
      </c>
      <c r="C1619" s="56">
        <f t="shared" si="3"/>
        <v>16160</v>
      </c>
      <c r="D1619" s="56">
        <v>2.294</v>
      </c>
    </row>
    <row r="1620" ht="15.75" customHeight="1">
      <c r="B1620" s="370">
        <f t="shared" si="2"/>
        <v>0.1871527778</v>
      </c>
      <c r="C1620" s="56">
        <f t="shared" si="3"/>
        <v>16170</v>
      </c>
      <c r="D1620" s="56">
        <v>2.042</v>
      </c>
    </row>
    <row r="1621" ht="15.75" customHeight="1">
      <c r="B1621" s="370">
        <f t="shared" si="2"/>
        <v>0.1872685185</v>
      </c>
      <c r="C1621" s="56">
        <f t="shared" si="3"/>
        <v>16180</v>
      </c>
      <c r="D1621" s="56">
        <v>2.759</v>
      </c>
    </row>
    <row r="1622" ht="15.75" customHeight="1">
      <c r="B1622" s="370">
        <f t="shared" si="2"/>
        <v>0.1873842593</v>
      </c>
      <c r="C1622" s="56">
        <f t="shared" si="3"/>
        <v>16190</v>
      </c>
      <c r="D1622" s="56">
        <v>3.416</v>
      </c>
    </row>
    <row r="1623" ht="15.75" customHeight="1">
      <c r="B1623" s="370">
        <f t="shared" si="2"/>
        <v>0.1875</v>
      </c>
      <c r="C1623" s="56">
        <f t="shared" si="3"/>
        <v>16200</v>
      </c>
      <c r="D1623" s="56">
        <v>3.524</v>
      </c>
    </row>
    <row r="1624" ht="15.75" customHeight="1">
      <c r="B1624" s="370">
        <f t="shared" si="2"/>
        <v>0.1876157407</v>
      </c>
      <c r="C1624" s="56">
        <f t="shared" si="3"/>
        <v>16210</v>
      </c>
      <c r="D1624" s="56">
        <v>3.506</v>
      </c>
    </row>
    <row r="1625" ht="15.75" customHeight="1">
      <c r="B1625" s="370">
        <f t="shared" si="2"/>
        <v>0.1877314815</v>
      </c>
      <c r="C1625" s="56">
        <f t="shared" si="3"/>
        <v>16220</v>
      </c>
      <c r="D1625" s="56">
        <v>3.431</v>
      </c>
    </row>
    <row r="1626" ht="15.75" customHeight="1">
      <c r="B1626" s="370">
        <f t="shared" si="2"/>
        <v>0.1878472222</v>
      </c>
      <c r="C1626" s="56">
        <f t="shared" si="3"/>
        <v>16230</v>
      </c>
      <c r="D1626" s="56">
        <v>2.823</v>
      </c>
    </row>
    <row r="1627" ht="15.75" customHeight="1">
      <c r="B1627" s="370">
        <f t="shared" si="2"/>
        <v>0.187962963</v>
      </c>
      <c r="C1627" s="56">
        <f t="shared" si="3"/>
        <v>16240</v>
      </c>
      <c r="D1627" s="56">
        <v>2.105</v>
      </c>
    </row>
    <row r="1628" ht="15.75" customHeight="1">
      <c r="B1628" s="370">
        <f t="shared" si="2"/>
        <v>0.1880787037</v>
      </c>
      <c r="C1628" s="56">
        <f t="shared" si="3"/>
        <v>16250</v>
      </c>
      <c r="D1628" s="56">
        <v>2.415</v>
      </c>
    </row>
    <row r="1629" ht="15.75" customHeight="1">
      <c r="B1629" s="370">
        <f t="shared" si="2"/>
        <v>0.1881944444</v>
      </c>
      <c r="C1629" s="56">
        <f t="shared" si="3"/>
        <v>16260</v>
      </c>
      <c r="D1629" s="56">
        <v>2.616</v>
      </c>
    </row>
    <row r="1630" ht="15.75" customHeight="1">
      <c r="B1630" s="370">
        <f t="shared" si="2"/>
        <v>0.1883101852</v>
      </c>
      <c r="C1630" s="56">
        <f t="shared" si="3"/>
        <v>16270</v>
      </c>
      <c r="D1630" s="56">
        <v>2.834</v>
      </c>
    </row>
    <row r="1631" ht="15.75" customHeight="1">
      <c r="B1631" s="370">
        <f t="shared" si="2"/>
        <v>0.1884259259</v>
      </c>
      <c r="C1631" s="56">
        <f t="shared" si="3"/>
        <v>16280</v>
      </c>
      <c r="D1631" s="56">
        <v>2.956</v>
      </c>
    </row>
    <row r="1632" ht="15.75" customHeight="1">
      <c r="B1632" s="370">
        <f t="shared" si="2"/>
        <v>0.1885416667</v>
      </c>
      <c r="C1632" s="56">
        <f t="shared" si="3"/>
        <v>16290</v>
      </c>
      <c r="D1632" s="56">
        <v>3.027</v>
      </c>
    </row>
    <row r="1633" ht="15.75" customHeight="1">
      <c r="B1633" s="370">
        <f t="shared" si="2"/>
        <v>0.1886574074</v>
      </c>
      <c r="C1633" s="56">
        <f t="shared" si="3"/>
        <v>16300</v>
      </c>
      <c r="D1633" s="56">
        <v>2.862</v>
      </c>
    </row>
    <row r="1634" ht="15.75" customHeight="1">
      <c r="B1634" s="370">
        <f t="shared" si="2"/>
        <v>0.1887731481</v>
      </c>
      <c r="C1634" s="56">
        <f t="shared" si="3"/>
        <v>16310</v>
      </c>
      <c r="D1634" s="56">
        <v>2.924</v>
      </c>
    </row>
    <row r="1635" ht="15.75" customHeight="1">
      <c r="B1635" s="370">
        <f t="shared" si="2"/>
        <v>0.1888888889</v>
      </c>
      <c r="C1635" s="56">
        <f t="shared" si="3"/>
        <v>16320</v>
      </c>
      <c r="D1635" s="56">
        <v>3.03</v>
      </c>
    </row>
    <row r="1636" ht="15.75" customHeight="1">
      <c r="B1636" s="370">
        <f t="shared" si="2"/>
        <v>0.1890046296</v>
      </c>
      <c r="C1636" s="56">
        <f t="shared" si="3"/>
        <v>16330</v>
      </c>
      <c r="D1636" s="56">
        <v>3.079</v>
      </c>
    </row>
    <row r="1637" ht="15.75" customHeight="1">
      <c r="B1637" s="370">
        <f t="shared" si="2"/>
        <v>0.1891203704</v>
      </c>
      <c r="C1637" s="56">
        <f t="shared" si="3"/>
        <v>16340</v>
      </c>
      <c r="D1637" s="56">
        <v>2.87</v>
      </c>
    </row>
    <row r="1638" ht="15.75" customHeight="1">
      <c r="B1638" s="370">
        <f t="shared" si="2"/>
        <v>0.1892361111</v>
      </c>
      <c r="C1638" s="56">
        <f t="shared" si="3"/>
        <v>16350</v>
      </c>
      <c r="D1638" s="56">
        <v>2.669</v>
      </c>
    </row>
    <row r="1639" ht="15.75" customHeight="1">
      <c r="B1639" s="370">
        <f t="shared" si="2"/>
        <v>0.1893518519</v>
      </c>
      <c r="C1639" s="56">
        <f t="shared" si="3"/>
        <v>16360</v>
      </c>
      <c r="D1639" s="56">
        <v>2.441</v>
      </c>
    </row>
    <row r="1640" ht="15.75" customHeight="1">
      <c r="B1640" s="370">
        <f t="shared" si="2"/>
        <v>0.1894675926</v>
      </c>
      <c r="C1640" s="56">
        <f t="shared" si="3"/>
        <v>16370</v>
      </c>
      <c r="D1640" s="56">
        <v>2.096</v>
      </c>
    </row>
    <row r="1641" ht="15.75" customHeight="1">
      <c r="B1641" s="370">
        <f t="shared" si="2"/>
        <v>0.1895833333</v>
      </c>
      <c r="C1641" s="56">
        <f t="shared" si="3"/>
        <v>16380</v>
      </c>
      <c r="D1641" s="56">
        <v>2.599</v>
      </c>
    </row>
    <row r="1642" ht="15.75" customHeight="1">
      <c r="B1642" s="370">
        <f t="shared" si="2"/>
        <v>0.1896990741</v>
      </c>
      <c r="C1642" s="56">
        <f t="shared" si="3"/>
        <v>16390</v>
      </c>
      <c r="D1642" s="56">
        <v>3.353</v>
      </c>
    </row>
    <row r="1643" ht="15.75" customHeight="1">
      <c r="B1643" s="370">
        <f t="shared" si="2"/>
        <v>0.1898148148</v>
      </c>
      <c r="C1643" s="56">
        <f t="shared" si="3"/>
        <v>16400</v>
      </c>
      <c r="D1643" s="56">
        <v>3.515</v>
      </c>
    </row>
    <row r="1644" ht="15.75" customHeight="1">
      <c r="B1644" s="370">
        <f t="shared" si="2"/>
        <v>0.1899305556</v>
      </c>
      <c r="C1644" s="56">
        <f t="shared" si="3"/>
        <v>16410</v>
      </c>
      <c r="D1644" s="56">
        <v>3.516</v>
      </c>
    </row>
    <row r="1645" ht="15.75" customHeight="1">
      <c r="B1645" s="370">
        <f t="shared" si="2"/>
        <v>0.1900462963</v>
      </c>
      <c r="C1645" s="56">
        <f t="shared" si="3"/>
        <v>16420</v>
      </c>
      <c r="D1645" s="56">
        <v>3.487</v>
      </c>
    </row>
    <row r="1646" ht="15.75" customHeight="1">
      <c r="B1646" s="370">
        <f t="shared" si="2"/>
        <v>0.190162037</v>
      </c>
      <c r="C1646" s="56">
        <f t="shared" si="3"/>
        <v>16430</v>
      </c>
      <c r="D1646" s="56">
        <v>3.014</v>
      </c>
    </row>
    <row r="1647" ht="15.75" customHeight="1">
      <c r="B1647" s="370">
        <f t="shared" si="2"/>
        <v>0.1902777778</v>
      </c>
      <c r="C1647" s="56">
        <f t="shared" si="3"/>
        <v>16440</v>
      </c>
      <c r="D1647" s="56">
        <v>2.132</v>
      </c>
    </row>
    <row r="1648" ht="15.75" customHeight="1">
      <c r="B1648" s="370">
        <f t="shared" si="2"/>
        <v>0.1903935185</v>
      </c>
      <c r="C1648" s="56">
        <f t="shared" si="3"/>
        <v>16450</v>
      </c>
      <c r="D1648" s="56">
        <v>2.272</v>
      </c>
    </row>
    <row r="1649" ht="15.75" customHeight="1">
      <c r="B1649" s="370">
        <f t="shared" si="2"/>
        <v>0.1905092593</v>
      </c>
      <c r="C1649" s="56">
        <f t="shared" si="3"/>
        <v>16460</v>
      </c>
      <c r="D1649" s="56">
        <v>2.52</v>
      </c>
    </row>
    <row r="1650" ht="15.75" customHeight="1">
      <c r="B1650" s="370">
        <f t="shared" si="2"/>
        <v>0.190625</v>
      </c>
      <c r="C1650" s="56">
        <f t="shared" si="3"/>
        <v>16470</v>
      </c>
      <c r="D1650" s="56">
        <v>2.804</v>
      </c>
    </row>
    <row r="1651" ht="15.75" customHeight="1">
      <c r="B1651" s="370">
        <f t="shared" si="2"/>
        <v>0.1907407407</v>
      </c>
      <c r="C1651" s="56">
        <f t="shared" si="3"/>
        <v>16480</v>
      </c>
      <c r="D1651" s="56">
        <v>3.023</v>
      </c>
    </row>
    <row r="1652" ht="15.75" customHeight="1">
      <c r="B1652" s="370">
        <f t="shared" si="2"/>
        <v>0.1908564815</v>
      </c>
      <c r="C1652" s="56">
        <f t="shared" si="3"/>
        <v>16490</v>
      </c>
      <c r="D1652" s="56">
        <v>3.18</v>
      </c>
    </row>
    <row r="1653" ht="15.75" customHeight="1">
      <c r="B1653" s="370">
        <f t="shared" si="2"/>
        <v>0.1909722222</v>
      </c>
      <c r="C1653" s="56">
        <f t="shared" si="3"/>
        <v>16500</v>
      </c>
      <c r="D1653" s="56">
        <v>3.049</v>
      </c>
    </row>
    <row r="1654" ht="15.75" customHeight="1">
      <c r="B1654" s="370">
        <f t="shared" si="2"/>
        <v>0.191087963</v>
      </c>
      <c r="C1654" s="56">
        <f t="shared" si="3"/>
        <v>16510</v>
      </c>
      <c r="D1654" s="56">
        <v>2.896</v>
      </c>
    </row>
    <row r="1655" ht="15.75" customHeight="1">
      <c r="B1655" s="370">
        <f t="shared" si="2"/>
        <v>0.1912037037</v>
      </c>
      <c r="C1655" s="56">
        <f t="shared" si="3"/>
        <v>16520</v>
      </c>
      <c r="D1655" s="56">
        <v>2.875</v>
      </c>
    </row>
    <row r="1656" ht="15.75" customHeight="1">
      <c r="B1656" s="370">
        <f t="shared" si="2"/>
        <v>0.1913194444</v>
      </c>
      <c r="C1656" s="56">
        <f t="shared" si="3"/>
        <v>16530</v>
      </c>
      <c r="D1656" s="56">
        <v>2.947</v>
      </c>
    </row>
    <row r="1657" ht="15.75" customHeight="1">
      <c r="B1657" s="370">
        <f t="shared" si="2"/>
        <v>0.1914351852</v>
      </c>
      <c r="C1657" s="56">
        <f t="shared" si="3"/>
        <v>16540</v>
      </c>
      <c r="D1657" s="56">
        <v>2.846</v>
      </c>
    </row>
    <row r="1658" ht="15.75" customHeight="1">
      <c r="B1658" s="370">
        <f t="shared" si="2"/>
        <v>0.1915509259</v>
      </c>
      <c r="C1658" s="56">
        <f t="shared" si="3"/>
        <v>16550</v>
      </c>
      <c r="D1658" s="56">
        <v>2.727</v>
      </c>
    </row>
    <row r="1659" ht="15.75" customHeight="1">
      <c r="B1659" s="370">
        <f t="shared" si="2"/>
        <v>0.1916666667</v>
      </c>
      <c r="C1659" s="56">
        <f t="shared" si="3"/>
        <v>16560</v>
      </c>
      <c r="D1659" s="56">
        <v>2.55</v>
      </c>
    </row>
    <row r="1660" ht="15.75" customHeight="1">
      <c r="B1660" s="370">
        <f t="shared" si="2"/>
        <v>0.1917824074</v>
      </c>
      <c r="C1660" s="56">
        <f t="shared" si="3"/>
        <v>16570</v>
      </c>
      <c r="D1660" s="56">
        <v>2.369</v>
      </c>
    </row>
    <row r="1661" ht="15.75" customHeight="1">
      <c r="B1661" s="370">
        <f t="shared" si="2"/>
        <v>0.1918981481</v>
      </c>
      <c r="C1661" s="56">
        <f t="shared" si="3"/>
        <v>16580</v>
      </c>
      <c r="D1661" s="56">
        <v>2.328</v>
      </c>
    </row>
    <row r="1662" ht="15.75" customHeight="1">
      <c r="B1662" s="370">
        <f t="shared" si="2"/>
        <v>0.1920138889</v>
      </c>
      <c r="C1662" s="56">
        <f t="shared" si="3"/>
        <v>16590</v>
      </c>
      <c r="D1662" s="56">
        <v>3.25</v>
      </c>
    </row>
    <row r="1663" ht="15.75" customHeight="1">
      <c r="B1663" s="370">
        <f t="shared" si="2"/>
        <v>0.1921296296</v>
      </c>
      <c r="C1663" s="56">
        <f t="shared" si="3"/>
        <v>16600</v>
      </c>
      <c r="D1663" s="56">
        <v>3.483</v>
      </c>
    </row>
    <row r="1664" ht="15.75" customHeight="1">
      <c r="B1664" s="370">
        <f t="shared" si="2"/>
        <v>0.1922453704</v>
      </c>
      <c r="C1664" s="56">
        <f t="shared" si="3"/>
        <v>16610</v>
      </c>
      <c r="D1664" s="56">
        <v>3.5</v>
      </c>
    </row>
    <row r="1665" ht="15.75" customHeight="1">
      <c r="B1665" s="370">
        <f t="shared" si="2"/>
        <v>0.1923611111</v>
      </c>
      <c r="C1665" s="56">
        <f t="shared" si="3"/>
        <v>16620</v>
      </c>
      <c r="D1665" s="56">
        <v>3.507</v>
      </c>
    </row>
    <row r="1666" ht="15.75" customHeight="1">
      <c r="B1666" s="370">
        <f t="shared" si="2"/>
        <v>0.1924768519</v>
      </c>
      <c r="C1666" s="56">
        <f t="shared" si="3"/>
        <v>16630</v>
      </c>
      <c r="D1666" s="56">
        <v>3.121</v>
      </c>
    </row>
    <row r="1667" ht="15.75" customHeight="1">
      <c r="B1667" s="370">
        <f t="shared" si="2"/>
        <v>0.1925925926</v>
      </c>
      <c r="C1667" s="56">
        <f t="shared" si="3"/>
        <v>16640</v>
      </c>
      <c r="D1667" s="56">
        <v>2.368</v>
      </c>
    </row>
    <row r="1668" ht="15.75" customHeight="1">
      <c r="B1668" s="370">
        <f t="shared" si="2"/>
        <v>0.1927083333</v>
      </c>
      <c r="C1668" s="56">
        <f t="shared" si="3"/>
        <v>16650</v>
      </c>
      <c r="D1668" s="56">
        <v>2.043</v>
      </c>
    </row>
    <row r="1669" ht="15.75" customHeight="1">
      <c r="B1669" s="370">
        <f t="shared" si="2"/>
        <v>0.1928240741</v>
      </c>
      <c r="C1669" s="56">
        <f t="shared" si="3"/>
        <v>16660</v>
      </c>
      <c r="D1669" s="56">
        <v>2.384</v>
      </c>
    </row>
    <row r="1670" ht="15.75" customHeight="1">
      <c r="B1670" s="370">
        <f t="shared" si="2"/>
        <v>0.1929398148</v>
      </c>
      <c r="C1670" s="56">
        <f t="shared" si="3"/>
        <v>16670</v>
      </c>
      <c r="D1670" s="56">
        <v>2.739</v>
      </c>
    </row>
    <row r="1671" ht="15.75" customHeight="1">
      <c r="B1671" s="370">
        <f t="shared" si="2"/>
        <v>0.1930555556</v>
      </c>
      <c r="C1671" s="56">
        <f t="shared" si="3"/>
        <v>16680</v>
      </c>
      <c r="D1671" s="56">
        <v>3.055</v>
      </c>
    </row>
    <row r="1672" ht="15.75" customHeight="1">
      <c r="B1672" s="370">
        <f t="shared" si="2"/>
        <v>0.1931712963</v>
      </c>
      <c r="C1672" s="56">
        <f t="shared" si="3"/>
        <v>16690</v>
      </c>
      <c r="D1672" s="56">
        <v>3.289</v>
      </c>
    </row>
    <row r="1673" ht="15.75" customHeight="1">
      <c r="B1673" s="370">
        <f t="shared" si="2"/>
        <v>0.193287037</v>
      </c>
      <c r="C1673" s="56">
        <f t="shared" si="3"/>
        <v>16700</v>
      </c>
      <c r="D1673" s="56">
        <v>3.157</v>
      </c>
    </row>
    <row r="1674" ht="15.75" customHeight="1">
      <c r="B1674" s="370">
        <f t="shared" si="2"/>
        <v>0.1934027778</v>
      </c>
      <c r="C1674" s="56">
        <f t="shared" si="3"/>
        <v>16710</v>
      </c>
      <c r="D1674" s="56">
        <v>3.121</v>
      </c>
    </row>
    <row r="1675" ht="15.75" customHeight="1">
      <c r="B1675" s="370">
        <f t="shared" si="2"/>
        <v>0.1935185185</v>
      </c>
      <c r="C1675" s="56">
        <f t="shared" si="3"/>
        <v>16720</v>
      </c>
      <c r="D1675" s="56">
        <v>2.8</v>
      </c>
    </row>
    <row r="1676" ht="15.75" customHeight="1">
      <c r="B1676" s="370">
        <f t="shared" si="2"/>
        <v>0.1936342593</v>
      </c>
      <c r="C1676" s="56">
        <f t="shared" si="3"/>
        <v>16730</v>
      </c>
      <c r="D1676" s="56">
        <v>2.806</v>
      </c>
    </row>
    <row r="1677" ht="15.75" customHeight="1">
      <c r="B1677" s="370">
        <f t="shared" si="2"/>
        <v>0.19375</v>
      </c>
      <c r="C1677" s="56">
        <f t="shared" si="3"/>
        <v>16740</v>
      </c>
      <c r="D1677" s="56">
        <v>2.787</v>
      </c>
    </row>
    <row r="1678" ht="15.75" customHeight="1">
      <c r="B1678" s="370">
        <f t="shared" si="2"/>
        <v>0.1938657407</v>
      </c>
      <c r="C1678" s="56">
        <f t="shared" si="3"/>
        <v>16750</v>
      </c>
      <c r="D1678" s="56">
        <v>2.753</v>
      </c>
    </row>
    <row r="1679" ht="15.75" customHeight="1">
      <c r="B1679" s="370">
        <f t="shared" si="2"/>
        <v>0.1939814815</v>
      </c>
      <c r="C1679" s="56">
        <f t="shared" si="3"/>
        <v>16760</v>
      </c>
      <c r="D1679" s="56">
        <v>2.649</v>
      </c>
    </row>
    <row r="1680" ht="15.75" customHeight="1">
      <c r="B1680" s="370">
        <f t="shared" si="2"/>
        <v>0.1940972222</v>
      </c>
      <c r="C1680" s="56">
        <f t="shared" si="3"/>
        <v>16770</v>
      </c>
      <c r="D1680" s="56">
        <v>2.533</v>
      </c>
    </row>
    <row r="1681" ht="15.75" customHeight="1">
      <c r="B1681" s="370">
        <f t="shared" si="2"/>
        <v>0.194212963</v>
      </c>
      <c r="C1681" s="56">
        <f t="shared" si="3"/>
        <v>16780</v>
      </c>
      <c r="D1681" s="56">
        <v>2.256</v>
      </c>
    </row>
    <row r="1682" ht="15.75" customHeight="1">
      <c r="B1682" s="370">
        <f t="shared" si="2"/>
        <v>0.1943287037</v>
      </c>
      <c r="C1682" s="56">
        <f t="shared" si="3"/>
        <v>16790</v>
      </c>
      <c r="D1682" s="56">
        <v>3.129</v>
      </c>
    </row>
    <row r="1683" ht="15.75" customHeight="1">
      <c r="B1683" s="370">
        <f t="shared" si="2"/>
        <v>0.1944444444</v>
      </c>
      <c r="C1683" s="56">
        <f t="shared" si="3"/>
        <v>16800</v>
      </c>
      <c r="D1683" s="56">
        <v>3.417</v>
      </c>
    </row>
    <row r="1684" ht="15.75" customHeight="1">
      <c r="B1684" s="370">
        <f t="shared" si="2"/>
        <v>0.1945601852</v>
      </c>
      <c r="C1684" s="56">
        <f t="shared" si="3"/>
        <v>16810</v>
      </c>
      <c r="D1684" s="56">
        <v>3.455</v>
      </c>
    </row>
    <row r="1685" ht="15.75" customHeight="1">
      <c r="B1685" s="370">
        <f t="shared" si="2"/>
        <v>0.1946759259</v>
      </c>
      <c r="C1685" s="56">
        <f t="shared" si="3"/>
        <v>16820</v>
      </c>
      <c r="D1685" s="56">
        <v>3.488</v>
      </c>
    </row>
    <row r="1686" ht="15.75" customHeight="1">
      <c r="B1686" s="370">
        <f t="shared" si="2"/>
        <v>0.1947916667</v>
      </c>
      <c r="C1686" s="56">
        <f t="shared" si="3"/>
        <v>16830</v>
      </c>
      <c r="D1686" s="56">
        <v>3.19</v>
      </c>
    </row>
    <row r="1687" ht="15.75" customHeight="1">
      <c r="B1687" s="370">
        <f t="shared" si="2"/>
        <v>0.1949074074</v>
      </c>
      <c r="C1687" s="56">
        <f t="shared" si="3"/>
        <v>16840</v>
      </c>
      <c r="D1687" s="56">
        <v>2.49</v>
      </c>
    </row>
    <row r="1688" ht="15.75" customHeight="1">
      <c r="B1688" s="370">
        <f t="shared" si="2"/>
        <v>0.1950231481</v>
      </c>
      <c r="C1688" s="56">
        <f t="shared" si="3"/>
        <v>16850</v>
      </c>
      <c r="D1688" s="56">
        <v>2.008</v>
      </c>
    </row>
    <row r="1689" ht="15.75" customHeight="1">
      <c r="B1689" s="370">
        <f t="shared" si="2"/>
        <v>0.1951388889</v>
      </c>
      <c r="C1689" s="56">
        <f t="shared" si="3"/>
        <v>16860</v>
      </c>
      <c r="D1689" s="56">
        <v>2.167</v>
      </c>
    </row>
    <row r="1690" ht="15.75" customHeight="1">
      <c r="B1690" s="370">
        <f t="shared" si="2"/>
        <v>0.1952546296</v>
      </c>
      <c r="C1690" s="56">
        <f t="shared" si="3"/>
        <v>16870</v>
      </c>
      <c r="D1690" s="56">
        <v>2.637</v>
      </c>
    </row>
    <row r="1691" ht="15.75" customHeight="1">
      <c r="B1691" s="370">
        <f t="shared" si="2"/>
        <v>0.1953703704</v>
      </c>
      <c r="C1691" s="56">
        <f t="shared" si="3"/>
        <v>16880</v>
      </c>
      <c r="D1691" s="56">
        <v>3.051</v>
      </c>
    </row>
    <row r="1692" ht="15.75" customHeight="1">
      <c r="B1692" s="370">
        <f t="shared" si="2"/>
        <v>0.1954861111</v>
      </c>
      <c r="C1692" s="56">
        <f t="shared" si="3"/>
        <v>16890</v>
      </c>
      <c r="D1692" s="56">
        <v>3.38</v>
      </c>
    </row>
    <row r="1693" ht="15.75" customHeight="1">
      <c r="B1693" s="370">
        <f t="shared" si="2"/>
        <v>0.1956018519</v>
      </c>
      <c r="C1693" s="56">
        <f t="shared" si="3"/>
        <v>16900</v>
      </c>
      <c r="D1693" s="56">
        <v>3.32</v>
      </c>
    </row>
    <row r="1694" ht="15.75" customHeight="1">
      <c r="B1694" s="370">
        <f t="shared" si="2"/>
        <v>0.1957175926</v>
      </c>
      <c r="C1694" s="56">
        <f t="shared" si="3"/>
        <v>16910</v>
      </c>
      <c r="D1694" s="56">
        <v>3.251</v>
      </c>
    </row>
    <row r="1695" ht="15.75" customHeight="1">
      <c r="B1695" s="370">
        <f t="shared" si="2"/>
        <v>0.1958333333</v>
      </c>
      <c r="C1695" s="56">
        <f t="shared" si="3"/>
        <v>16920</v>
      </c>
      <c r="D1695" s="56">
        <v>3.02</v>
      </c>
    </row>
    <row r="1696" ht="15.75" customHeight="1">
      <c r="B1696" s="370">
        <f t="shared" si="2"/>
        <v>0.1959490741</v>
      </c>
      <c r="C1696" s="56">
        <f t="shared" si="3"/>
        <v>16930</v>
      </c>
      <c r="D1696" s="56">
        <v>2.593</v>
      </c>
    </row>
    <row r="1697" ht="15.75" customHeight="1">
      <c r="B1697" s="370">
        <f t="shared" si="2"/>
        <v>0.1960648148</v>
      </c>
      <c r="C1697" s="56">
        <f t="shared" si="3"/>
        <v>16940</v>
      </c>
      <c r="D1697" s="56">
        <v>2.691</v>
      </c>
    </row>
    <row r="1698" ht="15.75" customHeight="1">
      <c r="B1698" s="370">
        <f t="shared" si="2"/>
        <v>0.1961805556</v>
      </c>
      <c r="C1698" s="56">
        <f t="shared" si="3"/>
        <v>16950</v>
      </c>
      <c r="D1698" s="56">
        <v>2.741</v>
      </c>
    </row>
    <row r="1699" ht="15.75" customHeight="1">
      <c r="B1699" s="370">
        <f t="shared" si="2"/>
        <v>0.1962962963</v>
      </c>
      <c r="C1699" s="56">
        <f t="shared" si="3"/>
        <v>16960</v>
      </c>
      <c r="D1699" s="56">
        <v>2.703</v>
      </c>
    </row>
    <row r="1700" ht="15.75" customHeight="1">
      <c r="B1700" s="370">
        <f t="shared" si="2"/>
        <v>0.196412037</v>
      </c>
      <c r="C1700" s="56">
        <f t="shared" si="3"/>
        <v>16970</v>
      </c>
      <c r="D1700" s="56">
        <v>2.659</v>
      </c>
    </row>
    <row r="1701" ht="15.75" customHeight="1">
      <c r="B1701" s="370">
        <f t="shared" si="2"/>
        <v>0.1965277778</v>
      </c>
      <c r="C1701" s="56">
        <f t="shared" si="3"/>
        <v>16980</v>
      </c>
      <c r="D1701" s="56">
        <v>2.377</v>
      </c>
    </row>
    <row r="1702" ht="15.75" customHeight="1">
      <c r="B1702" s="370">
        <f t="shared" si="2"/>
        <v>0.1966435185</v>
      </c>
      <c r="C1702" s="56">
        <f t="shared" si="3"/>
        <v>16990</v>
      </c>
      <c r="D1702" s="56">
        <v>2.966</v>
      </c>
    </row>
    <row r="1703" ht="15.75" customHeight="1">
      <c r="B1703" s="370">
        <f t="shared" si="2"/>
        <v>0.1967592593</v>
      </c>
      <c r="C1703" s="56">
        <f t="shared" si="3"/>
        <v>17000</v>
      </c>
      <c r="D1703" s="56">
        <v>3.319</v>
      </c>
    </row>
    <row r="1704" ht="15.75" customHeight="1">
      <c r="B1704" s="370">
        <f t="shared" si="2"/>
        <v>0.196875</v>
      </c>
      <c r="C1704" s="56">
        <f t="shared" si="3"/>
        <v>17010</v>
      </c>
      <c r="D1704" s="56">
        <v>3.375</v>
      </c>
    </row>
    <row r="1705" ht="15.75" customHeight="1">
      <c r="B1705" s="370">
        <f t="shared" si="2"/>
        <v>0.1969907407</v>
      </c>
      <c r="C1705" s="56">
        <f t="shared" si="3"/>
        <v>17020</v>
      </c>
      <c r="D1705" s="56">
        <v>3.446</v>
      </c>
    </row>
    <row r="1706" ht="15.75" customHeight="1">
      <c r="B1706" s="370">
        <f t="shared" si="2"/>
        <v>0.1971064815</v>
      </c>
      <c r="C1706" s="56">
        <f t="shared" si="3"/>
        <v>17030</v>
      </c>
      <c r="D1706" s="56">
        <v>3.23</v>
      </c>
    </row>
    <row r="1707" ht="15.75" customHeight="1">
      <c r="B1707" s="370">
        <f t="shared" si="2"/>
        <v>0.1972222222</v>
      </c>
      <c r="C1707" s="56">
        <f t="shared" si="3"/>
        <v>17040</v>
      </c>
      <c r="D1707" s="56">
        <v>2.672</v>
      </c>
    </row>
    <row r="1708" ht="15.75" customHeight="1">
      <c r="B1708" s="370">
        <f t="shared" si="2"/>
        <v>0.197337963</v>
      </c>
      <c r="C1708" s="56">
        <f t="shared" si="3"/>
        <v>17050</v>
      </c>
      <c r="D1708" s="56">
        <v>2.192</v>
      </c>
    </row>
    <row r="1709" ht="15.75" customHeight="1">
      <c r="B1709" s="370">
        <f t="shared" si="2"/>
        <v>0.1974537037</v>
      </c>
      <c r="C1709" s="56">
        <f t="shared" si="3"/>
        <v>17060</v>
      </c>
      <c r="D1709" s="56">
        <v>2.026</v>
      </c>
    </row>
    <row r="1710" ht="15.75" customHeight="1">
      <c r="B1710" s="370">
        <f t="shared" si="2"/>
        <v>0.1975694444</v>
      </c>
      <c r="C1710" s="56">
        <f t="shared" si="3"/>
        <v>17070</v>
      </c>
      <c r="D1710" s="56">
        <v>2.505</v>
      </c>
    </row>
    <row r="1711" ht="15.75" customHeight="1">
      <c r="B1711" s="370">
        <f t="shared" si="2"/>
        <v>0.1976851852</v>
      </c>
      <c r="C1711" s="56">
        <f t="shared" si="3"/>
        <v>17080</v>
      </c>
      <c r="D1711" s="56">
        <v>3.01</v>
      </c>
    </row>
    <row r="1712" ht="15.75" customHeight="1">
      <c r="B1712" s="370">
        <f t="shared" si="2"/>
        <v>0.1978009259</v>
      </c>
      <c r="C1712" s="56">
        <f t="shared" si="3"/>
        <v>17090</v>
      </c>
      <c r="D1712" s="56">
        <v>3.431</v>
      </c>
    </row>
    <row r="1713" ht="15.75" customHeight="1">
      <c r="B1713" s="370">
        <f t="shared" si="2"/>
        <v>0.1979166667</v>
      </c>
      <c r="C1713" s="56">
        <f t="shared" si="3"/>
        <v>17100</v>
      </c>
      <c r="D1713" s="56">
        <v>3.416</v>
      </c>
    </row>
    <row r="1714" ht="15.75" customHeight="1">
      <c r="B1714" s="370">
        <f t="shared" si="2"/>
        <v>0.1980324074</v>
      </c>
      <c r="C1714" s="56">
        <f t="shared" si="3"/>
        <v>17110</v>
      </c>
      <c r="D1714" s="56">
        <v>3.357</v>
      </c>
    </row>
    <row r="1715" ht="15.75" customHeight="1">
      <c r="B1715" s="370">
        <f t="shared" si="2"/>
        <v>0.1981481481</v>
      </c>
      <c r="C1715" s="56">
        <f t="shared" si="3"/>
        <v>17120</v>
      </c>
      <c r="D1715" s="56">
        <v>3.136</v>
      </c>
    </row>
    <row r="1716" ht="15.75" customHeight="1">
      <c r="B1716" s="370">
        <f t="shared" si="2"/>
        <v>0.1982638889</v>
      </c>
      <c r="C1716" s="56">
        <f t="shared" si="3"/>
        <v>17130</v>
      </c>
      <c r="D1716" s="56">
        <v>2.422</v>
      </c>
    </row>
    <row r="1717" ht="15.75" customHeight="1">
      <c r="B1717" s="370">
        <f t="shared" si="2"/>
        <v>0.1983796296</v>
      </c>
      <c r="C1717" s="56">
        <f t="shared" si="3"/>
        <v>17140</v>
      </c>
      <c r="D1717" s="56">
        <v>2.541</v>
      </c>
    </row>
    <row r="1718" ht="15.75" customHeight="1">
      <c r="B1718" s="370">
        <f t="shared" si="2"/>
        <v>0.1984953704</v>
      </c>
      <c r="C1718" s="56">
        <f t="shared" si="3"/>
        <v>17150</v>
      </c>
      <c r="D1718" s="56">
        <v>2.693</v>
      </c>
    </row>
    <row r="1719" ht="15.75" customHeight="1">
      <c r="B1719" s="370">
        <f t="shared" si="2"/>
        <v>0.1986111111</v>
      </c>
      <c r="C1719" s="56">
        <f t="shared" si="3"/>
        <v>17160</v>
      </c>
      <c r="D1719" s="56">
        <v>2.72</v>
      </c>
    </row>
    <row r="1720" ht="15.75" customHeight="1">
      <c r="B1720" s="370">
        <f t="shared" si="2"/>
        <v>0.1987268519</v>
      </c>
      <c r="C1720" s="56">
        <f t="shared" si="3"/>
        <v>17170</v>
      </c>
      <c r="D1720" s="56">
        <v>2.754</v>
      </c>
    </row>
    <row r="1721" ht="15.75" customHeight="1">
      <c r="B1721" s="370">
        <f t="shared" si="2"/>
        <v>0.1988425926</v>
      </c>
      <c r="C1721" s="56">
        <f t="shared" si="3"/>
        <v>17180</v>
      </c>
      <c r="D1721" s="56">
        <v>2.642</v>
      </c>
    </row>
    <row r="1722" ht="15.75" customHeight="1">
      <c r="B1722" s="370">
        <f t="shared" si="2"/>
        <v>0.1989583333</v>
      </c>
      <c r="C1722" s="56">
        <f t="shared" si="3"/>
        <v>17190</v>
      </c>
      <c r="D1722" s="56">
        <v>2.704</v>
      </c>
    </row>
    <row r="1723" ht="15.75" customHeight="1">
      <c r="B1723" s="370">
        <f t="shared" si="2"/>
        <v>0.1990740741</v>
      </c>
      <c r="C1723" s="56">
        <f t="shared" si="3"/>
        <v>17200</v>
      </c>
      <c r="D1723" s="56">
        <v>3.201</v>
      </c>
    </row>
    <row r="1724" ht="15.75" customHeight="1">
      <c r="B1724" s="370">
        <f t="shared" si="2"/>
        <v>0.1991898148</v>
      </c>
      <c r="C1724" s="56">
        <f t="shared" si="3"/>
        <v>17210</v>
      </c>
      <c r="D1724" s="56">
        <v>3.278</v>
      </c>
    </row>
    <row r="1725" ht="15.75" customHeight="1">
      <c r="B1725" s="370">
        <f t="shared" si="2"/>
        <v>0.1993055556</v>
      </c>
      <c r="C1725" s="56">
        <f t="shared" si="3"/>
        <v>17220</v>
      </c>
      <c r="D1725" s="56">
        <v>3.369</v>
      </c>
    </row>
    <row r="1726" ht="15.75" customHeight="1">
      <c r="B1726" s="370">
        <f t="shared" si="2"/>
        <v>0.1994212963</v>
      </c>
      <c r="C1726" s="56">
        <f t="shared" si="3"/>
        <v>17230</v>
      </c>
      <c r="D1726" s="56">
        <v>3.23</v>
      </c>
    </row>
    <row r="1727" ht="15.75" customHeight="1">
      <c r="B1727" s="370">
        <f t="shared" si="2"/>
        <v>0.199537037</v>
      </c>
      <c r="C1727" s="56">
        <f t="shared" si="3"/>
        <v>17240</v>
      </c>
      <c r="D1727" s="56">
        <v>2.773</v>
      </c>
    </row>
    <row r="1728" ht="15.75" customHeight="1">
      <c r="B1728" s="370">
        <f t="shared" si="2"/>
        <v>0.1996527778</v>
      </c>
      <c r="C1728" s="56">
        <f t="shared" si="3"/>
        <v>17250</v>
      </c>
      <c r="D1728" s="56">
        <v>2.377</v>
      </c>
    </row>
    <row r="1729" ht="15.75" customHeight="1">
      <c r="B1729" s="370">
        <f t="shared" si="2"/>
        <v>0.1997685185</v>
      </c>
      <c r="C1729" s="56">
        <f t="shared" si="3"/>
        <v>17260</v>
      </c>
      <c r="D1729" s="56">
        <v>1.938</v>
      </c>
    </row>
    <row r="1730" ht="15.75" customHeight="1">
      <c r="B1730" s="370">
        <f t="shared" si="2"/>
        <v>0.1998842593</v>
      </c>
      <c r="C1730" s="56">
        <f t="shared" si="3"/>
        <v>17270</v>
      </c>
      <c r="D1730" s="56">
        <v>2.336</v>
      </c>
    </row>
    <row r="1731" ht="15.75" customHeight="1">
      <c r="B1731" s="370">
        <f t="shared" si="2"/>
        <v>0.2</v>
      </c>
      <c r="C1731" s="56">
        <f t="shared" si="3"/>
        <v>17280</v>
      </c>
      <c r="D1731" s="56">
        <v>2.934</v>
      </c>
    </row>
    <row r="1732" ht="15.75" customHeight="1">
      <c r="B1732" s="370">
        <f t="shared" si="2"/>
        <v>0.2001157407</v>
      </c>
      <c r="C1732" s="56">
        <f t="shared" si="3"/>
        <v>17290</v>
      </c>
      <c r="D1732" s="56">
        <v>3.447</v>
      </c>
    </row>
    <row r="1733" ht="15.75" customHeight="1">
      <c r="B1733" s="370">
        <f t="shared" si="2"/>
        <v>0.2002314815</v>
      </c>
      <c r="C1733" s="56">
        <f t="shared" si="3"/>
        <v>17300</v>
      </c>
      <c r="D1733" s="56">
        <v>3.477</v>
      </c>
    </row>
    <row r="1734" ht="15.75" customHeight="1">
      <c r="B1734" s="370">
        <f t="shared" si="2"/>
        <v>0.2003472222</v>
      </c>
      <c r="C1734" s="56">
        <f t="shared" si="3"/>
        <v>17310</v>
      </c>
      <c r="D1734" s="56">
        <v>3.442</v>
      </c>
    </row>
    <row r="1735" ht="15.75" customHeight="1">
      <c r="B1735" s="370">
        <f t="shared" si="2"/>
        <v>0.200462963</v>
      </c>
      <c r="C1735" s="56">
        <f t="shared" si="3"/>
        <v>17320</v>
      </c>
      <c r="D1735" s="56">
        <v>3.302</v>
      </c>
    </row>
    <row r="1736" ht="15.75" customHeight="1">
      <c r="B1736" s="370">
        <f t="shared" si="2"/>
        <v>0.2005787037</v>
      </c>
      <c r="C1736" s="56">
        <f t="shared" si="3"/>
        <v>17330</v>
      </c>
      <c r="D1736" s="56">
        <v>2.589</v>
      </c>
    </row>
    <row r="1737" ht="15.75" customHeight="1">
      <c r="B1737" s="370">
        <f t="shared" si="2"/>
        <v>0.2006944444</v>
      </c>
      <c r="C1737" s="56">
        <f t="shared" si="3"/>
        <v>17340</v>
      </c>
      <c r="D1737" s="56">
        <v>2.398</v>
      </c>
    </row>
    <row r="1738" ht="15.75" customHeight="1">
      <c r="B1738" s="370">
        <f t="shared" si="2"/>
        <v>0.2008101852</v>
      </c>
      <c r="C1738" s="56">
        <f t="shared" si="3"/>
        <v>17350</v>
      </c>
      <c r="D1738" s="56">
        <v>2.616</v>
      </c>
    </row>
    <row r="1739" ht="15.75" customHeight="1">
      <c r="B1739" s="370">
        <f t="shared" si="2"/>
        <v>0.2009259259</v>
      </c>
      <c r="C1739" s="56">
        <f t="shared" si="3"/>
        <v>17360</v>
      </c>
      <c r="D1739" s="56">
        <v>2.704</v>
      </c>
    </row>
    <row r="1740" ht="15.75" customHeight="1">
      <c r="B1740" s="370">
        <f t="shared" si="2"/>
        <v>0.2010416667</v>
      </c>
      <c r="C1740" s="56">
        <f t="shared" si="3"/>
        <v>17370</v>
      </c>
      <c r="D1740" s="56">
        <v>2.812</v>
      </c>
    </row>
    <row r="1741" ht="15.75" customHeight="1">
      <c r="B1741" s="370">
        <f t="shared" si="2"/>
        <v>0.2011574074</v>
      </c>
      <c r="C1741" s="56">
        <f t="shared" si="3"/>
        <v>17380</v>
      </c>
      <c r="D1741" s="56">
        <v>2.794</v>
      </c>
    </row>
    <row r="1742" ht="15.75" customHeight="1">
      <c r="B1742" s="370">
        <f t="shared" si="2"/>
        <v>0.2012731481</v>
      </c>
      <c r="C1742" s="56">
        <f t="shared" si="3"/>
        <v>17390</v>
      </c>
      <c r="D1742" s="56">
        <v>2.761</v>
      </c>
    </row>
    <row r="1743" ht="15.75" customHeight="1">
      <c r="B1743" s="370">
        <f t="shared" si="2"/>
        <v>0.2013888889</v>
      </c>
      <c r="C1743" s="56">
        <f t="shared" si="3"/>
        <v>17400</v>
      </c>
      <c r="D1743" s="56">
        <v>3.031</v>
      </c>
    </row>
    <row r="1744" ht="15.75" customHeight="1">
      <c r="B1744" s="370">
        <f t="shared" si="2"/>
        <v>0.2015046296</v>
      </c>
      <c r="C1744" s="56">
        <f t="shared" si="3"/>
        <v>17410</v>
      </c>
      <c r="D1744" s="56">
        <v>3.15</v>
      </c>
    </row>
    <row r="1745" ht="15.75" customHeight="1">
      <c r="B1745" s="370">
        <f t="shared" si="2"/>
        <v>0.2016203704</v>
      </c>
      <c r="C1745" s="56">
        <f t="shared" si="3"/>
        <v>17420</v>
      </c>
      <c r="D1745" s="56">
        <v>3.252</v>
      </c>
    </row>
    <row r="1746" ht="15.75" customHeight="1">
      <c r="B1746" s="370">
        <f t="shared" si="2"/>
        <v>0.2017361111</v>
      </c>
      <c r="C1746" s="56">
        <f t="shared" si="3"/>
        <v>17430</v>
      </c>
      <c r="D1746" s="56">
        <v>3.192</v>
      </c>
    </row>
    <row r="1747" ht="15.75" customHeight="1">
      <c r="B1747" s="370">
        <f t="shared" si="2"/>
        <v>0.2018518519</v>
      </c>
      <c r="C1747" s="56">
        <f t="shared" si="3"/>
        <v>17440</v>
      </c>
      <c r="D1747" s="56">
        <v>2.839</v>
      </c>
    </row>
    <row r="1748" ht="15.75" customHeight="1">
      <c r="B1748" s="370">
        <f t="shared" si="2"/>
        <v>0.2019675926</v>
      </c>
      <c r="C1748" s="56">
        <f t="shared" si="3"/>
        <v>17450</v>
      </c>
      <c r="D1748" s="56">
        <v>2.494</v>
      </c>
    </row>
    <row r="1749" ht="15.75" customHeight="1">
      <c r="B1749" s="370">
        <f t="shared" si="2"/>
        <v>0.2020833333</v>
      </c>
      <c r="C1749" s="56">
        <f t="shared" si="3"/>
        <v>17460</v>
      </c>
      <c r="D1749" s="56">
        <v>2.208</v>
      </c>
    </row>
    <row r="1750" ht="15.75" customHeight="1">
      <c r="B1750" s="370">
        <f t="shared" si="2"/>
        <v>0.2021990741</v>
      </c>
      <c r="C1750" s="56">
        <f t="shared" si="3"/>
        <v>17470</v>
      </c>
      <c r="D1750" s="56">
        <v>2.059</v>
      </c>
    </row>
    <row r="1751" ht="15.75" customHeight="1">
      <c r="B1751" s="370">
        <f t="shared" si="2"/>
        <v>0.2023148148</v>
      </c>
      <c r="C1751" s="56">
        <f t="shared" si="3"/>
        <v>17480</v>
      </c>
      <c r="D1751" s="56">
        <v>2.82</v>
      </c>
    </row>
    <row r="1752" ht="15.75" customHeight="1">
      <c r="B1752" s="370">
        <f t="shared" si="2"/>
        <v>0.2024305556</v>
      </c>
      <c r="C1752" s="56">
        <f t="shared" si="3"/>
        <v>17490</v>
      </c>
      <c r="D1752" s="56">
        <v>3.432</v>
      </c>
    </row>
    <row r="1753" ht="15.75" customHeight="1">
      <c r="B1753" s="370">
        <f t="shared" si="2"/>
        <v>0.2025462963</v>
      </c>
      <c r="C1753" s="56">
        <f t="shared" si="3"/>
        <v>17500</v>
      </c>
      <c r="D1753" s="56">
        <v>3.518</v>
      </c>
    </row>
    <row r="1754" ht="15.75" customHeight="1">
      <c r="B1754" s="370">
        <f t="shared" si="2"/>
        <v>0.202662037</v>
      </c>
      <c r="C1754" s="56">
        <f t="shared" si="3"/>
        <v>17510</v>
      </c>
      <c r="D1754" s="56">
        <v>3.492</v>
      </c>
    </row>
    <row r="1755" ht="15.75" customHeight="1">
      <c r="B1755" s="370">
        <f t="shared" si="2"/>
        <v>0.2027777778</v>
      </c>
      <c r="C1755" s="56">
        <f t="shared" si="3"/>
        <v>17520</v>
      </c>
      <c r="D1755" s="56">
        <v>3.402</v>
      </c>
    </row>
    <row r="1756" ht="15.75" customHeight="1">
      <c r="B1756" s="370">
        <f t="shared" si="2"/>
        <v>0.2028935185</v>
      </c>
      <c r="C1756" s="56">
        <f t="shared" si="3"/>
        <v>17530</v>
      </c>
      <c r="D1756" s="56">
        <v>2.798</v>
      </c>
    </row>
    <row r="1757" ht="15.75" customHeight="1">
      <c r="B1757" s="370">
        <f t="shared" si="2"/>
        <v>0.2030092593</v>
      </c>
      <c r="C1757" s="56">
        <f t="shared" si="3"/>
        <v>17540</v>
      </c>
      <c r="D1757" s="56">
        <v>2.166</v>
      </c>
    </row>
    <row r="1758" ht="15.75" customHeight="1">
      <c r="B1758" s="370">
        <f t="shared" si="2"/>
        <v>0.203125</v>
      </c>
      <c r="C1758" s="56">
        <f t="shared" si="3"/>
        <v>17550</v>
      </c>
      <c r="D1758" s="56">
        <v>2.501</v>
      </c>
    </row>
    <row r="1759" ht="15.75" customHeight="1">
      <c r="B1759" s="370">
        <f t="shared" si="2"/>
        <v>0.2032407407</v>
      </c>
      <c r="C1759" s="56">
        <f t="shared" si="3"/>
        <v>17560</v>
      </c>
      <c r="D1759" s="56">
        <v>2.654</v>
      </c>
    </row>
    <row r="1760" ht="15.75" customHeight="1">
      <c r="B1760" s="370">
        <f t="shared" si="2"/>
        <v>0.2033564815</v>
      </c>
      <c r="C1760" s="56">
        <f t="shared" si="3"/>
        <v>17570</v>
      </c>
      <c r="D1760" s="56">
        <v>2.835</v>
      </c>
    </row>
    <row r="1761" ht="15.75" customHeight="1">
      <c r="B1761" s="370">
        <f t="shared" si="2"/>
        <v>0.2034722222</v>
      </c>
      <c r="C1761" s="56">
        <f t="shared" si="3"/>
        <v>17580</v>
      </c>
      <c r="D1761" s="56">
        <v>2.911</v>
      </c>
    </row>
    <row r="1762" ht="15.75" customHeight="1">
      <c r="B1762" s="370">
        <f t="shared" si="2"/>
        <v>0.203587963</v>
      </c>
      <c r="C1762" s="56">
        <f t="shared" si="3"/>
        <v>17590</v>
      </c>
      <c r="D1762" s="56">
        <v>2.885</v>
      </c>
    </row>
    <row r="1763" ht="15.75" customHeight="1">
      <c r="B1763" s="370">
        <f t="shared" si="2"/>
        <v>0.2037037037</v>
      </c>
      <c r="C1763" s="56">
        <f t="shared" si="3"/>
        <v>17600</v>
      </c>
      <c r="D1763" s="56">
        <v>2.894</v>
      </c>
    </row>
    <row r="1764" ht="15.75" customHeight="1">
      <c r="B1764" s="370">
        <f t="shared" si="2"/>
        <v>0.2038194444</v>
      </c>
      <c r="C1764" s="56">
        <f t="shared" si="3"/>
        <v>17610</v>
      </c>
      <c r="D1764" s="56">
        <v>2.924</v>
      </c>
    </row>
    <row r="1765" ht="15.75" customHeight="1">
      <c r="B1765" s="370">
        <f t="shared" si="2"/>
        <v>0.2039351852</v>
      </c>
      <c r="C1765" s="56">
        <f t="shared" si="3"/>
        <v>17620</v>
      </c>
      <c r="D1765" s="56">
        <v>3.12</v>
      </c>
    </row>
    <row r="1766" ht="15.75" customHeight="1">
      <c r="B1766" s="370">
        <f t="shared" si="2"/>
        <v>0.2040509259</v>
      </c>
      <c r="C1766" s="56">
        <f t="shared" si="3"/>
        <v>17630</v>
      </c>
      <c r="D1766" s="56">
        <v>3.125</v>
      </c>
    </row>
    <row r="1767" ht="15.75" customHeight="1">
      <c r="B1767" s="370">
        <f t="shared" si="2"/>
        <v>0.2041666667</v>
      </c>
      <c r="C1767" s="56">
        <f t="shared" si="3"/>
        <v>17640</v>
      </c>
      <c r="D1767" s="56">
        <v>2.869</v>
      </c>
    </row>
    <row r="1768" ht="15.75" customHeight="1">
      <c r="B1768" s="370">
        <f t="shared" si="2"/>
        <v>0.2042824074</v>
      </c>
      <c r="C1768" s="56">
        <f t="shared" si="3"/>
        <v>17650</v>
      </c>
      <c r="D1768" s="56">
        <v>2.63</v>
      </c>
    </row>
    <row r="1769" ht="15.75" customHeight="1">
      <c r="B1769" s="370">
        <f t="shared" si="2"/>
        <v>0.2043981481</v>
      </c>
      <c r="C1769" s="56">
        <f t="shared" si="3"/>
        <v>17660</v>
      </c>
      <c r="D1769" s="56">
        <v>2.378</v>
      </c>
    </row>
    <row r="1770" ht="15.75" customHeight="1">
      <c r="B1770" s="370">
        <f t="shared" si="2"/>
        <v>0.2045138889</v>
      </c>
      <c r="C1770" s="56">
        <f t="shared" si="3"/>
        <v>17670</v>
      </c>
      <c r="D1770" s="56">
        <v>2.079</v>
      </c>
    </row>
    <row r="1771" ht="15.75" customHeight="1">
      <c r="B1771" s="370">
        <f t="shared" si="2"/>
        <v>0.2046296296</v>
      </c>
      <c r="C1771" s="56">
        <f t="shared" si="3"/>
        <v>17680</v>
      </c>
      <c r="D1771" s="56">
        <v>2.671</v>
      </c>
    </row>
    <row r="1772" ht="15.75" customHeight="1">
      <c r="B1772" s="370">
        <f t="shared" si="2"/>
        <v>0.2047453704</v>
      </c>
      <c r="C1772" s="56">
        <f t="shared" si="3"/>
        <v>17690</v>
      </c>
      <c r="D1772" s="56">
        <v>3.385</v>
      </c>
    </row>
    <row r="1773" ht="15.75" customHeight="1">
      <c r="B1773" s="370">
        <f t="shared" si="2"/>
        <v>0.2048611111</v>
      </c>
      <c r="C1773" s="56">
        <f t="shared" si="3"/>
        <v>17700</v>
      </c>
      <c r="D1773" s="56">
        <v>3.525</v>
      </c>
    </row>
    <row r="1774" ht="15.75" customHeight="1">
      <c r="B1774" s="370">
        <f t="shared" si="2"/>
        <v>0.2049768519</v>
      </c>
      <c r="C1774" s="56">
        <f t="shared" si="3"/>
        <v>17710</v>
      </c>
      <c r="D1774" s="56">
        <v>3.515</v>
      </c>
    </row>
    <row r="1775" ht="15.75" customHeight="1">
      <c r="B1775" s="370">
        <f t="shared" si="2"/>
        <v>0.2050925926</v>
      </c>
      <c r="C1775" s="56">
        <f t="shared" si="3"/>
        <v>17720</v>
      </c>
      <c r="D1775" s="56">
        <v>3.461</v>
      </c>
    </row>
    <row r="1776" ht="15.75" customHeight="1">
      <c r="B1776" s="370">
        <f t="shared" si="2"/>
        <v>0.2052083333</v>
      </c>
      <c r="C1776" s="56">
        <f t="shared" si="3"/>
        <v>17730</v>
      </c>
      <c r="D1776" s="56">
        <v>2.917</v>
      </c>
    </row>
    <row r="1777" ht="15.75" customHeight="1">
      <c r="B1777" s="370">
        <f t="shared" si="2"/>
        <v>0.2053240741</v>
      </c>
      <c r="C1777" s="56">
        <f t="shared" si="3"/>
        <v>17740</v>
      </c>
      <c r="D1777" s="56">
        <v>2.07</v>
      </c>
    </row>
    <row r="1778" ht="15.75" customHeight="1">
      <c r="B1778" s="370">
        <f t="shared" si="2"/>
        <v>0.2054398148</v>
      </c>
      <c r="C1778" s="56">
        <f t="shared" si="3"/>
        <v>17750</v>
      </c>
      <c r="D1778" s="56">
        <v>2.317</v>
      </c>
    </row>
    <row r="1779" ht="15.75" customHeight="1">
      <c r="B1779" s="370">
        <f t="shared" si="2"/>
        <v>0.2055555556</v>
      </c>
      <c r="C1779" s="56">
        <f t="shared" si="3"/>
        <v>17760</v>
      </c>
      <c r="D1779" s="56">
        <v>2.566</v>
      </c>
    </row>
    <row r="1780" ht="15.75" customHeight="1">
      <c r="B1780" s="370">
        <f t="shared" si="2"/>
        <v>0.2056712963</v>
      </c>
      <c r="C1780" s="56">
        <f t="shared" si="3"/>
        <v>17770</v>
      </c>
      <c r="D1780" s="56">
        <v>2.823</v>
      </c>
    </row>
    <row r="1781" ht="15.75" customHeight="1">
      <c r="B1781" s="370">
        <f t="shared" si="2"/>
        <v>0.205787037</v>
      </c>
      <c r="C1781" s="56">
        <f t="shared" si="3"/>
        <v>17780</v>
      </c>
      <c r="D1781" s="56">
        <v>2.997</v>
      </c>
    </row>
    <row r="1782" ht="15.75" customHeight="1">
      <c r="B1782" s="370">
        <f t="shared" si="2"/>
        <v>0.2059027778</v>
      </c>
      <c r="C1782" s="56">
        <f t="shared" si="3"/>
        <v>17790</v>
      </c>
      <c r="D1782" s="56">
        <v>3.11</v>
      </c>
    </row>
    <row r="1783" ht="15.75" customHeight="1">
      <c r="B1783" s="370">
        <f t="shared" si="2"/>
        <v>0.2060185185</v>
      </c>
      <c r="C1783" s="56">
        <f t="shared" si="3"/>
        <v>17800</v>
      </c>
      <c r="D1783" s="56">
        <v>2.936</v>
      </c>
    </row>
    <row r="1784" ht="15.75" customHeight="1">
      <c r="B1784" s="370">
        <f t="shared" si="2"/>
        <v>0.2061342593</v>
      </c>
      <c r="C1784" s="56">
        <f t="shared" si="3"/>
        <v>17810</v>
      </c>
      <c r="D1784" s="56">
        <v>2.895</v>
      </c>
    </row>
    <row r="1785" ht="15.75" customHeight="1">
      <c r="B1785" s="370">
        <f t="shared" si="2"/>
        <v>0.20625</v>
      </c>
      <c r="C1785" s="56">
        <f t="shared" si="3"/>
        <v>17820</v>
      </c>
      <c r="D1785" s="56">
        <v>2.924</v>
      </c>
    </row>
    <row r="1786" ht="15.75" customHeight="1">
      <c r="B1786" s="370">
        <f t="shared" si="2"/>
        <v>0.2063657407</v>
      </c>
      <c r="C1786" s="56">
        <f t="shared" si="3"/>
        <v>17830</v>
      </c>
      <c r="D1786" s="56">
        <v>3.02</v>
      </c>
    </row>
    <row r="1787" ht="15.75" customHeight="1">
      <c r="B1787" s="370">
        <f t="shared" si="2"/>
        <v>0.2064814815</v>
      </c>
      <c r="C1787" s="56">
        <f t="shared" si="3"/>
        <v>17840</v>
      </c>
      <c r="D1787" s="56">
        <v>2.862</v>
      </c>
    </row>
    <row r="1788" ht="15.75" customHeight="1">
      <c r="B1788" s="370">
        <f t="shared" si="2"/>
        <v>0.2065972222</v>
      </c>
      <c r="C1788" s="56">
        <f t="shared" si="3"/>
        <v>17850</v>
      </c>
      <c r="D1788" s="56">
        <v>2.706</v>
      </c>
    </row>
    <row r="1789" ht="15.75" customHeight="1">
      <c r="B1789" s="370">
        <f t="shared" si="2"/>
        <v>0.206712963</v>
      </c>
      <c r="C1789" s="56">
        <f t="shared" si="3"/>
        <v>17860</v>
      </c>
      <c r="D1789" s="56">
        <v>2.508</v>
      </c>
    </row>
    <row r="1790" ht="15.75" customHeight="1">
      <c r="B1790" s="370">
        <f t="shared" si="2"/>
        <v>0.2068287037</v>
      </c>
      <c r="C1790" s="56">
        <f t="shared" si="3"/>
        <v>17870</v>
      </c>
      <c r="D1790" s="56">
        <v>2.21</v>
      </c>
    </row>
    <row r="1791" ht="15.75" customHeight="1">
      <c r="B1791" s="370">
        <f t="shared" si="2"/>
        <v>0.2069444444</v>
      </c>
      <c r="C1791" s="56">
        <f t="shared" si="3"/>
        <v>17880</v>
      </c>
      <c r="D1791" s="56">
        <v>2.501</v>
      </c>
    </row>
    <row r="1792" ht="15.75" customHeight="1">
      <c r="B1792" s="370">
        <f t="shared" si="2"/>
        <v>0.2070601852</v>
      </c>
      <c r="C1792" s="56">
        <f t="shared" si="3"/>
        <v>17890</v>
      </c>
      <c r="D1792" s="56">
        <v>3.306</v>
      </c>
    </row>
    <row r="1793" ht="15.75" customHeight="1">
      <c r="B1793" s="370">
        <f t="shared" si="2"/>
        <v>0.2071759259</v>
      </c>
      <c r="C1793" s="56">
        <f t="shared" si="3"/>
        <v>17900</v>
      </c>
      <c r="D1793" s="56">
        <v>3.498</v>
      </c>
    </row>
    <row r="1794" ht="15.75" customHeight="1">
      <c r="B1794" s="370">
        <f t="shared" si="2"/>
        <v>0.2072916667</v>
      </c>
      <c r="C1794" s="56">
        <f t="shared" si="3"/>
        <v>17910</v>
      </c>
      <c r="D1794" s="56">
        <v>3.511</v>
      </c>
    </row>
    <row r="1795" ht="15.75" customHeight="1">
      <c r="B1795" s="370">
        <f t="shared" si="2"/>
        <v>0.2074074074</v>
      </c>
      <c r="C1795" s="56">
        <f t="shared" si="3"/>
        <v>17920</v>
      </c>
      <c r="D1795" s="56">
        <v>3.5</v>
      </c>
    </row>
    <row r="1796" ht="15.75" customHeight="1">
      <c r="B1796" s="370">
        <f t="shared" si="2"/>
        <v>0.2075231481</v>
      </c>
      <c r="C1796" s="56">
        <f t="shared" si="3"/>
        <v>17930</v>
      </c>
      <c r="D1796" s="56">
        <v>3.074</v>
      </c>
    </row>
    <row r="1797" ht="15.75" customHeight="1">
      <c r="B1797" s="370">
        <f t="shared" si="2"/>
        <v>0.2076388889</v>
      </c>
      <c r="C1797" s="56">
        <f t="shared" si="3"/>
        <v>17940</v>
      </c>
      <c r="D1797" s="56">
        <v>2.261</v>
      </c>
    </row>
    <row r="1798" ht="15.75" customHeight="1">
      <c r="B1798" s="370">
        <f t="shared" si="2"/>
        <v>0.2077546296</v>
      </c>
      <c r="C1798" s="56">
        <f t="shared" si="3"/>
        <v>17950</v>
      </c>
      <c r="D1798" s="56">
        <v>2.174</v>
      </c>
    </row>
    <row r="1799" ht="15.75" customHeight="1">
      <c r="B1799" s="370">
        <f t="shared" si="2"/>
        <v>0.2078703704</v>
      </c>
      <c r="C1799" s="56">
        <f t="shared" si="3"/>
        <v>17960</v>
      </c>
      <c r="D1799" s="56">
        <v>2.453</v>
      </c>
    </row>
    <row r="1800" ht="15.75" customHeight="1">
      <c r="B1800" s="370">
        <f t="shared" si="2"/>
        <v>0.2079861111</v>
      </c>
      <c r="C1800" s="56">
        <f t="shared" si="3"/>
        <v>17970</v>
      </c>
      <c r="D1800" s="56">
        <v>2.773</v>
      </c>
    </row>
    <row r="1801" ht="15.75" customHeight="1">
      <c r="B1801" s="370">
        <f t="shared" si="2"/>
        <v>0.2081018519</v>
      </c>
      <c r="C1801" s="56">
        <f t="shared" si="3"/>
        <v>17980</v>
      </c>
      <c r="D1801" s="56">
        <v>3.045</v>
      </c>
    </row>
    <row r="1802" ht="15.75" customHeight="1">
      <c r="B1802" s="370">
        <f t="shared" si="2"/>
        <v>0.2082175926</v>
      </c>
      <c r="C1802" s="56">
        <f t="shared" si="3"/>
        <v>17990</v>
      </c>
      <c r="D1802" s="56">
        <v>3.246</v>
      </c>
    </row>
    <row r="1803" ht="15.75" customHeight="1">
      <c r="B1803" s="370">
        <f t="shared" si="2"/>
        <v>0.2083333333</v>
      </c>
      <c r="C1803" s="56">
        <f t="shared" si="3"/>
        <v>18000</v>
      </c>
      <c r="D1803" s="56">
        <v>3.129</v>
      </c>
    </row>
    <row r="1804" ht="15.75" customHeight="1">
      <c r="B1804" s="370">
        <f t="shared" si="2"/>
        <v>0.2084490741</v>
      </c>
      <c r="C1804" s="56">
        <f t="shared" si="3"/>
        <v>18010</v>
      </c>
      <c r="D1804" s="56">
        <v>2.975</v>
      </c>
    </row>
    <row r="1805" ht="15.75" customHeight="1">
      <c r="B1805" s="370">
        <f t="shared" si="2"/>
        <v>0.2085648148</v>
      </c>
      <c r="C1805" s="56">
        <f t="shared" si="3"/>
        <v>18020</v>
      </c>
      <c r="D1805" s="56">
        <v>2.778</v>
      </c>
    </row>
    <row r="1806" ht="15.75" customHeight="1">
      <c r="B1806" s="370">
        <f t="shared" si="2"/>
        <v>0.2086805556</v>
      </c>
      <c r="C1806" s="56">
        <f t="shared" si="3"/>
        <v>18030</v>
      </c>
      <c r="D1806" s="56">
        <v>2.852</v>
      </c>
    </row>
    <row r="1807" ht="15.75" customHeight="1">
      <c r="B1807" s="370">
        <f t="shared" si="2"/>
        <v>0.2087962963</v>
      </c>
      <c r="C1807" s="56">
        <f t="shared" si="3"/>
        <v>18040</v>
      </c>
      <c r="D1807" s="56">
        <v>2.818</v>
      </c>
    </row>
    <row r="1808" ht="15.75" customHeight="1">
      <c r="B1808" s="370">
        <f t="shared" si="2"/>
        <v>0.208912037</v>
      </c>
      <c r="C1808" s="56">
        <f t="shared" si="3"/>
        <v>18050</v>
      </c>
      <c r="D1808" s="56">
        <v>2.745</v>
      </c>
    </row>
    <row r="1809" ht="15.75" customHeight="1">
      <c r="B1809" s="370">
        <f t="shared" si="2"/>
        <v>0.2090277778</v>
      </c>
      <c r="C1809" s="56">
        <f t="shared" si="3"/>
        <v>18060</v>
      </c>
      <c r="D1809" s="56">
        <v>2.611</v>
      </c>
    </row>
    <row r="1810" ht="15.75" customHeight="1">
      <c r="B1810" s="370">
        <f t="shared" si="2"/>
        <v>0.2091435185</v>
      </c>
      <c r="C1810" s="56">
        <f t="shared" si="3"/>
        <v>18070</v>
      </c>
      <c r="D1810" s="56">
        <v>2.459</v>
      </c>
    </row>
    <row r="1811" ht="15.75" customHeight="1">
      <c r="B1811" s="370">
        <f t="shared" si="2"/>
        <v>0.2092592593</v>
      </c>
      <c r="C1811" s="56">
        <f t="shared" si="3"/>
        <v>18080</v>
      </c>
      <c r="D1811" s="56">
        <v>2.231</v>
      </c>
    </row>
    <row r="1812" ht="15.75" customHeight="1">
      <c r="B1812" s="370">
        <f t="shared" si="2"/>
        <v>0.209375</v>
      </c>
      <c r="C1812" s="56">
        <f t="shared" si="3"/>
        <v>18090</v>
      </c>
      <c r="D1812" s="56">
        <v>3.185</v>
      </c>
    </row>
    <row r="1813" ht="15.75" customHeight="1">
      <c r="B1813" s="370">
        <f t="shared" si="2"/>
        <v>0.2094907407</v>
      </c>
      <c r="C1813" s="56">
        <f t="shared" si="3"/>
        <v>18100</v>
      </c>
      <c r="D1813" s="56">
        <v>3.452</v>
      </c>
    </row>
    <row r="1814" ht="15.75" customHeight="1">
      <c r="B1814" s="370">
        <f t="shared" si="2"/>
        <v>0.2096064815</v>
      </c>
      <c r="C1814" s="56">
        <f t="shared" si="3"/>
        <v>18110</v>
      </c>
      <c r="D1814" s="56">
        <v>3.477</v>
      </c>
    </row>
    <row r="1815" ht="15.75" customHeight="1">
      <c r="B1815" s="370">
        <f t="shared" si="2"/>
        <v>0.2097222222</v>
      </c>
      <c r="C1815" s="56">
        <f t="shared" si="3"/>
        <v>18120</v>
      </c>
      <c r="D1815" s="56">
        <v>3.502</v>
      </c>
    </row>
    <row r="1816" ht="15.75" customHeight="1">
      <c r="B1816" s="370">
        <f t="shared" si="2"/>
        <v>0.209837963</v>
      </c>
      <c r="C1816" s="56">
        <f t="shared" si="3"/>
        <v>18130</v>
      </c>
      <c r="D1816" s="56">
        <v>3.163</v>
      </c>
    </row>
    <row r="1817" ht="15.75" customHeight="1">
      <c r="B1817" s="370">
        <f t="shared" si="2"/>
        <v>0.2099537037</v>
      </c>
      <c r="C1817" s="56">
        <f t="shared" si="3"/>
        <v>18140</v>
      </c>
      <c r="D1817" s="56">
        <v>2.463</v>
      </c>
    </row>
    <row r="1818" ht="15.75" customHeight="1">
      <c r="B1818" s="370">
        <f t="shared" si="2"/>
        <v>0.2100694444</v>
      </c>
      <c r="C1818" s="56">
        <f t="shared" si="3"/>
        <v>18150</v>
      </c>
      <c r="D1818" s="56">
        <v>1.952</v>
      </c>
    </row>
    <row r="1819" ht="15.75" customHeight="1">
      <c r="B1819" s="370">
        <f t="shared" si="2"/>
        <v>0.2101851852</v>
      </c>
      <c r="C1819" s="56">
        <f t="shared" si="3"/>
        <v>18160</v>
      </c>
      <c r="D1819" s="56">
        <v>2.298</v>
      </c>
    </row>
    <row r="1820" ht="15.75" customHeight="1">
      <c r="B1820" s="370">
        <f t="shared" si="2"/>
        <v>0.2103009259</v>
      </c>
      <c r="C1820" s="56">
        <f t="shared" si="3"/>
        <v>18170</v>
      </c>
      <c r="D1820" s="56">
        <v>2.689</v>
      </c>
    </row>
    <row r="1821" ht="15.75" customHeight="1">
      <c r="B1821" s="370">
        <f t="shared" si="2"/>
        <v>0.2104166667</v>
      </c>
      <c r="C1821" s="56">
        <f t="shared" si="3"/>
        <v>18180</v>
      </c>
      <c r="D1821" s="56">
        <v>3.056</v>
      </c>
    </row>
    <row r="1822" ht="15.75" customHeight="1">
      <c r="B1822" s="370">
        <f t="shared" si="2"/>
        <v>0.2105324074</v>
      </c>
      <c r="C1822" s="56">
        <f t="shared" si="3"/>
        <v>18190</v>
      </c>
      <c r="D1822" s="56">
        <v>3.338</v>
      </c>
    </row>
    <row r="1823" ht="15.75" customHeight="1">
      <c r="B1823" s="370">
        <f t="shared" si="2"/>
        <v>0.2106481481</v>
      </c>
      <c r="C1823" s="56">
        <f t="shared" si="3"/>
        <v>18200</v>
      </c>
      <c r="D1823" s="56">
        <v>3.236</v>
      </c>
    </row>
    <row r="1824" ht="15.75" customHeight="1">
      <c r="B1824" s="370">
        <f t="shared" si="2"/>
        <v>0.2107638889</v>
      </c>
      <c r="C1824" s="56">
        <f t="shared" si="3"/>
        <v>18210</v>
      </c>
      <c r="D1824" s="56">
        <v>3.195</v>
      </c>
    </row>
    <row r="1825" ht="15.75" customHeight="1">
      <c r="B1825" s="370">
        <f t="shared" si="2"/>
        <v>0.2108796296</v>
      </c>
      <c r="C1825" s="56">
        <f t="shared" si="3"/>
        <v>18220</v>
      </c>
      <c r="D1825" s="56">
        <v>2.912</v>
      </c>
    </row>
    <row r="1826" ht="15.75" customHeight="1">
      <c r="B1826" s="370">
        <f t="shared" si="2"/>
        <v>0.2109953704</v>
      </c>
      <c r="C1826" s="56">
        <f t="shared" si="3"/>
        <v>18230</v>
      </c>
      <c r="D1826" s="56">
        <v>2.712</v>
      </c>
    </row>
    <row r="1827" ht="15.75" customHeight="1">
      <c r="B1827" s="370">
        <f t="shared" si="2"/>
        <v>0.2111111111</v>
      </c>
      <c r="C1827" s="56">
        <f t="shared" si="3"/>
        <v>18240</v>
      </c>
      <c r="D1827" s="56">
        <v>2.739</v>
      </c>
    </row>
    <row r="1828" ht="15.75" customHeight="1">
      <c r="B1828" s="370">
        <f t="shared" si="2"/>
        <v>0.2112268519</v>
      </c>
      <c r="C1828" s="56">
        <f t="shared" si="3"/>
        <v>18250</v>
      </c>
      <c r="D1828" s="56">
        <v>2.752</v>
      </c>
    </row>
    <row r="1829" ht="15.75" customHeight="1">
      <c r="B1829" s="370">
        <f t="shared" si="2"/>
        <v>0.2113425926</v>
      </c>
      <c r="C1829" s="56">
        <f t="shared" si="3"/>
        <v>18260</v>
      </c>
      <c r="D1829" s="56">
        <v>2.682</v>
      </c>
    </row>
    <row r="1830" ht="15.75" customHeight="1">
      <c r="B1830" s="370">
        <f t="shared" si="2"/>
        <v>0.2114583333</v>
      </c>
      <c r="C1830" s="56">
        <f t="shared" si="3"/>
        <v>18270</v>
      </c>
      <c r="D1830" s="56">
        <v>2.605</v>
      </c>
    </row>
    <row r="1831" ht="15.75" customHeight="1">
      <c r="B1831" s="370">
        <f t="shared" si="2"/>
        <v>0.2115740741</v>
      </c>
      <c r="C1831" s="56">
        <f t="shared" si="3"/>
        <v>18280</v>
      </c>
      <c r="D1831" s="56">
        <v>2.368</v>
      </c>
    </row>
    <row r="1832" ht="15.75" customHeight="1">
      <c r="B1832" s="370">
        <f t="shared" si="2"/>
        <v>0.2116898148</v>
      </c>
      <c r="C1832" s="56">
        <f t="shared" si="3"/>
        <v>18290</v>
      </c>
      <c r="D1832" s="56">
        <v>3.036</v>
      </c>
    </row>
    <row r="1833" ht="15.75" customHeight="1">
      <c r="B1833" s="370">
        <f t="shared" si="2"/>
        <v>0.2118055556</v>
      </c>
      <c r="C1833" s="56">
        <f t="shared" si="3"/>
        <v>18300</v>
      </c>
      <c r="D1833" s="56">
        <v>3.383</v>
      </c>
    </row>
    <row r="1834" ht="15.75" customHeight="1">
      <c r="B1834" s="370">
        <f t="shared" si="2"/>
        <v>0.2119212963</v>
      </c>
      <c r="C1834" s="56">
        <f t="shared" si="3"/>
        <v>18310</v>
      </c>
      <c r="D1834" s="56">
        <v>3.42</v>
      </c>
    </row>
    <row r="1835" ht="15.75" customHeight="1">
      <c r="B1835" s="370">
        <f t="shared" si="2"/>
        <v>0.212037037</v>
      </c>
      <c r="C1835" s="56">
        <f t="shared" si="3"/>
        <v>18320</v>
      </c>
      <c r="D1835" s="56">
        <v>3.466</v>
      </c>
    </row>
    <row r="1836" ht="15.75" customHeight="1">
      <c r="B1836" s="370">
        <f t="shared" si="2"/>
        <v>0.2121527778</v>
      </c>
      <c r="C1836" s="56">
        <f t="shared" si="3"/>
        <v>18330</v>
      </c>
      <c r="D1836" s="56">
        <v>3.213</v>
      </c>
    </row>
    <row r="1837" ht="15.75" customHeight="1">
      <c r="B1837" s="370">
        <f t="shared" si="2"/>
        <v>0.2122685185</v>
      </c>
      <c r="C1837" s="56">
        <f t="shared" si="3"/>
        <v>18340</v>
      </c>
      <c r="D1837" s="56">
        <v>2.58</v>
      </c>
    </row>
    <row r="1838" ht="15.75" customHeight="1">
      <c r="B1838" s="370">
        <f t="shared" si="2"/>
        <v>0.2123842593</v>
      </c>
      <c r="C1838" s="56">
        <f t="shared" si="3"/>
        <v>18350</v>
      </c>
      <c r="D1838" s="56">
        <v>2.114</v>
      </c>
    </row>
    <row r="1839" ht="15.75" customHeight="1">
      <c r="B1839" s="370">
        <f t="shared" si="2"/>
        <v>0.2125</v>
      </c>
      <c r="C1839" s="56">
        <f t="shared" si="3"/>
        <v>18360</v>
      </c>
      <c r="D1839" s="56">
        <v>2.053</v>
      </c>
    </row>
    <row r="1840" ht="15.75" customHeight="1">
      <c r="B1840" s="370">
        <f t="shared" si="2"/>
        <v>0.2126157407</v>
      </c>
      <c r="C1840" s="56">
        <f t="shared" si="3"/>
        <v>18370</v>
      </c>
      <c r="D1840" s="56">
        <v>2.569</v>
      </c>
    </row>
    <row r="1841" ht="15.75" customHeight="1">
      <c r="B1841" s="370">
        <f t="shared" si="2"/>
        <v>0.2127314815</v>
      </c>
      <c r="C1841" s="56">
        <f t="shared" si="3"/>
        <v>18380</v>
      </c>
      <c r="D1841" s="56">
        <v>3.033</v>
      </c>
    </row>
    <row r="1842" ht="15.75" customHeight="1">
      <c r="B1842" s="370">
        <f t="shared" si="2"/>
        <v>0.2128472222</v>
      </c>
      <c r="C1842" s="56">
        <f t="shared" si="3"/>
        <v>18390</v>
      </c>
      <c r="D1842" s="56">
        <v>3.413</v>
      </c>
    </row>
    <row r="1843" ht="15.75" customHeight="1">
      <c r="B1843" s="370">
        <f t="shared" si="2"/>
        <v>0.212962963</v>
      </c>
      <c r="C1843" s="56">
        <f t="shared" si="3"/>
        <v>18400</v>
      </c>
      <c r="D1843" s="56">
        <v>3.373</v>
      </c>
    </row>
    <row r="1844" ht="15.75" customHeight="1">
      <c r="B1844" s="370">
        <f t="shared" si="2"/>
        <v>0.2130787037</v>
      </c>
      <c r="C1844" s="56">
        <f t="shared" si="3"/>
        <v>18410</v>
      </c>
      <c r="D1844" s="56">
        <v>3.313</v>
      </c>
    </row>
    <row r="1845" ht="15.75" customHeight="1">
      <c r="B1845" s="370">
        <f t="shared" si="2"/>
        <v>0.2131944444</v>
      </c>
      <c r="C1845" s="56">
        <f t="shared" si="3"/>
        <v>18420</v>
      </c>
      <c r="D1845" s="56">
        <v>3.108</v>
      </c>
    </row>
    <row r="1846" ht="15.75" customHeight="1">
      <c r="B1846" s="370">
        <f t="shared" si="2"/>
        <v>0.2133101852</v>
      </c>
      <c r="C1846" s="56">
        <f t="shared" si="3"/>
        <v>18430</v>
      </c>
      <c r="D1846" s="56">
        <v>2.466</v>
      </c>
    </row>
    <row r="1847" ht="15.75" customHeight="1">
      <c r="B1847" s="370">
        <f t="shared" si="2"/>
        <v>0.2134259259</v>
      </c>
      <c r="C1847" s="56">
        <f t="shared" si="3"/>
        <v>18440</v>
      </c>
      <c r="D1847" s="56">
        <v>2.626</v>
      </c>
    </row>
    <row r="1848" ht="15.75" customHeight="1">
      <c r="B1848" s="370">
        <f t="shared" si="2"/>
        <v>0.2135416667</v>
      </c>
      <c r="C1848" s="56">
        <f t="shared" si="3"/>
        <v>18450</v>
      </c>
      <c r="D1848" s="56">
        <v>2.718</v>
      </c>
    </row>
    <row r="1849" ht="15.75" customHeight="1">
      <c r="B1849" s="370">
        <f t="shared" si="2"/>
        <v>0.2136574074</v>
      </c>
      <c r="C1849" s="56">
        <f t="shared" si="3"/>
        <v>18460</v>
      </c>
      <c r="D1849" s="56">
        <v>2.716</v>
      </c>
    </row>
    <row r="1850" ht="15.75" customHeight="1">
      <c r="B1850" s="370">
        <f t="shared" si="2"/>
        <v>0.2137731481</v>
      </c>
      <c r="C1850" s="56">
        <f t="shared" si="3"/>
        <v>18470</v>
      </c>
      <c r="D1850" s="56">
        <v>2.713</v>
      </c>
    </row>
    <row r="1851" ht="15.75" customHeight="1">
      <c r="B1851" s="370">
        <f t="shared" si="2"/>
        <v>0.2138888889</v>
      </c>
      <c r="C1851" s="56">
        <f t="shared" si="3"/>
        <v>18480</v>
      </c>
      <c r="D1851" s="56">
        <v>2.491</v>
      </c>
    </row>
    <row r="1852" ht="15.75" customHeight="1">
      <c r="B1852" s="370">
        <f t="shared" si="2"/>
        <v>0.2140046296</v>
      </c>
      <c r="C1852" s="56">
        <f t="shared" si="3"/>
        <v>18490</v>
      </c>
      <c r="D1852" s="56">
        <v>2.869</v>
      </c>
    </row>
    <row r="1853" ht="15.75" customHeight="1">
      <c r="B1853" s="370">
        <f t="shared" si="2"/>
        <v>0.2141203704</v>
      </c>
      <c r="C1853" s="56">
        <f t="shared" si="3"/>
        <v>18500</v>
      </c>
      <c r="D1853" s="56">
        <v>3.245</v>
      </c>
    </row>
    <row r="1854" ht="15.75" customHeight="1">
      <c r="B1854" s="370">
        <f t="shared" si="2"/>
        <v>0.2142361111</v>
      </c>
      <c r="C1854" s="56">
        <f t="shared" si="3"/>
        <v>18510</v>
      </c>
      <c r="D1854" s="56">
        <v>3.323</v>
      </c>
    </row>
    <row r="1855" ht="15.75" customHeight="1">
      <c r="B1855" s="370">
        <f t="shared" si="2"/>
        <v>0.2143518519</v>
      </c>
      <c r="C1855" s="56">
        <f t="shared" si="3"/>
        <v>18520</v>
      </c>
      <c r="D1855" s="56">
        <v>3.41</v>
      </c>
    </row>
    <row r="1856" ht="15.75" customHeight="1">
      <c r="B1856" s="370">
        <f t="shared" si="2"/>
        <v>0.2144675926</v>
      </c>
      <c r="C1856" s="56">
        <f t="shared" si="3"/>
        <v>18530</v>
      </c>
      <c r="D1856" s="56">
        <v>3.234</v>
      </c>
    </row>
    <row r="1857" ht="15.75" customHeight="1">
      <c r="B1857" s="370">
        <f t="shared" si="2"/>
        <v>0.2145833333</v>
      </c>
      <c r="C1857" s="56">
        <f t="shared" si="3"/>
        <v>18540</v>
      </c>
      <c r="D1857" s="56">
        <v>2.73</v>
      </c>
    </row>
    <row r="1858" ht="15.75" customHeight="1">
      <c r="B1858" s="370">
        <f t="shared" si="2"/>
        <v>0.2146990741</v>
      </c>
      <c r="C1858" s="56">
        <f t="shared" si="3"/>
        <v>18550</v>
      </c>
      <c r="D1858" s="56">
        <v>2.305</v>
      </c>
    </row>
    <row r="1859" ht="15.75" customHeight="1">
      <c r="B1859" s="370">
        <f t="shared" si="2"/>
        <v>0.2148148148</v>
      </c>
      <c r="C1859" s="56">
        <f t="shared" si="3"/>
        <v>18560</v>
      </c>
      <c r="D1859" s="56">
        <v>1.924</v>
      </c>
    </row>
    <row r="1860" ht="15.75" customHeight="1">
      <c r="B1860" s="370">
        <f t="shared" si="2"/>
        <v>0.2149305556</v>
      </c>
      <c r="C1860" s="56">
        <f t="shared" si="3"/>
        <v>18570</v>
      </c>
      <c r="D1860" s="56">
        <v>2.408</v>
      </c>
    </row>
    <row r="1861" ht="15.75" customHeight="1">
      <c r="B1861" s="370">
        <f t="shared" si="2"/>
        <v>0.2150462963</v>
      </c>
      <c r="C1861" s="56">
        <f t="shared" si="3"/>
        <v>18580</v>
      </c>
      <c r="D1861" s="56">
        <v>2.97</v>
      </c>
    </row>
    <row r="1862" ht="15.75" customHeight="1">
      <c r="B1862" s="370">
        <f t="shared" si="2"/>
        <v>0.215162037</v>
      </c>
      <c r="C1862" s="56">
        <f t="shared" si="3"/>
        <v>18590</v>
      </c>
      <c r="D1862" s="56">
        <v>3.445</v>
      </c>
    </row>
    <row r="1863" ht="15.75" customHeight="1">
      <c r="B1863" s="370">
        <f t="shared" si="2"/>
        <v>0.2152777778</v>
      </c>
      <c r="C1863" s="56">
        <f t="shared" si="3"/>
        <v>18600</v>
      </c>
      <c r="D1863" s="56">
        <v>3.454</v>
      </c>
    </row>
    <row r="1864" ht="15.75" customHeight="1">
      <c r="B1864" s="370">
        <f t="shared" si="2"/>
        <v>0.2153935185</v>
      </c>
      <c r="C1864" s="56">
        <f t="shared" si="3"/>
        <v>18610</v>
      </c>
      <c r="D1864" s="56">
        <v>0.572</v>
      </c>
    </row>
    <row r="1865" ht="15.75" customHeight="1">
      <c r="B1865" s="370">
        <f t="shared" si="2"/>
        <v>0.2155092593</v>
      </c>
      <c r="C1865" s="56">
        <f t="shared" si="3"/>
        <v>18620</v>
      </c>
      <c r="D1865" s="56">
        <v>0.0</v>
      </c>
    </row>
    <row r="1866" ht="15.75" customHeight="1">
      <c r="B1866" s="370">
        <f t="shared" si="2"/>
        <v>0.215625</v>
      </c>
      <c r="C1866" s="56">
        <f t="shared" si="3"/>
        <v>18630</v>
      </c>
      <c r="D1866" s="56">
        <v>0.0</v>
      </c>
    </row>
    <row r="1867" ht="15.75" customHeight="1">
      <c r="B1867" s="370">
        <f t="shared" si="2"/>
        <v>0.2157407407</v>
      </c>
      <c r="C1867" s="56">
        <f t="shared" si="3"/>
        <v>18640</v>
      </c>
      <c r="D1867" s="56">
        <v>0.0</v>
      </c>
    </row>
    <row r="1868" ht="15.75" customHeight="1">
      <c r="B1868" s="370">
        <f t="shared" si="2"/>
        <v>0.2158564815</v>
      </c>
      <c r="C1868" s="56">
        <f t="shared" si="3"/>
        <v>18650</v>
      </c>
      <c r="D1868" s="56">
        <v>0.0</v>
      </c>
    </row>
    <row r="1869" ht="15.75" customHeight="1">
      <c r="B1869" s="370">
        <f t="shared" si="2"/>
        <v>0.2159722222</v>
      </c>
      <c r="C1869" s="56">
        <f t="shared" si="3"/>
        <v>18660</v>
      </c>
      <c r="D1869" s="56">
        <v>0.0</v>
      </c>
    </row>
    <row r="1870" ht="15.75" customHeight="1">
      <c r="B1870" s="370">
        <f t="shared" si="2"/>
        <v>0.216087963</v>
      </c>
      <c r="C1870" s="56">
        <f t="shared" si="3"/>
        <v>18670</v>
      </c>
      <c r="D1870" s="56">
        <v>0.0</v>
      </c>
    </row>
    <row r="1871" ht="15.75" customHeight="1">
      <c r="B1871" s="370">
        <f t="shared" si="2"/>
        <v>0.2162037037</v>
      </c>
      <c r="C1871" s="56">
        <f t="shared" si="3"/>
        <v>18680</v>
      </c>
      <c r="D1871" s="56">
        <v>0.0</v>
      </c>
    </row>
    <row r="1872" ht="15.75" customHeight="1">
      <c r="B1872" s="370">
        <f t="shared" si="2"/>
        <v>0.2163194444</v>
      </c>
      <c r="C1872" s="56">
        <f t="shared" si="3"/>
        <v>18690</v>
      </c>
      <c r="D1872" s="56">
        <v>0.0</v>
      </c>
    </row>
    <row r="1873" ht="15.75" customHeight="1">
      <c r="B1873" s="370">
        <f t="shared" si="2"/>
        <v>0.2164351852</v>
      </c>
      <c r="C1873" s="56">
        <f t="shared" si="3"/>
        <v>18700</v>
      </c>
      <c r="D1873" s="56">
        <v>0.0</v>
      </c>
    </row>
    <row r="1874" ht="15.75" customHeight="1">
      <c r="B1874" s="370">
        <f t="shared" si="2"/>
        <v>0.2165509259</v>
      </c>
      <c r="C1874" s="56">
        <f t="shared" si="3"/>
        <v>18710</v>
      </c>
      <c r="D1874" s="56">
        <v>0.0</v>
      </c>
    </row>
    <row r="1875" ht="15.75" customHeight="1">
      <c r="B1875" s="370">
        <f t="shared" si="2"/>
        <v>0.2166666667</v>
      </c>
      <c r="C1875" s="56">
        <f t="shared" si="3"/>
        <v>18720</v>
      </c>
      <c r="D1875" s="56">
        <v>0.0</v>
      </c>
    </row>
    <row r="1876" ht="15.75" customHeight="1">
      <c r="B1876" s="370">
        <f t="shared" si="2"/>
        <v>0.2167824074</v>
      </c>
      <c r="C1876" s="56">
        <f t="shared" si="3"/>
        <v>18730</v>
      </c>
      <c r="D1876" s="56">
        <v>0.0</v>
      </c>
    </row>
    <row r="1877" ht="15.75" customHeight="1">
      <c r="B1877" s="370">
        <f t="shared" si="2"/>
        <v>0.2168981481</v>
      </c>
      <c r="C1877" s="56">
        <f t="shared" si="3"/>
        <v>18740</v>
      </c>
      <c r="D1877" s="56">
        <v>0.0</v>
      </c>
    </row>
    <row r="1878" ht="15.75" customHeight="1">
      <c r="B1878" s="370">
        <f t="shared" si="2"/>
        <v>0.2170138889</v>
      </c>
      <c r="C1878" s="56">
        <f t="shared" si="3"/>
        <v>18750</v>
      </c>
      <c r="D1878" s="56">
        <v>0.0</v>
      </c>
    </row>
    <row r="1879" ht="15.75" customHeight="1">
      <c r="B1879" s="370">
        <f t="shared" si="2"/>
        <v>0.2171296296</v>
      </c>
      <c r="C1879" s="56">
        <f t="shared" si="3"/>
        <v>18760</v>
      </c>
      <c r="D1879" s="56">
        <v>0.0</v>
      </c>
    </row>
    <row r="1880" ht="15.75" customHeight="1">
      <c r="B1880" s="370">
        <f t="shared" si="2"/>
        <v>0.2172453704</v>
      </c>
      <c r="C1880" s="56">
        <f t="shared" si="3"/>
        <v>18770</v>
      </c>
      <c r="D1880" s="56">
        <v>0.0</v>
      </c>
    </row>
    <row r="1881" ht="15.75" customHeight="1">
      <c r="B1881" s="370">
        <f t="shared" si="2"/>
        <v>0.2173611111</v>
      </c>
      <c r="C1881" s="56">
        <f t="shared" si="3"/>
        <v>18780</v>
      </c>
      <c r="D1881" s="56">
        <v>0.0</v>
      </c>
    </row>
    <row r="1882" ht="15.75" customHeight="1">
      <c r="B1882" s="370">
        <f t="shared" si="2"/>
        <v>0.2174768519</v>
      </c>
      <c r="C1882" s="56">
        <f t="shared" si="3"/>
        <v>18790</v>
      </c>
      <c r="D1882" s="56">
        <v>0.0</v>
      </c>
    </row>
    <row r="1883" ht="15.75" customHeight="1">
      <c r="B1883" s="370">
        <f t="shared" si="2"/>
        <v>0.2175925926</v>
      </c>
      <c r="C1883" s="56">
        <f t="shared" si="3"/>
        <v>18800</v>
      </c>
      <c r="D1883" s="56">
        <v>0.0</v>
      </c>
    </row>
    <row r="1884" ht="15.75" customHeight="1">
      <c r="B1884" s="370">
        <f t="shared" si="2"/>
        <v>0.2177083333</v>
      </c>
      <c r="C1884" s="56">
        <f t="shared" si="3"/>
        <v>18810</v>
      </c>
      <c r="D1884" s="56">
        <v>0.0</v>
      </c>
    </row>
    <row r="1885" ht="15.75" customHeight="1">
      <c r="B1885" s="370">
        <f t="shared" si="2"/>
        <v>0.2178240741</v>
      </c>
      <c r="C1885" s="56">
        <f t="shared" si="3"/>
        <v>18820</v>
      </c>
      <c r="D1885" s="56">
        <v>0.0</v>
      </c>
    </row>
    <row r="1886" ht="15.75" customHeight="1">
      <c r="B1886" s="370">
        <f t="shared" si="2"/>
        <v>0.2179398148</v>
      </c>
      <c r="C1886" s="56">
        <f t="shared" si="3"/>
        <v>18830</v>
      </c>
      <c r="D1886" s="56">
        <v>0.0</v>
      </c>
    </row>
    <row r="1887" ht="15.75" customHeight="1">
      <c r="B1887" s="370">
        <f t="shared" si="2"/>
        <v>0.2180555556</v>
      </c>
      <c r="C1887" s="56">
        <f t="shared" si="3"/>
        <v>18840</v>
      </c>
      <c r="D1887" s="56">
        <v>0.0</v>
      </c>
    </row>
    <row r="1888" ht="15.75" customHeight="1">
      <c r="B1888" s="370">
        <f t="shared" si="2"/>
        <v>0.2181712963</v>
      </c>
      <c r="C1888" s="56">
        <f t="shared" si="3"/>
        <v>18850</v>
      </c>
      <c r="D1888" s="56">
        <v>0.0</v>
      </c>
    </row>
    <row r="1889" ht="15.75" customHeight="1">
      <c r="B1889" s="370">
        <f t="shared" si="2"/>
        <v>0.218287037</v>
      </c>
      <c r="C1889" s="56">
        <f t="shared" si="3"/>
        <v>18860</v>
      </c>
      <c r="D1889" s="56">
        <v>0.0</v>
      </c>
    </row>
    <row r="1890" ht="15.75" customHeight="1">
      <c r="B1890" s="370">
        <f t="shared" si="2"/>
        <v>0.2184027778</v>
      </c>
      <c r="C1890" s="56">
        <f t="shared" si="3"/>
        <v>18870</v>
      </c>
      <c r="D1890" s="56">
        <v>0.0</v>
      </c>
    </row>
    <row r="1891" ht="15.75" customHeight="1">
      <c r="B1891" s="370">
        <f t="shared" si="2"/>
        <v>0.2185185185</v>
      </c>
      <c r="C1891" s="56">
        <f t="shared" si="3"/>
        <v>18880</v>
      </c>
      <c r="D1891" s="56">
        <v>0.0</v>
      </c>
    </row>
    <row r="1892" ht="15.75" customHeight="1">
      <c r="B1892" s="370">
        <f t="shared" si="2"/>
        <v>0.2186342593</v>
      </c>
      <c r="C1892" s="56">
        <f t="shared" si="3"/>
        <v>18890</v>
      </c>
      <c r="D1892" s="56">
        <v>0.0</v>
      </c>
    </row>
    <row r="1893" ht="15.75" customHeight="1">
      <c r="B1893" s="370">
        <f t="shared" si="2"/>
        <v>0.21875</v>
      </c>
      <c r="C1893" s="56">
        <f t="shared" si="3"/>
        <v>18900</v>
      </c>
      <c r="D1893" s="56">
        <v>0.0</v>
      </c>
    </row>
    <row r="1894" ht="15.75" customHeight="1">
      <c r="B1894" s="370">
        <f t="shared" si="2"/>
        <v>0.2188657407</v>
      </c>
      <c r="C1894" s="56">
        <f t="shared" si="3"/>
        <v>18910</v>
      </c>
      <c r="D1894" s="56">
        <v>0.0</v>
      </c>
    </row>
    <row r="1895" ht="15.75" customHeight="1">
      <c r="B1895" s="370">
        <f t="shared" si="2"/>
        <v>0.2189814815</v>
      </c>
      <c r="C1895" s="56">
        <f t="shared" si="3"/>
        <v>18920</v>
      </c>
      <c r="D1895" s="56">
        <v>0.0</v>
      </c>
    </row>
    <row r="1896" ht="15.75" customHeight="1">
      <c r="B1896" s="370">
        <f t="shared" si="2"/>
        <v>0.2190972222</v>
      </c>
      <c r="C1896" s="56">
        <f t="shared" si="3"/>
        <v>18930</v>
      </c>
      <c r="D1896" s="56">
        <v>0.0</v>
      </c>
    </row>
    <row r="1897" ht="15.75" customHeight="1">
      <c r="B1897" s="370">
        <f t="shared" si="2"/>
        <v>0.219212963</v>
      </c>
      <c r="C1897" s="56">
        <f t="shared" si="3"/>
        <v>18940</v>
      </c>
      <c r="D1897" s="56">
        <v>0.0</v>
      </c>
    </row>
    <row r="1898" ht="15.75" customHeight="1">
      <c r="B1898" s="370">
        <f t="shared" si="2"/>
        <v>0.2193287037</v>
      </c>
      <c r="C1898" s="56">
        <f t="shared" si="3"/>
        <v>18950</v>
      </c>
      <c r="D1898" s="56">
        <v>0.0</v>
      </c>
    </row>
    <row r="1899" ht="15.75" customHeight="1">
      <c r="B1899" s="370">
        <f t="shared" si="2"/>
        <v>0.2194444444</v>
      </c>
      <c r="C1899" s="56">
        <f t="shared" si="3"/>
        <v>18960</v>
      </c>
      <c r="D1899" s="56">
        <v>0.0</v>
      </c>
    </row>
    <row r="1900" ht="15.75" customHeight="1">
      <c r="B1900" s="370">
        <f t="shared" si="2"/>
        <v>0.2195601852</v>
      </c>
      <c r="C1900" s="56">
        <f t="shared" si="3"/>
        <v>18970</v>
      </c>
      <c r="D1900" s="56">
        <v>0.0</v>
      </c>
    </row>
    <row r="1901" ht="15.75" customHeight="1">
      <c r="B1901" s="370">
        <f t="shared" si="2"/>
        <v>0.2196759259</v>
      </c>
      <c r="C1901" s="56">
        <f t="shared" si="3"/>
        <v>18980</v>
      </c>
      <c r="D1901" s="56">
        <v>0.0</v>
      </c>
    </row>
    <row r="1902" ht="15.75" customHeight="1">
      <c r="B1902" s="370">
        <f t="shared" si="2"/>
        <v>0.2197916667</v>
      </c>
      <c r="C1902" s="56">
        <f t="shared" si="3"/>
        <v>18990</v>
      </c>
      <c r="D1902" s="56">
        <v>0.0</v>
      </c>
    </row>
    <row r="1903" ht="15.75" customHeight="1">
      <c r="B1903" s="370">
        <f t="shared" si="2"/>
        <v>0.2199074074</v>
      </c>
      <c r="C1903" s="56">
        <f t="shared" si="3"/>
        <v>19000</v>
      </c>
      <c r="D1903" s="56">
        <v>0.0</v>
      </c>
    </row>
    <row r="1904" ht="15.75" customHeight="1">
      <c r="B1904" s="370">
        <f t="shared" si="2"/>
        <v>0.2200231481</v>
      </c>
      <c r="C1904" s="56">
        <f t="shared" si="3"/>
        <v>19010</v>
      </c>
      <c r="D1904" s="56">
        <v>0.0</v>
      </c>
    </row>
    <row r="1905" ht="15.75" customHeight="1">
      <c r="B1905" s="370">
        <f t="shared" si="2"/>
        <v>0.2201388889</v>
      </c>
      <c r="C1905" s="56">
        <f t="shared" si="3"/>
        <v>19020</v>
      </c>
      <c r="D1905" s="56">
        <v>0.0</v>
      </c>
    </row>
    <row r="1906" ht="15.75" customHeight="1">
      <c r="B1906" s="370">
        <f t="shared" si="2"/>
        <v>0.2202546296</v>
      </c>
      <c r="C1906" s="56">
        <f t="shared" si="3"/>
        <v>19030</v>
      </c>
      <c r="D1906" s="56">
        <v>0.0</v>
      </c>
    </row>
    <row r="1907" ht="15.75" customHeight="1">
      <c r="B1907" s="370">
        <f t="shared" si="2"/>
        <v>0.2203703704</v>
      </c>
      <c r="C1907" s="56">
        <f t="shared" si="3"/>
        <v>19040</v>
      </c>
      <c r="D1907" s="56">
        <v>0.0</v>
      </c>
    </row>
    <row r="1908" ht="15.75" customHeight="1">
      <c r="B1908" s="370">
        <f t="shared" si="2"/>
        <v>0.2204861111</v>
      </c>
      <c r="C1908" s="56">
        <f t="shared" si="3"/>
        <v>19050</v>
      </c>
      <c r="D1908" s="56">
        <v>0.0</v>
      </c>
    </row>
    <row r="1909" ht="15.75" customHeight="1">
      <c r="B1909" s="370">
        <f t="shared" si="2"/>
        <v>0.2206018519</v>
      </c>
      <c r="C1909" s="56">
        <f t="shared" si="3"/>
        <v>19060</v>
      </c>
      <c r="D1909" s="56">
        <v>0.0</v>
      </c>
    </row>
    <row r="1910" ht="15.75" customHeight="1">
      <c r="B1910" s="370">
        <f t="shared" si="2"/>
        <v>0.2207175926</v>
      </c>
      <c r="C1910" s="56">
        <f t="shared" si="3"/>
        <v>19070</v>
      </c>
      <c r="D1910" s="56">
        <v>0.0</v>
      </c>
    </row>
    <row r="1911" ht="15.75" customHeight="1">
      <c r="B1911" s="370">
        <f t="shared" si="2"/>
        <v>0.2208333333</v>
      </c>
      <c r="C1911" s="56">
        <f t="shared" si="3"/>
        <v>19080</v>
      </c>
      <c r="D1911" s="56">
        <v>0.0</v>
      </c>
    </row>
    <row r="1912" ht="15.75" customHeight="1">
      <c r="B1912" s="370">
        <f t="shared" si="2"/>
        <v>0.2209490741</v>
      </c>
      <c r="C1912" s="56">
        <f t="shared" si="3"/>
        <v>19090</v>
      </c>
      <c r="D1912" s="56">
        <v>0.0</v>
      </c>
    </row>
    <row r="1913" ht="15.75" customHeight="1">
      <c r="B1913" s="370">
        <f t="shared" si="2"/>
        <v>0.2210648148</v>
      </c>
      <c r="C1913" s="56">
        <f t="shared" si="3"/>
        <v>19100</v>
      </c>
      <c r="D1913" s="56">
        <v>0.0</v>
      </c>
    </row>
    <row r="1914" ht="15.75" customHeight="1">
      <c r="B1914" s="370">
        <f t="shared" si="2"/>
        <v>0.2211805556</v>
      </c>
      <c r="C1914" s="56">
        <f t="shared" si="3"/>
        <v>19110</v>
      </c>
      <c r="D1914" s="56">
        <v>0.0</v>
      </c>
    </row>
    <row r="1915" ht="15.75" customHeight="1">
      <c r="B1915" s="370">
        <f t="shared" si="2"/>
        <v>0.2212962963</v>
      </c>
      <c r="C1915" s="56">
        <f t="shared" si="3"/>
        <v>19120</v>
      </c>
      <c r="D1915" s="56">
        <v>0.0</v>
      </c>
    </row>
    <row r="1916" ht="15.75" customHeight="1">
      <c r="B1916" s="370">
        <f t="shared" si="2"/>
        <v>0.221412037</v>
      </c>
      <c r="C1916" s="56">
        <f t="shared" si="3"/>
        <v>19130</v>
      </c>
      <c r="D1916" s="56">
        <v>0.0</v>
      </c>
    </row>
    <row r="1917" ht="15.75" customHeight="1">
      <c r="B1917" s="370">
        <f t="shared" si="2"/>
        <v>0.2215277778</v>
      </c>
      <c r="C1917" s="56">
        <f t="shared" si="3"/>
        <v>19140</v>
      </c>
      <c r="D1917" s="56">
        <v>0.0</v>
      </c>
    </row>
    <row r="1918" ht="15.75" customHeight="1">
      <c r="B1918" s="370">
        <f t="shared" si="2"/>
        <v>0.2216435185</v>
      </c>
      <c r="C1918" s="56">
        <f t="shared" si="3"/>
        <v>19150</v>
      </c>
      <c r="D1918" s="56">
        <v>0.0</v>
      </c>
    </row>
    <row r="1919" ht="15.75" customHeight="1">
      <c r="B1919" s="370">
        <f t="shared" si="2"/>
        <v>0.2217592593</v>
      </c>
      <c r="C1919" s="56">
        <f t="shared" si="3"/>
        <v>19160</v>
      </c>
      <c r="D1919" s="56">
        <v>0.0</v>
      </c>
    </row>
    <row r="1920" ht="15.75" customHeight="1">
      <c r="B1920" s="370">
        <f t="shared" si="2"/>
        <v>0.221875</v>
      </c>
      <c r="C1920" s="56">
        <f t="shared" si="3"/>
        <v>19170</v>
      </c>
      <c r="D1920" s="56">
        <v>0.0</v>
      </c>
    </row>
    <row r="1921" ht="15.75" customHeight="1">
      <c r="B1921" s="370">
        <f t="shared" si="2"/>
        <v>0.2219907407</v>
      </c>
      <c r="C1921" s="56">
        <f t="shared" si="3"/>
        <v>19180</v>
      </c>
      <c r="D1921" s="56">
        <v>0.0</v>
      </c>
    </row>
    <row r="1922" ht="15.75" customHeight="1">
      <c r="B1922" s="370">
        <f t="shared" si="2"/>
        <v>0.2221064815</v>
      </c>
      <c r="C1922" s="56">
        <f t="shared" si="3"/>
        <v>19190</v>
      </c>
      <c r="D1922" s="56">
        <v>0.0</v>
      </c>
    </row>
    <row r="1923" ht="15.75" customHeight="1">
      <c r="B1923" s="370">
        <f t="shared" si="2"/>
        <v>0.2222222222</v>
      </c>
      <c r="C1923" s="56">
        <f t="shared" si="3"/>
        <v>19200</v>
      </c>
      <c r="D1923" s="56">
        <v>0.0</v>
      </c>
    </row>
    <row r="1924" ht="15.75" customHeight="1">
      <c r="B1924" s="370">
        <f t="shared" si="2"/>
        <v>0.222337963</v>
      </c>
      <c r="C1924" s="56">
        <f t="shared" si="3"/>
        <v>19210</v>
      </c>
      <c r="D1924" s="56">
        <v>0.0</v>
      </c>
    </row>
    <row r="1925" ht="15.75" customHeight="1">
      <c r="B1925" s="370">
        <f t="shared" si="2"/>
        <v>0.2224537037</v>
      </c>
      <c r="C1925" s="56">
        <f t="shared" si="3"/>
        <v>19220</v>
      </c>
      <c r="D1925" s="56">
        <v>0.0</v>
      </c>
    </row>
    <row r="1926" ht="15.75" customHeight="1">
      <c r="B1926" s="370">
        <f t="shared" si="2"/>
        <v>0.2225694444</v>
      </c>
      <c r="C1926" s="56">
        <f t="shared" si="3"/>
        <v>19230</v>
      </c>
      <c r="D1926" s="56">
        <v>0.0</v>
      </c>
    </row>
    <row r="1927" ht="15.75" customHeight="1">
      <c r="B1927" s="370">
        <f t="shared" si="2"/>
        <v>0.2226851852</v>
      </c>
      <c r="C1927" s="56">
        <f t="shared" si="3"/>
        <v>19240</v>
      </c>
      <c r="D1927" s="56">
        <v>0.0</v>
      </c>
    </row>
    <row r="1928" ht="15.75" customHeight="1">
      <c r="B1928" s="370">
        <f t="shared" si="2"/>
        <v>0.2228009259</v>
      </c>
      <c r="C1928" s="56">
        <f t="shared" si="3"/>
        <v>19250</v>
      </c>
      <c r="D1928" s="56">
        <v>0.0</v>
      </c>
    </row>
    <row r="1929" ht="15.75" customHeight="1">
      <c r="B1929" s="370">
        <f t="shared" si="2"/>
        <v>0.2229166667</v>
      </c>
      <c r="C1929" s="56">
        <f t="shared" si="3"/>
        <v>19260</v>
      </c>
      <c r="D1929" s="56">
        <v>0.0</v>
      </c>
    </row>
    <row r="1930" ht="15.75" customHeight="1">
      <c r="B1930" s="370">
        <f t="shared" si="2"/>
        <v>0.2230324074</v>
      </c>
      <c r="C1930" s="56">
        <f t="shared" si="3"/>
        <v>19270</v>
      </c>
      <c r="D1930" s="56">
        <v>0.0</v>
      </c>
    </row>
    <row r="1931" ht="15.75" customHeight="1">
      <c r="B1931" s="370">
        <f t="shared" si="2"/>
        <v>0.2231481481</v>
      </c>
      <c r="C1931" s="56">
        <f t="shared" si="3"/>
        <v>19280</v>
      </c>
      <c r="D1931" s="56">
        <v>0.0</v>
      </c>
    </row>
    <row r="1932" ht="15.75" customHeight="1">
      <c r="B1932" s="370">
        <f t="shared" si="2"/>
        <v>0.2232638889</v>
      </c>
      <c r="C1932" s="56">
        <f t="shared" si="3"/>
        <v>19290</v>
      </c>
      <c r="D1932" s="56">
        <v>0.0</v>
      </c>
    </row>
    <row r="1933" ht="15.75" customHeight="1">
      <c r="B1933" s="370">
        <f t="shared" si="2"/>
        <v>0.2233796296</v>
      </c>
      <c r="C1933" s="56">
        <f t="shared" si="3"/>
        <v>19300</v>
      </c>
      <c r="D1933" s="56">
        <v>0.0</v>
      </c>
    </row>
    <row r="1934" ht="15.75" customHeight="1">
      <c r="B1934" s="370">
        <f t="shared" si="2"/>
        <v>0.2234953704</v>
      </c>
      <c r="C1934" s="56">
        <f t="shared" si="3"/>
        <v>19310</v>
      </c>
      <c r="D1934" s="56">
        <v>0.0</v>
      </c>
    </row>
    <row r="1935" ht="15.75" customHeight="1">
      <c r="B1935" s="370">
        <f t="shared" si="2"/>
        <v>0.2236111111</v>
      </c>
      <c r="C1935" s="56">
        <f t="shared" si="3"/>
        <v>19320</v>
      </c>
      <c r="D1935" s="56">
        <v>0.0</v>
      </c>
    </row>
    <row r="1936" ht="15.75" customHeight="1">
      <c r="B1936" s="370">
        <f t="shared" si="2"/>
        <v>0.2237268519</v>
      </c>
      <c r="C1936" s="56">
        <f t="shared" si="3"/>
        <v>19330</v>
      </c>
      <c r="D1936" s="56">
        <v>0.0</v>
      </c>
    </row>
    <row r="1937" ht="15.75" customHeight="1">
      <c r="B1937" s="370">
        <f t="shared" si="2"/>
        <v>0.2238425926</v>
      </c>
      <c r="C1937" s="56">
        <f t="shared" si="3"/>
        <v>19340</v>
      </c>
      <c r="D1937" s="56">
        <v>0.0</v>
      </c>
    </row>
    <row r="1938" ht="15.75" customHeight="1">
      <c r="B1938" s="370">
        <f t="shared" si="2"/>
        <v>0.2239583333</v>
      </c>
      <c r="C1938" s="56">
        <f t="shared" si="3"/>
        <v>19350</v>
      </c>
      <c r="D1938" s="56">
        <v>0.0</v>
      </c>
    </row>
    <row r="1939" ht="15.75" customHeight="1">
      <c r="B1939" s="370">
        <f t="shared" si="2"/>
        <v>0.2240740741</v>
      </c>
      <c r="C1939" s="56">
        <f t="shared" si="3"/>
        <v>19360</v>
      </c>
      <c r="D1939" s="56">
        <v>0.0</v>
      </c>
    </row>
    <row r="1940" ht="15.75" customHeight="1">
      <c r="B1940" s="370">
        <f t="shared" si="2"/>
        <v>0.2241898148</v>
      </c>
      <c r="C1940" s="56">
        <f t="shared" si="3"/>
        <v>19370</v>
      </c>
      <c r="D1940" s="56">
        <v>0.0</v>
      </c>
    </row>
    <row r="1941" ht="15.75" customHeight="1">
      <c r="B1941" s="370">
        <f t="shared" si="2"/>
        <v>0.2243055556</v>
      </c>
      <c r="C1941" s="56">
        <f t="shared" si="3"/>
        <v>19380</v>
      </c>
      <c r="D1941" s="56">
        <v>0.0</v>
      </c>
    </row>
    <row r="1942" ht="15.75" customHeight="1">
      <c r="B1942" s="370">
        <f t="shared" si="2"/>
        <v>0.2244212963</v>
      </c>
      <c r="C1942" s="56">
        <f t="shared" si="3"/>
        <v>19390</v>
      </c>
      <c r="D1942" s="56">
        <v>0.0</v>
      </c>
    </row>
    <row r="1943" ht="15.75" customHeight="1">
      <c r="B1943" s="370">
        <f t="shared" si="2"/>
        <v>0.224537037</v>
      </c>
      <c r="C1943" s="56">
        <f t="shared" si="3"/>
        <v>19400</v>
      </c>
      <c r="D1943" s="56">
        <v>0.0</v>
      </c>
    </row>
    <row r="1944" ht="15.75" customHeight="1">
      <c r="B1944" s="370">
        <f t="shared" si="2"/>
        <v>0.2246527778</v>
      </c>
      <c r="C1944" s="56">
        <f t="shared" si="3"/>
        <v>19410</v>
      </c>
      <c r="D1944" s="56">
        <v>0.0</v>
      </c>
    </row>
    <row r="1945" ht="15.75" customHeight="1">
      <c r="B1945" s="370">
        <f t="shared" si="2"/>
        <v>0.2247685185</v>
      </c>
      <c r="C1945" s="56">
        <f t="shared" si="3"/>
        <v>19420</v>
      </c>
      <c r="D1945" s="56">
        <v>0.0</v>
      </c>
    </row>
    <row r="1946" ht="15.75" customHeight="1">
      <c r="B1946" s="370">
        <f t="shared" si="2"/>
        <v>0.2248842593</v>
      </c>
      <c r="C1946" s="56">
        <f t="shared" si="3"/>
        <v>19430</v>
      </c>
      <c r="D1946" s="56">
        <v>0.0</v>
      </c>
    </row>
    <row r="1947" ht="15.75" customHeight="1">
      <c r="B1947" s="370">
        <f t="shared" si="2"/>
        <v>0.225</v>
      </c>
      <c r="C1947" s="56">
        <f t="shared" si="3"/>
        <v>19440</v>
      </c>
      <c r="D1947" s="56">
        <v>0.0</v>
      </c>
    </row>
    <row r="1948" ht="15.75" customHeight="1">
      <c r="B1948" s="370">
        <f t="shared" si="2"/>
        <v>0.2251157407</v>
      </c>
      <c r="C1948" s="56">
        <f t="shared" si="3"/>
        <v>19450</v>
      </c>
      <c r="D1948" s="56">
        <v>0.0</v>
      </c>
    </row>
    <row r="1949" ht="15.75" customHeight="1">
      <c r="B1949" s="370">
        <f t="shared" si="2"/>
        <v>0.2252314815</v>
      </c>
      <c r="C1949" s="56">
        <f t="shared" si="3"/>
        <v>19460</v>
      </c>
      <c r="D1949" s="56">
        <v>0.0</v>
      </c>
    </row>
    <row r="1950" ht="15.75" customHeight="1">
      <c r="B1950" s="370">
        <f t="shared" si="2"/>
        <v>0.2253472222</v>
      </c>
      <c r="C1950" s="56">
        <f t="shared" si="3"/>
        <v>19470</v>
      </c>
      <c r="D1950" s="56">
        <v>0.0</v>
      </c>
    </row>
    <row r="1951" ht="15.75" customHeight="1">
      <c r="B1951" s="370">
        <f t="shared" si="2"/>
        <v>0.225462963</v>
      </c>
      <c r="C1951" s="56">
        <f t="shared" si="3"/>
        <v>19480</v>
      </c>
      <c r="D1951" s="56">
        <v>0.0</v>
      </c>
    </row>
    <row r="1952" ht="15.75" customHeight="1">
      <c r="B1952" s="370">
        <f t="shared" si="2"/>
        <v>0.2255787037</v>
      </c>
      <c r="C1952" s="56">
        <f t="shared" si="3"/>
        <v>19490</v>
      </c>
      <c r="D1952" s="56">
        <v>0.0</v>
      </c>
    </row>
    <row r="1953" ht="15.75" customHeight="1">
      <c r="B1953" s="370">
        <f t="shared" si="2"/>
        <v>0.2256944444</v>
      </c>
      <c r="C1953" s="56">
        <f t="shared" si="3"/>
        <v>19500</v>
      </c>
      <c r="D1953" s="56">
        <v>0.0</v>
      </c>
    </row>
    <row r="1954" ht="15.75" customHeight="1">
      <c r="B1954" s="370">
        <f t="shared" si="2"/>
        <v>0.2258101852</v>
      </c>
      <c r="C1954" s="56">
        <f t="shared" si="3"/>
        <v>19510</v>
      </c>
      <c r="D1954" s="56">
        <v>0.0</v>
      </c>
    </row>
    <row r="1955" ht="15.75" customHeight="1">
      <c r="B1955" s="370">
        <f t="shared" si="2"/>
        <v>0.2259259259</v>
      </c>
      <c r="C1955" s="56">
        <f t="shared" si="3"/>
        <v>19520</v>
      </c>
      <c r="D1955" s="56">
        <v>0.0</v>
      </c>
    </row>
    <row r="1956" ht="15.75" customHeight="1">
      <c r="B1956" s="370">
        <f t="shared" si="2"/>
        <v>0.2260416667</v>
      </c>
      <c r="C1956" s="56">
        <f t="shared" si="3"/>
        <v>19530</v>
      </c>
      <c r="D1956" s="56">
        <v>0.0</v>
      </c>
    </row>
    <row r="1957" ht="15.75" customHeight="1">
      <c r="B1957" s="370">
        <f t="shared" si="2"/>
        <v>0.2261574074</v>
      </c>
      <c r="C1957" s="56">
        <f t="shared" si="3"/>
        <v>19540</v>
      </c>
      <c r="D1957" s="56">
        <v>0.0</v>
      </c>
    </row>
    <row r="1958" ht="15.75" customHeight="1">
      <c r="B1958" s="370">
        <f t="shared" si="2"/>
        <v>0.2262731481</v>
      </c>
      <c r="C1958" s="56">
        <f t="shared" si="3"/>
        <v>19550</v>
      </c>
      <c r="D1958" s="56">
        <v>0.0</v>
      </c>
    </row>
    <row r="1959" ht="15.75" customHeight="1">
      <c r="B1959" s="370">
        <f t="shared" si="2"/>
        <v>0.2263888889</v>
      </c>
      <c r="C1959" s="56">
        <f t="shared" si="3"/>
        <v>19560</v>
      </c>
      <c r="D1959" s="56">
        <v>0.0</v>
      </c>
    </row>
    <row r="1960" ht="15.75" customHeight="1">
      <c r="B1960" s="370">
        <f t="shared" si="2"/>
        <v>0.2265046296</v>
      </c>
      <c r="C1960" s="56">
        <f t="shared" si="3"/>
        <v>19570</v>
      </c>
      <c r="D1960" s="56">
        <v>0.0</v>
      </c>
    </row>
    <row r="1961" ht="15.75" customHeight="1">
      <c r="B1961" s="370">
        <f t="shared" si="2"/>
        <v>0.2266203704</v>
      </c>
      <c r="C1961" s="56">
        <f t="shared" si="3"/>
        <v>19580</v>
      </c>
      <c r="D1961" s="56">
        <v>0.0</v>
      </c>
    </row>
    <row r="1962" ht="15.75" customHeight="1">
      <c r="B1962" s="370">
        <f t="shared" si="2"/>
        <v>0.2267361111</v>
      </c>
      <c r="C1962" s="56">
        <f t="shared" si="3"/>
        <v>19590</v>
      </c>
      <c r="D1962" s="56">
        <v>0.0</v>
      </c>
    </row>
    <row r="1963" ht="15.75" customHeight="1">
      <c r="B1963" s="370">
        <f t="shared" si="2"/>
        <v>0.2268518519</v>
      </c>
      <c r="C1963" s="56">
        <f t="shared" si="3"/>
        <v>19600</v>
      </c>
      <c r="D1963" s="56">
        <v>0.0</v>
      </c>
    </row>
    <row r="1964" ht="15.75" customHeight="1">
      <c r="B1964" s="370">
        <f t="shared" si="2"/>
        <v>0.2269675926</v>
      </c>
      <c r="C1964" s="56">
        <f t="shared" si="3"/>
        <v>19610</v>
      </c>
      <c r="D1964" s="56">
        <v>0.0</v>
      </c>
    </row>
    <row r="1965" ht="15.75" customHeight="1">
      <c r="B1965" s="370">
        <f t="shared" si="2"/>
        <v>0.2270833333</v>
      </c>
      <c r="C1965" s="56">
        <f t="shared" si="3"/>
        <v>19620</v>
      </c>
      <c r="D1965" s="56">
        <v>0.0</v>
      </c>
    </row>
    <row r="1966" ht="15.75" customHeight="1">
      <c r="B1966" s="370">
        <f t="shared" si="2"/>
        <v>0.2271990741</v>
      </c>
      <c r="C1966" s="56">
        <f t="shared" si="3"/>
        <v>19630</v>
      </c>
      <c r="D1966" s="56">
        <v>0.0</v>
      </c>
    </row>
    <row r="1967" ht="15.75" customHeight="1">
      <c r="B1967" s="370">
        <f t="shared" si="2"/>
        <v>0.2273148148</v>
      </c>
      <c r="C1967" s="56">
        <f t="shared" si="3"/>
        <v>19640</v>
      </c>
      <c r="D1967" s="56">
        <v>0.0</v>
      </c>
    </row>
    <row r="1968" ht="15.75" customHeight="1">
      <c r="B1968" s="370">
        <f t="shared" si="2"/>
        <v>0.2274305556</v>
      </c>
      <c r="C1968" s="56">
        <f t="shared" si="3"/>
        <v>19650</v>
      </c>
      <c r="D1968" s="56">
        <v>0.0</v>
      </c>
    </row>
    <row r="1969" ht="15.75" customHeight="1">
      <c r="B1969" s="370">
        <f t="shared" si="2"/>
        <v>0.2275462963</v>
      </c>
      <c r="C1969" s="56">
        <f t="shared" si="3"/>
        <v>19660</v>
      </c>
      <c r="D1969" s="56">
        <v>0.0</v>
      </c>
    </row>
    <row r="1970" ht="15.75" customHeight="1">
      <c r="B1970" s="370">
        <f t="shared" si="2"/>
        <v>0.227662037</v>
      </c>
      <c r="C1970" s="56">
        <f t="shared" si="3"/>
        <v>19670</v>
      </c>
      <c r="D1970" s="56">
        <v>0.0</v>
      </c>
    </row>
    <row r="1971" ht="15.75" customHeight="1">
      <c r="B1971" s="370">
        <f t="shared" si="2"/>
        <v>0.2277777778</v>
      </c>
      <c r="C1971" s="56">
        <f t="shared" si="3"/>
        <v>19680</v>
      </c>
      <c r="D1971" s="56">
        <v>0.0</v>
      </c>
    </row>
    <row r="1972" ht="15.75" customHeight="1">
      <c r="B1972" s="370">
        <f t="shared" si="2"/>
        <v>0.2278935185</v>
      </c>
      <c r="C1972" s="56">
        <f t="shared" si="3"/>
        <v>19690</v>
      </c>
      <c r="D1972" s="56">
        <v>0.0</v>
      </c>
    </row>
    <row r="1973" ht="15.75" customHeight="1">
      <c r="B1973" s="370">
        <f t="shared" si="2"/>
        <v>0.2280092593</v>
      </c>
      <c r="C1973" s="56">
        <f t="shared" si="3"/>
        <v>19700</v>
      </c>
      <c r="D1973" s="56">
        <v>0.0</v>
      </c>
    </row>
    <row r="1974" ht="15.75" customHeight="1">
      <c r="B1974" s="370">
        <f t="shared" si="2"/>
        <v>0.228125</v>
      </c>
      <c r="C1974" s="56">
        <f t="shared" si="3"/>
        <v>19710</v>
      </c>
      <c r="D1974" s="56">
        <v>0.0</v>
      </c>
    </row>
    <row r="1975" ht="15.75" customHeight="1">
      <c r="B1975" s="370">
        <f t="shared" si="2"/>
        <v>0.2282407407</v>
      </c>
      <c r="C1975" s="56">
        <f t="shared" si="3"/>
        <v>19720</v>
      </c>
      <c r="D1975" s="56">
        <v>0.0</v>
      </c>
    </row>
    <row r="1976" ht="15.75" customHeight="1">
      <c r="B1976" s="370">
        <f t="shared" si="2"/>
        <v>0.2283564815</v>
      </c>
      <c r="C1976" s="56">
        <f t="shared" si="3"/>
        <v>19730</v>
      </c>
      <c r="D1976" s="56">
        <v>0.0</v>
      </c>
    </row>
    <row r="1977" ht="15.75" customHeight="1">
      <c r="B1977" s="370">
        <f t="shared" si="2"/>
        <v>0.2284722222</v>
      </c>
      <c r="C1977" s="56">
        <f t="shared" si="3"/>
        <v>19740</v>
      </c>
      <c r="D1977" s="56">
        <v>0.0</v>
      </c>
    </row>
    <row r="1978" ht="15.75" customHeight="1">
      <c r="B1978" s="370">
        <f t="shared" si="2"/>
        <v>0.228587963</v>
      </c>
      <c r="C1978" s="56">
        <f t="shared" si="3"/>
        <v>19750</v>
      </c>
      <c r="D1978" s="56">
        <v>0.0</v>
      </c>
    </row>
    <row r="1979" ht="15.75" customHeight="1">
      <c r="B1979" s="370">
        <f t="shared" si="2"/>
        <v>0.2287037037</v>
      </c>
      <c r="C1979" s="56">
        <f t="shared" si="3"/>
        <v>19760</v>
      </c>
      <c r="D1979" s="56">
        <v>0.0</v>
      </c>
    </row>
    <row r="1980" ht="15.75" customHeight="1">
      <c r="B1980" s="370">
        <f t="shared" si="2"/>
        <v>0.2288194444</v>
      </c>
      <c r="C1980" s="56">
        <f t="shared" si="3"/>
        <v>19770</v>
      </c>
      <c r="D1980" s="56">
        <v>0.0</v>
      </c>
    </row>
    <row r="1981" ht="15.75" customHeight="1">
      <c r="B1981" s="370">
        <f t="shared" si="2"/>
        <v>0.2289351852</v>
      </c>
      <c r="C1981" s="56">
        <f t="shared" si="3"/>
        <v>19780</v>
      </c>
      <c r="D1981" s="56">
        <v>0.0</v>
      </c>
    </row>
    <row r="1982" ht="15.75" customHeight="1">
      <c r="B1982" s="370">
        <f t="shared" si="2"/>
        <v>0.2290509259</v>
      </c>
      <c r="C1982" s="56">
        <f t="shared" si="3"/>
        <v>19790</v>
      </c>
      <c r="D1982" s="56">
        <v>0.0</v>
      </c>
    </row>
    <row r="1983" ht="15.75" customHeight="1">
      <c r="B1983" s="370">
        <f t="shared" si="2"/>
        <v>0.2291666667</v>
      </c>
      <c r="C1983" s="56">
        <f t="shared" si="3"/>
        <v>19800</v>
      </c>
      <c r="D1983" s="56">
        <v>0.0</v>
      </c>
    </row>
    <row r="1984" ht="15.75" customHeight="1">
      <c r="B1984" s="370">
        <f t="shared" si="2"/>
        <v>0.2292824074</v>
      </c>
      <c r="C1984" s="56">
        <f t="shared" si="3"/>
        <v>19810</v>
      </c>
      <c r="D1984" s="56">
        <v>0.0</v>
      </c>
    </row>
    <row r="1985" ht="15.75" customHeight="1">
      <c r="B1985" s="370">
        <f t="shared" si="2"/>
        <v>0.2293981481</v>
      </c>
      <c r="C1985" s="56">
        <f t="shared" si="3"/>
        <v>19820</v>
      </c>
      <c r="D1985" s="56">
        <v>0.0</v>
      </c>
    </row>
    <row r="1986" ht="15.75" customHeight="1">
      <c r="B1986" s="370">
        <f t="shared" si="2"/>
        <v>0.2295138889</v>
      </c>
      <c r="C1986" s="56">
        <f t="shared" si="3"/>
        <v>19830</v>
      </c>
      <c r="D1986" s="56">
        <v>0.0</v>
      </c>
    </row>
    <row r="1987" ht="15.75" customHeight="1">
      <c r="B1987" s="370">
        <f t="shared" si="2"/>
        <v>0.2296296296</v>
      </c>
      <c r="C1987" s="56">
        <f t="shared" si="3"/>
        <v>19840</v>
      </c>
      <c r="D1987" s="56">
        <v>0.0</v>
      </c>
    </row>
    <row r="1988" ht="15.75" customHeight="1">
      <c r="B1988" s="370">
        <f t="shared" si="2"/>
        <v>0.2297453704</v>
      </c>
      <c r="C1988" s="56">
        <f t="shared" si="3"/>
        <v>19850</v>
      </c>
      <c r="D1988" s="56">
        <v>0.0</v>
      </c>
    </row>
    <row r="1989" ht="15.75" customHeight="1">
      <c r="B1989" s="370">
        <f t="shared" si="2"/>
        <v>0.2298611111</v>
      </c>
      <c r="C1989" s="56">
        <f t="shared" si="3"/>
        <v>19860</v>
      </c>
      <c r="D1989" s="56">
        <v>0.0</v>
      </c>
    </row>
    <row r="1990" ht="15.75" customHeight="1">
      <c r="B1990" s="370">
        <f t="shared" si="2"/>
        <v>0.2299768519</v>
      </c>
      <c r="C1990" s="56">
        <f t="shared" si="3"/>
        <v>19870</v>
      </c>
      <c r="D1990" s="56">
        <v>0.0</v>
      </c>
    </row>
    <row r="1991" ht="15.75" customHeight="1">
      <c r="B1991" s="370">
        <f t="shared" si="2"/>
        <v>0.2300925926</v>
      </c>
      <c r="C1991" s="56">
        <f t="shared" si="3"/>
        <v>19880</v>
      </c>
      <c r="D1991" s="56">
        <v>0.0</v>
      </c>
    </row>
    <row r="1992" ht="15.75" customHeight="1">
      <c r="B1992" s="370">
        <f t="shared" si="2"/>
        <v>0.2302083333</v>
      </c>
      <c r="C1992" s="56">
        <f t="shared" si="3"/>
        <v>19890</v>
      </c>
      <c r="D1992" s="56">
        <v>0.0</v>
      </c>
    </row>
    <row r="1993" ht="15.75" customHeight="1">
      <c r="B1993" s="370">
        <f t="shared" si="2"/>
        <v>0.2303240741</v>
      </c>
      <c r="C1993" s="56">
        <f t="shared" si="3"/>
        <v>19900</v>
      </c>
      <c r="D1993" s="56">
        <v>0.0</v>
      </c>
    </row>
    <row r="1994" ht="15.75" customHeight="1">
      <c r="B1994" s="370">
        <f t="shared" si="2"/>
        <v>0.2304398148</v>
      </c>
      <c r="C1994" s="56">
        <f t="shared" si="3"/>
        <v>19910</v>
      </c>
      <c r="D1994" s="56">
        <v>0.0</v>
      </c>
    </row>
    <row r="1995" ht="15.75" customHeight="1">
      <c r="B1995" s="370">
        <f t="shared" si="2"/>
        <v>0.2305555556</v>
      </c>
      <c r="C1995" s="56">
        <f t="shared" si="3"/>
        <v>19920</v>
      </c>
      <c r="D1995" s="56">
        <v>0.0</v>
      </c>
    </row>
    <row r="1996" ht="15.75" customHeight="1">
      <c r="B1996" s="370">
        <f t="shared" si="2"/>
        <v>0.2306712963</v>
      </c>
      <c r="C1996" s="56">
        <f t="shared" si="3"/>
        <v>19930</v>
      </c>
      <c r="D1996" s="56">
        <v>0.0</v>
      </c>
    </row>
    <row r="1997" ht="15.75" customHeight="1">
      <c r="B1997" s="370">
        <f t="shared" si="2"/>
        <v>0.230787037</v>
      </c>
      <c r="C1997" s="56">
        <f t="shared" si="3"/>
        <v>19940</v>
      </c>
      <c r="D1997" s="56">
        <v>0.0</v>
      </c>
    </row>
    <row r="1998" ht="15.75" customHeight="1">
      <c r="B1998" s="370">
        <f t="shared" si="2"/>
        <v>0.2309027778</v>
      </c>
      <c r="C1998" s="56">
        <f t="shared" si="3"/>
        <v>19950</v>
      </c>
      <c r="D1998" s="56">
        <v>0.0</v>
      </c>
    </row>
    <row r="1999" ht="15.75" customHeight="1">
      <c r="B1999" s="370">
        <f t="shared" si="2"/>
        <v>0.2310185185</v>
      </c>
      <c r="C1999" s="56">
        <f t="shared" si="3"/>
        <v>19960</v>
      </c>
      <c r="D1999" s="56">
        <v>0.0</v>
      </c>
    </row>
    <row r="2000" ht="15.75" customHeight="1">
      <c r="B2000" s="370">
        <f t="shared" si="2"/>
        <v>0.2311342593</v>
      </c>
      <c r="C2000" s="56">
        <f t="shared" si="3"/>
        <v>19970</v>
      </c>
      <c r="D2000" s="56">
        <v>0.0</v>
      </c>
    </row>
    <row r="2001" ht="15.75" customHeight="1">
      <c r="B2001" s="370">
        <f t="shared" si="2"/>
        <v>0.23125</v>
      </c>
      <c r="C2001" s="56">
        <f t="shared" si="3"/>
        <v>19980</v>
      </c>
      <c r="D2001" s="56">
        <v>0.0</v>
      </c>
    </row>
    <row r="2002" ht="15.75" customHeight="1">
      <c r="B2002" s="370">
        <f t="shared" si="2"/>
        <v>0.2313657407</v>
      </c>
      <c r="C2002" s="56">
        <f t="shared" si="3"/>
        <v>19990</v>
      </c>
      <c r="D2002" s="56">
        <v>0.0</v>
      </c>
    </row>
    <row r="2003" ht="15.75" customHeight="1">
      <c r="B2003" s="370">
        <f t="shared" si="2"/>
        <v>0.2314814815</v>
      </c>
      <c r="C2003" s="56">
        <f t="shared" si="3"/>
        <v>20000</v>
      </c>
      <c r="D2003" s="56">
        <v>0.0</v>
      </c>
    </row>
    <row r="2004" ht="15.75" customHeight="1">
      <c r="B2004" s="370">
        <f t="shared" si="2"/>
        <v>0.2315972222</v>
      </c>
      <c r="C2004" s="56">
        <f t="shared" si="3"/>
        <v>20010</v>
      </c>
      <c r="D2004" s="56">
        <v>0.0</v>
      </c>
    </row>
    <row r="2005" ht="15.75" customHeight="1">
      <c r="B2005" s="370">
        <f t="shared" si="2"/>
        <v>0.231712963</v>
      </c>
      <c r="C2005" s="56">
        <f t="shared" si="3"/>
        <v>20020</v>
      </c>
      <c r="D2005" s="56">
        <v>0.0</v>
      </c>
    </row>
    <row r="2006" ht="15.75" customHeight="1">
      <c r="B2006" s="370">
        <f t="shared" si="2"/>
        <v>0.2318287037</v>
      </c>
      <c r="C2006" s="56">
        <f t="shared" si="3"/>
        <v>20030</v>
      </c>
      <c r="D2006" s="56">
        <v>0.0</v>
      </c>
    </row>
    <row r="2007" ht="15.75" customHeight="1">
      <c r="B2007" s="370">
        <f t="shared" si="2"/>
        <v>0.2319444444</v>
      </c>
      <c r="C2007" s="56">
        <f t="shared" si="3"/>
        <v>20040</v>
      </c>
      <c r="D2007" s="56">
        <v>0.0</v>
      </c>
    </row>
    <row r="2008" ht="15.75" customHeight="1">
      <c r="B2008" s="370">
        <f t="shared" si="2"/>
        <v>0.2320601852</v>
      </c>
      <c r="C2008" s="56">
        <f t="shared" si="3"/>
        <v>20050</v>
      </c>
      <c r="D2008" s="56">
        <v>0.0</v>
      </c>
    </row>
    <row r="2009" ht="15.75" customHeight="1">
      <c r="B2009" s="370">
        <f t="shared" si="2"/>
        <v>0.2321759259</v>
      </c>
      <c r="C2009" s="56">
        <f t="shared" si="3"/>
        <v>20060</v>
      </c>
      <c r="D2009" s="56">
        <v>0.0</v>
      </c>
    </row>
    <row r="2010" ht="15.75" customHeight="1">
      <c r="B2010" s="370">
        <f t="shared" si="2"/>
        <v>0.2322916667</v>
      </c>
      <c r="C2010" s="56">
        <f t="shared" si="3"/>
        <v>20070</v>
      </c>
      <c r="D2010" s="56">
        <v>0.0</v>
      </c>
    </row>
    <row r="2011" ht="15.75" customHeight="1">
      <c r="B2011" s="370">
        <f t="shared" si="2"/>
        <v>0.2324074074</v>
      </c>
      <c r="C2011" s="56">
        <f t="shared" si="3"/>
        <v>20080</v>
      </c>
      <c r="D2011" s="56">
        <v>0.0</v>
      </c>
    </row>
    <row r="2012" ht="15.75" customHeight="1">
      <c r="B2012" s="370">
        <f t="shared" si="2"/>
        <v>0.2325231481</v>
      </c>
      <c r="C2012" s="56">
        <f t="shared" si="3"/>
        <v>20090</v>
      </c>
      <c r="D2012" s="56">
        <v>0.0</v>
      </c>
    </row>
    <row r="2013" ht="15.75" customHeight="1">
      <c r="B2013" s="370">
        <f t="shared" si="2"/>
        <v>0.2326388889</v>
      </c>
      <c r="C2013" s="56">
        <f t="shared" si="3"/>
        <v>20100</v>
      </c>
      <c r="D2013" s="56">
        <v>0.0</v>
      </c>
    </row>
    <row r="2014" ht="15.75" customHeight="1">
      <c r="B2014" s="370">
        <f t="shared" si="2"/>
        <v>0.2327546296</v>
      </c>
      <c r="C2014" s="56">
        <f t="shared" si="3"/>
        <v>20110</v>
      </c>
      <c r="D2014" s="56">
        <v>0.0</v>
      </c>
    </row>
    <row r="2015" ht="15.75" customHeight="1">
      <c r="B2015" s="370">
        <f t="shared" si="2"/>
        <v>0.2328703704</v>
      </c>
      <c r="C2015" s="56">
        <f t="shared" si="3"/>
        <v>20120</v>
      </c>
      <c r="D2015" s="56">
        <v>0.0</v>
      </c>
    </row>
    <row r="2016" ht="15.75" customHeight="1">
      <c r="B2016" s="370">
        <f t="shared" si="2"/>
        <v>0.2329861111</v>
      </c>
      <c r="C2016" s="56">
        <f t="shared" si="3"/>
        <v>20130</v>
      </c>
      <c r="D2016" s="56">
        <v>0.0</v>
      </c>
    </row>
    <row r="2017" ht="15.75" customHeight="1">
      <c r="B2017" s="370">
        <f t="shared" si="2"/>
        <v>0.2331018519</v>
      </c>
      <c r="C2017" s="56">
        <f t="shared" si="3"/>
        <v>20140</v>
      </c>
      <c r="D2017" s="56">
        <v>0.0</v>
      </c>
    </row>
    <row r="2018" ht="15.75" customHeight="1">
      <c r="B2018" s="370">
        <f t="shared" si="2"/>
        <v>0.2332175926</v>
      </c>
      <c r="C2018" s="56">
        <f t="shared" si="3"/>
        <v>20150</v>
      </c>
      <c r="D2018" s="56">
        <v>0.0</v>
      </c>
    </row>
    <row r="2019" ht="15.75" customHeight="1">
      <c r="B2019" s="370">
        <f t="shared" si="2"/>
        <v>0.2333333333</v>
      </c>
      <c r="C2019" s="56">
        <f t="shared" si="3"/>
        <v>20160</v>
      </c>
      <c r="D2019" s="56">
        <v>0.0</v>
      </c>
    </row>
    <row r="2020" ht="15.75" customHeight="1">
      <c r="B2020" s="370">
        <f t="shared" si="2"/>
        <v>0.2334490741</v>
      </c>
      <c r="C2020" s="56">
        <f t="shared" si="3"/>
        <v>20170</v>
      </c>
      <c r="D2020" s="56">
        <v>0.0</v>
      </c>
    </row>
    <row r="2021" ht="15.75" customHeight="1">
      <c r="B2021" s="370">
        <f t="shared" si="2"/>
        <v>0.2335648148</v>
      </c>
      <c r="C2021" s="56">
        <f t="shared" si="3"/>
        <v>20180</v>
      </c>
      <c r="D2021" s="56">
        <v>0.0</v>
      </c>
    </row>
    <row r="2022" ht="15.75" customHeight="1">
      <c r="B2022" s="370">
        <f t="shared" si="2"/>
        <v>0.2336805556</v>
      </c>
      <c r="C2022" s="56">
        <f t="shared" si="3"/>
        <v>20190</v>
      </c>
      <c r="D2022" s="56">
        <v>0.0</v>
      </c>
    </row>
    <row r="2023" ht="15.75" customHeight="1">
      <c r="B2023" s="370">
        <f t="shared" si="2"/>
        <v>0.2337962963</v>
      </c>
      <c r="C2023" s="56">
        <f t="shared" si="3"/>
        <v>20200</v>
      </c>
      <c r="D2023" s="56">
        <v>0.0</v>
      </c>
    </row>
    <row r="2024" ht="15.75" customHeight="1">
      <c r="B2024" s="370">
        <f t="shared" si="2"/>
        <v>0.233912037</v>
      </c>
      <c r="C2024" s="56">
        <f t="shared" si="3"/>
        <v>20210</v>
      </c>
      <c r="D2024" s="56">
        <v>0.0</v>
      </c>
    </row>
    <row r="2025" ht="15.75" customHeight="1">
      <c r="B2025" s="370">
        <f t="shared" si="2"/>
        <v>0.2340277778</v>
      </c>
      <c r="C2025" s="56">
        <f t="shared" si="3"/>
        <v>20220</v>
      </c>
      <c r="D2025" s="56">
        <v>0.0</v>
      </c>
    </row>
    <row r="2026" ht="15.75" customHeight="1">
      <c r="B2026" s="370">
        <f t="shared" si="2"/>
        <v>0.2341435185</v>
      </c>
      <c r="C2026" s="56">
        <f t="shared" si="3"/>
        <v>20230</v>
      </c>
      <c r="D2026" s="56">
        <v>0.0</v>
      </c>
    </row>
    <row r="2027" ht="15.75" customHeight="1">
      <c r="B2027" s="370">
        <f t="shared" si="2"/>
        <v>0.2342592593</v>
      </c>
      <c r="C2027" s="56">
        <f t="shared" si="3"/>
        <v>20240</v>
      </c>
      <c r="D2027" s="56">
        <v>0.0</v>
      </c>
    </row>
    <row r="2028" ht="15.75" customHeight="1">
      <c r="B2028" s="370">
        <f t="shared" si="2"/>
        <v>0.234375</v>
      </c>
      <c r="C2028" s="56">
        <f t="shared" si="3"/>
        <v>20250</v>
      </c>
      <c r="D2028" s="56">
        <v>0.0</v>
      </c>
    </row>
    <row r="2029" ht="15.75" customHeight="1">
      <c r="B2029" s="370">
        <f t="shared" si="2"/>
        <v>0.2344907407</v>
      </c>
      <c r="C2029" s="56">
        <f t="shared" si="3"/>
        <v>20260</v>
      </c>
      <c r="D2029" s="56">
        <v>0.0</v>
      </c>
    </row>
    <row r="2030" ht="15.75" customHeight="1">
      <c r="B2030" s="370">
        <f t="shared" si="2"/>
        <v>0.2346064815</v>
      </c>
      <c r="C2030" s="56">
        <f t="shared" si="3"/>
        <v>20270</v>
      </c>
      <c r="D2030" s="56">
        <v>0.0</v>
      </c>
    </row>
    <row r="2031" ht="15.75" customHeight="1">
      <c r="B2031" s="370">
        <f t="shared" si="2"/>
        <v>0.2347222222</v>
      </c>
      <c r="C2031" s="56">
        <f t="shared" si="3"/>
        <v>20280</v>
      </c>
      <c r="D2031" s="56">
        <v>0.0</v>
      </c>
    </row>
    <row r="2032" ht="15.75" customHeight="1">
      <c r="B2032" s="370">
        <f t="shared" si="2"/>
        <v>0.234837963</v>
      </c>
      <c r="C2032" s="56">
        <f t="shared" si="3"/>
        <v>20290</v>
      </c>
      <c r="D2032" s="56">
        <v>0.0</v>
      </c>
    </row>
    <row r="2033" ht="15.75" customHeight="1">
      <c r="B2033" s="370">
        <f t="shared" si="2"/>
        <v>0.2349537037</v>
      </c>
      <c r="C2033" s="56">
        <f t="shared" si="3"/>
        <v>20300</v>
      </c>
      <c r="D2033" s="56">
        <v>0.0</v>
      </c>
    </row>
    <row r="2034" ht="15.75" customHeight="1">
      <c r="B2034" s="370">
        <f t="shared" si="2"/>
        <v>0.2350694444</v>
      </c>
      <c r="C2034" s="56">
        <f t="shared" si="3"/>
        <v>20310</v>
      </c>
      <c r="D2034" s="56">
        <v>0.0</v>
      </c>
    </row>
    <row r="2035" ht="15.75" customHeight="1">
      <c r="B2035" s="370">
        <f t="shared" si="2"/>
        <v>0.2351851852</v>
      </c>
      <c r="C2035" s="56">
        <f t="shared" si="3"/>
        <v>20320</v>
      </c>
      <c r="D2035" s="56">
        <v>0.0</v>
      </c>
    </row>
    <row r="2036" ht="15.75" customHeight="1">
      <c r="B2036" s="370">
        <f t="shared" si="2"/>
        <v>0.2353009259</v>
      </c>
      <c r="C2036" s="56">
        <f t="shared" si="3"/>
        <v>20330</v>
      </c>
      <c r="D2036" s="56">
        <v>0.0</v>
      </c>
    </row>
    <row r="2037" ht="15.75" customHeight="1">
      <c r="B2037" s="370">
        <f t="shared" si="2"/>
        <v>0.2354166667</v>
      </c>
      <c r="C2037" s="56">
        <f t="shared" si="3"/>
        <v>20340</v>
      </c>
      <c r="D2037" s="56">
        <v>0.0</v>
      </c>
    </row>
    <row r="2038" ht="15.75" customHeight="1">
      <c r="B2038" s="370">
        <f t="shared" si="2"/>
        <v>0.2355324074</v>
      </c>
      <c r="C2038" s="56">
        <f t="shared" si="3"/>
        <v>20350</v>
      </c>
      <c r="D2038" s="56">
        <v>0.0</v>
      </c>
    </row>
    <row r="2039" ht="15.75" customHeight="1">
      <c r="B2039" s="370">
        <f t="shared" si="2"/>
        <v>0.2356481481</v>
      </c>
      <c r="C2039" s="56">
        <f t="shared" si="3"/>
        <v>20360</v>
      </c>
      <c r="D2039" s="56">
        <v>0.0</v>
      </c>
    </row>
    <row r="2040" ht="15.75" customHeight="1">
      <c r="B2040" s="370">
        <f t="shared" si="2"/>
        <v>0.2357638889</v>
      </c>
      <c r="C2040" s="56">
        <f t="shared" si="3"/>
        <v>20370</v>
      </c>
      <c r="D2040" s="56">
        <v>0.0</v>
      </c>
    </row>
    <row r="2041" ht="15.75" customHeight="1">
      <c r="B2041" s="370">
        <f t="shared" si="2"/>
        <v>0.2358796296</v>
      </c>
      <c r="C2041" s="56">
        <f t="shared" si="3"/>
        <v>20380</v>
      </c>
      <c r="D2041" s="56">
        <v>0.0</v>
      </c>
    </row>
    <row r="2042" ht="15.75" customHeight="1">
      <c r="B2042" s="370">
        <f t="shared" si="2"/>
        <v>0.2359953704</v>
      </c>
      <c r="C2042" s="56">
        <f t="shared" si="3"/>
        <v>20390</v>
      </c>
      <c r="D2042" s="56">
        <v>0.0</v>
      </c>
    </row>
    <row r="2043" ht="15.75" customHeight="1">
      <c r="B2043" s="370">
        <f t="shared" si="2"/>
        <v>0.2361111111</v>
      </c>
      <c r="C2043" s="56">
        <f t="shared" si="3"/>
        <v>20400</v>
      </c>
      <c r="D2043" s="56">
        <v>0.0</v>
      </c>
    </row>
    <row r="2044" ht="15.75" customHeight="1">
      <c r="B2044" s="370">
        <f t="shared" si="2"/>
        <v>0.2362268519</v>
      </c>
      <c r="C2044" s="56">
        <f t="shared" si="3"/>
        <v>20410</v>
      </c>
      <c r="D2044" s="56">
        <v>0.0</v>
      </c>
    </row>
    <row r="2045" ht="15.75" customHeight="1">
      <c r="B2045" s="370">
        <f t="shared" si="2"/>
        <v>0.2363425926</v>
      </c>
      <c r="C2045" s="56">
        <f t="shared" si="3"/>
        <v>20420</v>
      </c>
      <c r="D2045" s="56">
        <v>0.0</v>
      </c>
    </row>
    <row r="2046" ht="15.75" customHeight="1">
      <c r="B2046" s="370">
        <f t="shared" si="2"/>
        <v>0.2364583333</v>
      </c>
      <c r="C2046" s="56">
        <f t="shared" si="3"/>
        <v>20430</v>
      </c>
      <c r="D2046" s="56">
        <v>0.0</v>
      </c>
    </row>
    <row r="2047" ht="15.75" customHeight="1">
      <c r="B2047" s="370">
        <f t="shared" si="2"/>
        <v>0.2365740741</v>
      </c>
      <c r="C2047" s="56">
        <f t="shared" si="3"/>
        <v>20440</v>
      </c>
      <c r="D2047" s="56">
        <v>0.0</v>
      </c>
    </row>
    <row r="2048" ht="15.75" customHeight="1">
      <c r="B2048" s="370">
        <f t="shared" si="2"/>
        <v>0.2366898148</v>
      </c>
      <c r="C2048" s="56">
        <f t="shared" si="3"/>
        <v>20450</v>
      </c>
      <c r="D2048" s="56">
        <v>0.0</v>
      </c>
    </row>
    <row r="2049" ht="15.75" customHeight="1">
      <c r="B2049" s="370">
        <f t="shared" si="2"/>
        <v>0.2368055556</v>
      </c>
      <c r="C2049" s="56">
        <f t="shared" si="3"/>
        <v>20460</v>
      </c>
      <c r="D2049" s="56">
        <v>0.0</v>
      </c>
    </row>
    <row r="2050" ht="15.75" customHeight="1">
      <c r="B2050" s="370">
        <f t="shared" si="2"/>
        <v>0.2369212963</v>
      </c>
      <c r="C2050" s="56">
        <f t="shared" si="3"/>
        <v>20470</v>
      </c>
      <c r="D2050" s="56">
        <v>0.0</v>
      </c>
    </row>
    <row r="2051" ht="15.75" customHeight="1">
      <c r="B2051" s="370">
        <f t="shared" si="2"/>
        <v>0.237037037</v>
      </c>
      <c r="C2051" s="56">
        <f t="shared" si="3"/>
        <v>20480</v>
      </c>
      <c r="D2051" s="56">
        <v>0.0</v>
      </c>
    </row>
    <row r="2052" ht="15.75" customHeight="1">
      <c r="B2052" s="370">
        <f t="shared" si="2"/>
        <v>0.2371527778</v>
      </c>
      <c r="C2052" s="56">
        <f t="shared" si="3"/>
        <v>20490</v>
      </c>
      <c r="D2052" s="56">
        <v>0.0</v>
      </c>
    </row>
    <row r="2053" ht="15.75" customHeight="1">
      <c r="B2053" s="370">
        <f t="shared" si="2"/>
        <v>0.2372685185</v>
      </c>
      <c r="C2053" s="56">
        <f t="shared" si="3"/>
        <v>20500</v>
      </c>
      <c r="D2053" s="56">
        <v>0.0</v>
      </c>
    </row>
    <row r="2054" ht="15.75" customHeight="1">
      <c r="B2054" s="370">
        <f t="shared" si="2"/>
        <v>0.2373842593</v>
      </c>
      <c r="C2054" s="56">
        <f t="shared" si="3"/>
        <v>20510</v>
      </c>
      <c r="D2054" s="56">
        <v>0.0</v>
      </c>
    </row>
    <row r="2055" ht="15.75" customHeight="1">
      <c r="B2055" s="370">
        <f t="shared" si="2"/>
        <v>0.2375</v>
      </c>
      <c r="C2055" s="56">
        <f t="shared" si="3"/>
        <v>20520</v>
      </c>
      <c r="D2055" s="56">
        <v>0.0</v>
      </c>
    </row>
    <row r="2056" ht="15.75" customHeight="1">
      <c r="B2056" s="370">
        <f t="shared" si="2"/>
        <v>0.2376157407</v>
      </c>
      <c r="C2056" s="56">
        <f t="shared" si="3"/>
        <v>20530</v>
      </c>
      <c r="D2056" s="56">
        <v>0.0</v>
      </c>
    </row>
    <row r="2057" ht="15.75" customHeight="1">
      <c r="B2057" s="370">
        <f t="shared" si="2"/>
        <v>0.2377314815</v>
      </c>
      <c r="C2057" s="56">
        <f t="shared" si="3"/>
        <v>20540</v>
      </c>
      <c r="D2057" s="56">
        <v>0.0</v>
      </c>
    </row>
    <row r="2058" ht="15.75" customHeight="1">
      <c r="B2058" s="370">
        <f t="shared" si="2"/>
        <v>0.2378472222</v>
      </c>
      <c r="C2058" s="56">
        <f t="shared" si="3"/>
        <v>20550</v>
      </c>
      <c r="D2058" s="56">
        <v>0.0</v>
      </c>
    </row>
    <row r="2059" ht="15.75" customHeight="1">
      <c r="B2059" s="370">
        <f t="shared" si="2"/>
        <v>0.237962963</v>
      </c>
      <c r="C2059" s="56">
        <f t="shared" si="3"/>
        <v>20560</v>
      </c>
      <c r="D2059" s="56">
        <v>0.0</v>
      </c>
    </row>
    <row r="2060" ht="15.75" customHeight="1">
      <c r="B2060" s="370">
        <f t="shared" si="2"/>
        <v>0.2380787037</v>
      </c>
      <c r="C2060" s="56">
        <f t="shared" si="3"/>
        <v>20570</v>
      </c>
      <c r="D2060" s="56">
        <v>0.0</v>
      </c>
    </row>
    <row r="2061" ht="15.75" customHeight="1">
      <c r="B2061" s="370">
        <f t="shared" si="2"/>
        <v>0.2381944444</v>
      </c>
      <c r="C2061" s="56">
        <f t="shared" si="3"/>
        <v>20580</v>
      </c>
      <c r="D2061" s="56">
        <v>0.0</v>
      </c>
    </row>
    <row r="2062" ht="15.75" customHeight="1">
      <c r="B2062" s="370">
        <f t="shared" si="2"/>
        <v>0.2383101852</v>
      </c>
      <c r="C2062" s="56">
        <f t="shared" si="3"/>
        <v>20590</v>
      </c>
      <c r="D2062" s="56">
        <v>0.0</v>
      </c>
    </row>
    <row r="2063" ht="15.75" customHeight="1">
      <c r="B2063" s="370">
        <f t="shared" si="2"/>
        <v>0.2384259259</v>
      </c>
      <c r="C2063" s="56">
        <f t="shared" si="3"/>
        <v>20600</v>
      </c>
      <c r="D2063" s="56">
        <v>0.0</v>
      </c>
    </row>
    <row r="2064" ht="15.75" customHeight="1">
      <c r="B2064" s="370">
        <f t="shared" si="2"/>
        <v>0.2385416667</v>
      </c>
      <c r="C2064" s="56">
        <f t="shared" si="3"/>
        <v>20610</v>
      </c>
      <c r="D2064" s="56">
        <v>0.0</v>
      </c>
    </row>
    <row r="2065" ht="15.75" customHeight="1">
      <c r="B2065" s="370">
        <f t="shared" si="2"/>
        <v>0.2386574074</v>
      </c>
      <c r="C2065" s="56">
        <f t="shared" si="3"/>
        <v>20620</v>
      </c>
      <c r="D2065" s="56">
        <v>0.0</v>
      </c>
    </row>
    <row r="2066" ht="15.75" customHeight="1">
      <c r="B2066" s="370">
        <f t="shared" si="2"/>
        <v>0.2387731481</v>
      </c>
      <c r="C2066" s="56">
        <f t="shared" si="3"/>
        <v>20630</v>
      </c>
      <c r="D2066" s="56">
        <v>0.0</v>
      </c>
    </row>
    <row r="2067" ht="15.75" customHeight="1">
      <c r="B2067" s="370">
        <f t="shared" si="2"/>
        <v>0.2388888889</v>
      </c>
      <c r="C2067" s="56">
        <f t="shared" si="3"/>
        <v>20640</v>
      </c>
      <c r="D2067" s="56">
        <v>0.0</v>
      </c>
    </row>
    <row r="2068" ht="15.75" customHeight="1">
      <c r="B2068" s="370">
        <f t="shared" si="2"/>
        <v>0.2390046296</v>
      </c>
      <c r="C2068" s="56">
        <f t="shared" si="3"/>
        <v>20650</v>
      </c>
      <c r="D2068" s="56">
        <v>0.0</v>
      </c>
    </row>
    <row r="2069" ht="15.75" customHeight="1">
      <c r="B2069" s="370">
        <f t="shared" si="2"/>
        <v>0.2391203704</v>
      </c>
      <c r="C2069" s="56">
        <f t="shared" si="3"/>
        <v>20660</v>
      </c>
      <c r="D2069" s="56">
        <v>0.0</v>
      </c>
    </row>
    <row r="2070" ht="15.75" customHeight="1">
      <c r="B2070" s="370">
        <f t="shared" si="2"/>
        <v>0.2392361111</v>
      </c>
      <c r="C2070" s="56">
        <f t="shared" si="3"/>
        <v>20670</v>
      </c>
      <c r="D2070" s="56">
        <v>0.0</v>
      </c>
    </row>
    <row r="2071" ht="15.75" customHeight="1">
      <c r="B2071" s="370">
        <f t="shared" si="2"/>
        <v>0.2393518519</v>
      </c>
      <c r="C2071" s="56">
        <f t="shared" si="3"/>
        <v>20680</v>
      </c>
      <c r="D2071" s="56">
        <v>1.183</v>
      </c>
    </row>
    <row r="2072" ht="15.75" customHeight="1">
      <c r="B2072" s="370">
        <f t="shared" si="2"/>
        <v>0.2394675926</v>
      </c>
      <c r="C2072" s="56">
        <f t="shared" si="3"/>
        <v>20690</v>
      </c>
      <c r="D2072" s="56">
        <v>3.296</v>
      </c>
    </row>
    <row r="2073" ht="15.75" customHeight="1">
      <c r="B2073" s="370">
        <f t="shared" si="2"/>
        <v>0.2395833333</v>
      </c>
      <c r="C2073" s="56">
        <f t="shared" si="3"/>
        <v>20700</v>
      </c>
      <c r="D2073" s="56">
        <v>3.501</v>
      </c>
    </row>
    <row r="2074" ht="15.75" customHeight="1">
      <c r="B2074" s="370">
        <f t="shared" si="2"/>
        <v>0.2396990741</v>
      </c>
      <c r="C2074" s="56">
        <f t="shared" si="3"/>
        <v>20710</v>
      </c>
      <c r="D2074" s="56">
        <v>3.507</v>
      </c>
    </row>
    <row r="2075" ht="15.75" customHeight="1">
      <c r="B2075" s="370">
        <f t="shared" si="2"/>
        <v>0.2398148148</v>
      </c>
      <c r="C2075" s="56">
        <f t="shared" si="3"/>
        <v>20720</v>
      </c>
      <c r="D2075" s="56">
        <v>3.498</v>
      </c>
    </row>
    <row r="2076" ht="15.75" customHeight="1">
      <c r="B2076" s="370">
        <f t="shared" si="2"/>
        <v>0.2399305556</v>
      </c>
      <c r="C2076" s="56">
        <f t="shared" si="3"/>
        <v>20730</v>
      </c>
      <c r="D2076" s="56">
        <v>3.071</v>
      </c>
    </row>
    <row r="2077" ht="15.75" customHeight="1">
      <c r="B2077" s="370">
        <f t="shared" si="2"/>
        <v>0.2400462963</v>
      </c>
      <c r="C2077" s="56">
        <f t="shared" si="3"/>
        <v>20740</v>
      </c>
      <c r="D2077" s="56">
        <v>2.295</v>
      </c>
    </row>
    <row r="2078" ht="15.75" customHeight="1">
      <c r="B2078" s="370">
        <f t="shared" si="2"/>
        <v>0.240162037</v>
      </c>
      <c r="C2078" s="56">
        <f t="shared" si="3"/>
        <v>20750</v>
      </c>
      <c r="D2078" s="56">
        <v>2.096</v>
      </c>
    </row>
    <row r="2079" ht="15.75" customHeight="1">
      <c r="B2079" s="370">
        <f t="shared" si="2"/>
        <v>0.2402777778</v>
      </c>
      <c r="C2079" s="56">
        <f t="shared" si="3"/>
        <v>20760</v>
      </c>
      <c r="D2079" s="56">
        <v>2.438</v>
      </c>
    </row>
    <row r="2080" ht="15.75" customHeight="1">
      <c r="B2080" s="370">
        <f t="shared" si="2"/>
        <v>0.2403935185</v>
      </c>
      <c r="C2080" s="56">
        <f t="shared" si="3"/>
        <v>20770</v>
      </c>
      <c r="D2080" s="56">
        <v>2.768</v>
      </c>
    </row>
    <row r="2081" ht="15.75" customHeight="1">
      <c r="B2081" s="370">
        <f t="shared" si="2"/>
        <v>0.2405092593</v>
      </c>
      <c r="C2081" s="56">
        <f t="shared" si="3"/>
        <v>20780</v>
      </c>
      <c r="D2081" s="56">
        <v>3.048</v>
      </c>
    </row>
    <row r="2082" ht="15.75" customHeight="1">
      <c r="B2082" s="370">
        <f t="shared" si="2"/>
        <v>0.240625</v>
      </c>
      <c r="C2082" s="56">
        <f t="shared" si="3"/>
        <v>20790</v>
      </c>
      <c r="D2082" s="56">
        <v>3.251</v>
      </c>
    </row>
    <row r="2083" ht="15.75" customHeight="1">
      <c r="B2083" s="370">
        <f t="shared" si="2"/>
        <v>0.2407407407</v>
      </c>
      <c r="C2083" s="56">
        <f t="shared" si="3"/>
        <v>20800</v>
      </c>
      <c r="D2083" s="56">
        <v>3.137</v>
      </c>
    </row>
    <row r="2084" ht="15.75" customHeight="1">
      <c r="B2084" s="370">
        <f t="shared" si="2"/>
        <v>0.2408564815</v>
      </c>
      <c r="C2084" s="56">
        <f t="shared" si="3"/>
        <v>20810</v>
      </c>
      <c r="D2084" s="56">
        <v>3.061</v>
      </c>
    </row>
    <row r="2085" ht="15.75" customHeight="1">
      <c r="B2085" s="370">
        <f t="shared" si="2"/>
        <v>0.2409722222</v>
      </c>
      <c r="C2085" s="56">
        <f t="shared" si="3"/>
        <v>20820</v>
      </c>
      <c r="D2085" s="56">
        <v>2.77</v>
      </c>
    </row>
    <row r="2086" ht="15.75" customHeight="1">
      <c r="B2086" s="370">
        <f t="shared" si="2"/>
        <v>0.241087963</v>
      </c>
      <c r="C2086" s="56">
        <f t="shared" si="3"/>
        <v>20830</v>
      </c>
      <c r="D2086" s="56">
        <v>2.872</v>
      </c>
    </row>
    <row r="2087" ht="15.75" customHeight="1">
      <c r="B2087" s="370">
        <f t="shared" si="2"/>
        <v>0.2412037037</v>
      </c>
      <c r="C2087" s="56">
        <f t="shared" si="3"/>
        <v>20840</v>
      </c>
      <c r="D2087" s="56">
        <v>2.814</v>
      </c>
    </row>
    <row r="2088" ht="15.75" customHeight="1">
      <c r="B2088" s="370">
        <f t="shared" si="2"/>
        <v>0.2413194444</v>
      </c>
      <c r="C2088" s="56">
        <f t="shared" si="3"/>
        <v>20850</v>
      </c>
      <c r="D2088" s="56">
        <v>2.747</v>
      </c>
    </row>
    <row r="2089" ht="15.75" customHeight="1">
      <c r="B2089" s="370">
        <f t="shared" si="2"/>
        <v>0.2414351852</v>
      </c>
      <c r="C2089" s="56">
        <f t="shared" si="3"/>
        <v>20860</v>
      </c>
      <c r="D2089" s="56">
        <v>2.618</v>
      </c>
    </row>
    <row r="2090" ht="15.75" customHeight="1">
      <c r="B2090" s="370">
        <f t="shared" si="2"/>
        <v>0.2415509259</v>
      </c>
      <c r="C2090" s="56">
        <f t="shared" si="3"/>
        <v>20870</v>
      </c>
      <c r="D2090" s="56">
        <v>2.422</v>
      </c>
    </row>
    <row r="2091" ht="15.75" customHeight="1">
      <c r="B2091" s="370">
        <f t="shared" si="2"/>
        <v>0.2416666667</v>
      </c>
      <c r="C2091" s="56">
        <f t="shared" si="3"/>
        <v>20880</v>
      </c>
      <c r="D2091" s="56">
        <v>2.285</v>
      </c>
    </row>
    <row r="2092" ht="15.75" customHeight="1">
      <c r="B2092" s="370">
        <f t="shared" si="2"/>
        <v>0.2417824074</v>
      </c>
      <c r="C2092" s="56">
        <f t="shared" si="3"/>
        <v>20890</v>
      </c>
      <c r="D2092" s="56">
        <v>3.167</v>
      </c>
    </row>
    <row r="2093" ht="15.75" customHeight="1">
      <c r="B2093" s="370">
        <f t="shared" si="2"/>
        <v>0.2418981481</v>
      </c>
      <c r="C2093" s="56">
        <f t="shared" si="3"/>
        <v>20900</v>
      </c>
      <c r="D2093" s="56">
        <v>3.441</v>
      </c>
    </row>
    <row r="2094" ht="15.75" customHeight="1">
      <c r="B2094" s="370">
        <f t="shared" si="2"/>
        <v>0.2420138889</v>
      </c>
      <c r="C2094" s="56">
        <f t="shared" si="3"/>
        <v>20910</v>
      </c>
      <c r="D2094" s="56">
        <v>3.475</v>
      </c>
    </row>
    <row r="2095" ht="15.75" customHeight="1">
      <c r="B2095" s="370">
        <f t="shared" si="2"/>
        <v>0.2421296296</v>
      </c>
      <c r="C2095" s="56">
        <f t="shared" si="3"/>
        <v>20920</v>
      </c>
      <c r="D2095" s="56">
        <v>3.5</v>
      </c>
    </row>
    <row r="2096" ht="15.75" customHeight="1">
      <c r="B2096" s="370">
        <f t="shared" si="2"/>
        <v>0.2422453704</v>
      </c>
      <c r="C2096" s="56">
        <f t="shared" si="3"/>
        <v>20930</v>
      </c>
      <c r="D2096" s="56">
        <v>3.168</v>
      </c>
    </row>
    <row r="2097" ht="15.75" customHeight="1">
      <c r="B2097" s="370">
        <f t="shared" si="2"/>
        <v>0.2423611111</v>
      </c>
      <c r="C2097" s="56">
        <f t="shared" si="3"/>
        <v>20940</v>
      </c>
      <c r="D2097" s="56">
        <v>2.476</v>
      </c>
    </row>
    <row r="2098" ht="15.75" customHeight="1">
      <c r="B2098" s="370">
        <f t="shared" si="2"/>
        <v>0.2424768519</v>
      </c>
      <c r="C2098" s="56">
        <f t="shared" si="3"/>
        <v>20950</v>
      </c>
      <c r="D2098" s="56">
        <v>1.962</v>
      </c>
    </row>
    <row r="2099" ht="15.75" customHeight="1">
      <c r="B2099" s="370">
        <f t="shared" si="2"/>
        <v>0.2425925926</v>
      </c>
      <c r="C2099" s="56">
        <f t="shared" si="3"/>
        <v>20960</v>
      </c>
      <c r="D2099" s="56">
        <v>2.277</v>
      </c>
    </row>
    <row r="2100" ht="15.75" customHeight="1">
      <c r="B2100" s="370">
        <f t="shared" si="2"/>
        <v>0.2427083333</v>
      </c>
      <c r="C2100" s="56">
        <f t="shared" si="3"/>
        <v>20970</v>
      </c>
      <c r="D2100" s="56">
        <v>2.681</v>
      </c>
    </row>
    <row r="2101" ht="15.75" customHeight="1">
      <c r="B2101" s="370">
        <f t="shared" si="2"/>
        <v>0.2428240741</v>
      </c>
      <c r="C2101" s="56">
        <f t="shared" si="3"/>
        <v>20980</v>
      </c>
      <c r="D2101" s="56">
        <v>3.057</v>
      </c>
    </row>
    <row r="2102" ht="15.75" customHeight="1">
      <c r="B2102" s="370">
        <f t="shared" si="2"/>
        <v>0.2429398148</v>
      </c>
      <c r="C2102" s="56">
        <f t="shared" si="3"/>
        <v>20990</v>
      </c>
      <c r="D2102" s="56">
        <v>3.35</v>
      </c>
    </row>
    <row r="2103" ht="15.75" customHeight="1">
      <c r="B2103" s="370">
        <f t="shared" si="2"/>
        <v>0.2430555556</v>
      </c>
      <c r="C2103" s="56">
        <f t="shared" si="3"/>
        <v>21000</v>
      </c>
      <c r="D2103" s="56">
        <v>3.272</v>
      </c>
    </row>
    <row r="2104" ht="15.75" customHeight="1">
      <c r="B2104" s="370">
        <f t="shared" si="2"/>
        <v>0.2431712963</v>
      </c>
      <c r="C2104" s="56">
        <f t="shared" si="3"/>
        <v>21010</v>
      </c>
      <c r="D2104" s="56">
        <v>3.165</v>
      </c>
    </row>
    <row r="2105" ht="15.75" customHeight="1">
      <c r="B2105" s="370">
        <f t="shared" si="2"/>
        <v>0.243287037</v>
      </c>
      <c r="C2105" s="56">
        <f t="shared" si="3"/>
        <v>21020</v>
      </c>
      <c r="D2105" s="56">
        <v>2.954</v>
      </c>
    </row>
    <row r="2106" ht="15.75" customHeight="1">
      <c r="B2106" s="370">
        <f t="shared" si="2"/>
        <v>0.2434027778</v>
      </c>
      <c r="C2106" s="56">
        <f t="shared" si="3"/>
        <v>21030</v>
      </c>
      <c r="D2106" s="56">
        <v>2.636</v>
      </c>
    </row>
    <row r="2107" ht="15.75" customHeight="1">
      <c r="B2107" s="370">
        <f t="shared" si="2"/>
        <v>0.2435185185</v>
      </c>
      <c r="C2107" s="56">
        <f t="shared" si="3"/>
        <v>21040</v>
      </c>
      <c r="D2107" s="56">
        <v>2.731</v>
      </c>
    </row>
    <row r="2108" ht="15.75" customHeight="1">
      <c r="B2108" s="370">
        <f t="shared" si="2"/>
        <v>0.2436342593</v>
      </c>
      <c r="C2108" s="56">
        <f t="shared" si="3"/>
        <v>21050</v>
      </c>
      <c r="D2108" s="56">
        <v>2.749</v>
      </c>
    </row>
    <row r="2109" ht="15.75" customHeight="1">
      <c r="B2109" s="370">
        <f t="shared" si="2"/>
        <v>0.24375</v>
      </c>
      <c r="C2109" s="56">
        <f t="shared" si="3"/>
        <v>21060</v>
      </c>
      <c r="D2109" s="56">
        <v>2.687</v>
      </c>
    </row>
    <row r="2110" ht="15.75" customHeight="1">
      <c r="B2110" s="370">
        <f t="shared" si="2"/>
        <v>0.2438657407</v>
      </c>
      <c r="C2110" s="56">
        <f t="shared" si="3"/>
        <v>21070</v>
      </c>
      <c r="D2110" s="56">
        <v>2.613</v>
      </c>
    </row>
    <row r="2111" ht="15.75" customHeight="1">
      <c r="B2111" s="370">
        <f t="shared" si="2"/>
        <v>0.2439814815</v>
      </c>
      <c r="C2111" s="56">
        <f t="shared" si="3"/>
        <v>21080</v>
      </c>
      <c r="D2111" s="56">
        <v>2.347</v>
      </c>
    </row>
    <row r="2112" ht="15.75" customHeight="1">
      <c r="B2112" s="370">
        <f t="shared" si="2"/>
        <v>0.2440972222</v>
      </c>
      <c r="C2112" s="56">
        <f t="shared" si="3"/>
        <v>21090</v>
      </c>
      <c r="D2112" s="56">
        <v>3.031</v>
      </c>
    </row>
    <row r="2113" ht="15.75" customHeight="1">
      <c r="B2113" s="370">
        <f t="shared" si="2"/>
        <v>0.244212963</v>
      </c>
      <c r="C2113" s="56">
        <f t="shared" si="3"/>
        <v>21100</v>
      </c>
      <c r="D2113" s="56">
        <v>3.367</v>
      </c>
    </row>
    <row r="2114" ht="15.75" customHeight="1">
      <c r="B2114" s="370">
        <f t="shared" si="2"/>
        <v>0.2443287037</v>
      </c>
      <c r="C2114" s="56">
        <f t="shared" si="3"/>
        <v>21110</v>
      </c>
      <c r="D2114" s="56">
        <v>3.41</v>
      </c>
    </row>
    <row r="2115" ht="15.75" customHeight="1">
      <c r="B2115" s="370">
        <f t="shared" si="2"/>
        <v>0.2444444444</v>
      </c>
      <c r="C2115" s="56">
        <f t="shared" si="3"/>
        <v>21120</v>
      </c>
      <c r="D2115" s="56">
        <v>3.468</v>
      </c>
    </row>
    <row r="2116" ht="15.75" customHeight="1">
      <c r="B2116" s="370">
        <f t="shared" si="2"/>
        <v>0.2445601852</v>
      </c>
      <c r="C2116" s="56">
        <f t="shared" si="3"/>
        <v>21130</v>
      </c>
      <c r="D2116" s="56">
        <v>3.218</v>
      </c>
    </row>
    <row r="2117" ht="15.75" customHeight="1">
      <c r="B2117" s="370">
        <f t="shared" si="2"/>
        <v>0.2446759259</v>
      </c>
      <c r="C2117" s="56">
        <f t="shared" si="3"/>
        <v>21140</v>
      </c>
      <c r="D2117" s="56">
        <v>2.623</v>
      </c>
    </row>
    <row r="2118" ht="15.75" customHeight="1">
      <c r="B2118" s="370">
        <f t="shared" si="2"/>
        <v>0.2447916667</v>
      </c>
      <c r="C2118" s="56">
        <f t="shared" si="3"/>
        <v>21150</v>
      </c>
      <c r="D2118" s="56">
        <v>2.055</v>
      </c>
    </row>
    <row r="2119" ht="15.75" customHeight="1">
      <c r="B2119" s="370">
        <f t="shared" si="2"/>
        <v>0.2449074074</v>
      </c>
      <c r="C2119" s="56">
        <f t="shared" si="3"/>
        <v>21160</v>
      </c>
      <c r="D2119" s="56">
        <v>2.103</v>
      </c>
    </row>
    <row r="2120" ht="15.75" customHeight="1">
      <c r="B2120" s="370">
        <f t="shared" si="2"/>
        <v>0.2450231481</v>
      </c>
      <c r="C2120" s="56">
        <f t="shared" si="3"/>
        <v>21170</v>
      </c>
      <c r="D2120" s="56">
        <v>2.546</v>
      </c>
    </row>
    <row r="2121" ht="15.75" customHeight="1">
      <c r="B2121" s="370">
        <f t="shared" si="2"/>
        <v>0.2451388889</v>
      </c>
      <c r="C2121" s="56">
        <f t="shared" si="3"/>
        <v>21180</v>
      </c>
      <c r="D2121" s="56">
        <v>3.029</v>
      </c>
    </row>
    <row r="2122" ht="15.75" customHeight="1">
      <c r="B2122" s="370">
        <f t="shared" si="2"/>
        <v>0.2452546296</v>
      </c>
      <c r="C2122" s="56">
        <f t="shared" si="3"/>
        <v>21190</v>
      </c>
      <c r="D2122" s="56">
        <v>3.41</v>
      </c>
    </row>
    <row r="2123" ht="15.75" customHeight="1">
      <c r="B2123" s="370">
        <f t="shared" si="2"/>
        <v>0.2453703704</v>
      </c>
      <c r="C2123" s="56">
        <f t="shared" si="3"/>
        <v>21200</v>
      </c>
      <c r="D2123" s="56">
        <v>3.37</v>
      </c>
    </row>
    <row r="2124" ht="15.75" customHeight="1">
      <c r="B2124" s="370">
        <f t="shared" si="2"/>
        <v>0.2454861111</v>
      </c>
      <c r="C2124" s="56">
        <f t="shared" si="3"/>
        <v>21210</v>
      </c>
      <c r="D2124" s="56">
        <v>3.32</v>
      </c>
    </row>
    <row r="2125" ht="15.75" customHeight="1">
      <c r="B2125" s="370">
        <f t="shared" si="2"/>
        <v>0.2456018519</v>
      </c>
      <c r="C2125" s="56">
        <f t="shared" si="3"/>
        <v>21220</v>
      </c>
      <c r="D2125" s="56">
        <v>3.121</v>
      </c>
    </row>
    <row r="2126" ht="15.75" customHeight="1">
      <c r="B2126" s="370">
        <f t="shared" si="2"/>
        <v>0.2457175926</v>
      </c>
      <c r="C2126" s="56">
        <f t="shared" si="3"/>
        <v>21230</v>
      </c>
      <c r="D2126" s="56">
        <v>2.499</v>
      </c>
    </row>
    <row r="2127" ht="15.75" customHeight="1">
      <c r="B2127" s="370">
        <f t="shared" si="2"/>
        <v>0.2458333333</v>
      </c>
      <c r="C2127" s="56">
        <f t="shared" si="3"/>
        <v>21240</v>
      </c>
      <c r="D2127" s="56">
        <v>2.616</v>
      </c>
    </row>
    <row r="2128" ht="15.75" customHeight="1">
      <c r="B2128" s="370">
        <f t="shared" si="2"/>
        <v>0.2459490741</v>
      </c>
      <c r="C2128" s="56">
        <f t="shared" si="3"/>
        <v>21250</v>
      </c>
      <c r="D2128" s="56">
        <v>2.717</v>
      </c>
    </row>
    <row r="2129" ht="15.75" customHeight="1">
      <c r="B2129" s="370">
        <f t="shared" si="2"/>
        <v>0.2460648148</v>
      </c>
      <c r="C2129" s="56">
        <f t="shared" si="3"/>
        <v>21260</v>
      </c>
      <c r="D2129" s="56">
        <v>2.718</v>
      </c>
    </row>
    <row r="2130" ht="15.75" customHeight="1">
      <c r="B2130" s="370">
        <f t="shared" si="2"/>
        <v>0.2461805556</v>
      </c>
      <c r="C2130" s="56">
        <f t="shared" si="3"/>
        <v>21270</v>
      </c>
      <c r="D2130" s="56">
        <v>2.721</v>
      </c>
    </row>
    <row r="2131" ht="15.75" customHeight="1">
      <c r="B2131" s="370">
        <f t="shared" si="2"/>
        <v>0.2462962963</v>
      </c>
      <c r="C2131" s="56">
        <f t="shared" si="3"/>
        <v>21280</v>
      </c>
      <c r="D2131" s="56">
        <v>2.574</v>
      </c>
    </row>
    <row r="2132" ht="15.75" customHeight="1">
      <c r="B2132" s="370">
        <f t="shared" si="2"/>
        <v>0.246412037</v>
      </c>
      <c r="C2132" s="56">
        <f t="shared" si="3"/>
        <v>21290</v>
      </c>
      <c r="D2132" s="56">
        <v>2.822</v>
      </c>
    </row>
    <row r="2133" ht="15.75" customHeight="1">
      <c r="B2133" s="370">
        <f t="shared" si="2"/>
        <v>0.2465277778</v>
      </c>
      <c r="C2133" s="56">
        <f t="shared" si="3"/>
        <v>21300</v>
      </c>
      <c r="D2133" s="56">
        <v>3.253</v>
      </c>
    </row>
    <row r="2134" ht="15.75" customHeight="1">
      <c r="B2134" s="370">
        <f t="shared" si="2"/>
        <v>0.2466435185</v>
      </c>
      <c r="C2134" s="56">
        <f t="shared" si="3"/>
        <v>21310</v>
      </c>
      <c r="D2134" s="56">
        <v>3.315</v>
      </c>
    </row>
    <row r="2135" ht="15.75" customHeight="1">
      <c r="B2135" s="370">
        <f t="shared" si="2"/>
        <v>0.2467592593</v>
      </c>
      <c r="C2135" s="56">
        <f t="shared" si="3"/>
        <v>21320</v>
      </c>
      <c r="D2135" s="56">
        <v>3.398</v>
      </c>
    </row>
    <row r="2136" ht="15.75" customHeight="1">
      <c r="B2136" s="370">
        <f t="shared" si="2"/>
        <v>0.246875</v>
      </c>
      <c r="C2136" s="56">
        <f t="shared" si="3"/>
        <v>21330</v>
      </c>
      <c r="D2136" s="56">
        <v>3.232</v>
      </c>
    </row>
    <row r="2137" ht="15.75" customHeight="1">
      <c r="B2137" s="370">
        <f t="shared" si="2"/>
        <v>0.2469907407</v>
      </c>
      <c r="C2137" s="56">
        <f t="shared" si="3"/>
        <v>21340</v>
      </c>
      <c r="D2137" s="56">
        <v>2.729</v>
      </c>
    </row>
    <row r="2138" ht="15.75" customHeight="1">
      <c r="B2138" s="370">
        <f t="shared" si="2"/>
        <v>0.2471064815</v>
      </c>
      <c r="C2138" s="56">
        <f t="shared" si="3"/>
        <v>21350</v>
      </c>
      <c r="D2138" s="56">
        <v>2.314</v>
      </c>
    </row>
    <row r="2139" ht="15.75" customHeight="1">
      <c r="B2139" s="370">
        <f t="shared" si="2"/>
        <v>0.2472222222</v>
      </c>
      <c r="C2139" s="56">
        <f t="shared" si="3"/>
        <v>21360</v>
      </c>
      <c r="D2139" s="56">
        <v>1.928</v>
      </c>
    </row>
    <row r="2140" ht="15.75" customHeight="1">
      <c r="B2140" s="370">
        <f t="shared" si="2"/>
        <v>0.247337963</v>
      </c>
      <c r="C2140" s="56">
        <f t="shared" si="3"/>
        <v>21370</v>
      </c>
      <c r="D2140" s="56">
        <v>2.403</v>
      </c>
    </row>
    <row r="2141" ht="15.75" customHeight="1">
      <c r="B2141" s="370">
        <f t="shared" si="2"/>
        <v>0.2474537037</v>
      </c>
      <c r="C2141" s="56">
        <f t="shared" si="3"/>
        <v>21380</v>
      </c>
      <c r="D2141" s="56">
        <v>2.968</v>
      </c>
    </row>
    <row r="2142" ht="15.75" customHeight="1">
      <c r="B2142" s="370">
        <f t="shared" si="2"/>
        <v>0.2475694444</v>
      </c>
      <c r="C2142" s="56">
        <f t="shared" si="3"/>
        <v>21390</v>
      </c>
      <c r="D2142" s="56">
        <v>3.446</v>
      </c>
    </row>
    <row r="2143" ht="15.75" customHeight="1">
      <c r="B2143" s="370">
        <f t="shared" si="2"/>
        <v>0.2476851852</v>
      </c>
      <c r="C2143" s="56">
        <f t="shared" si="3"/>
        <v>21400</v>
      </c>
      <c r="D2143" s="56">
        <v>3.457</v>
      </c>
    </row>
    <row r="2144" ht="15.75" customHeight="1">
      <c r="B2144" s="370">
        <f t="shared" si="2"/>
        <v>0.2478009259</v>
      </c>
      <c r="C2144" s="56">
        <f t="shared" si="3"/>
        <v>21410</v>
      </c>
      <c r="D2144" s="56">
        <v>3.413</v>
      </c>
    </row>
    <row r="2145" ht="15.75" customHeight="1">
      <c r="B2145" s="370">
        <f t="shared" si="2"/>
        <v>0.2479166667</v>
      </c>
      <c r="C2145" s="56">
        <f t="shared" si="3"/>
        <v>21420</v>
      </c>
      <c r="D2145" s="56">
        <v>3.255</v>
      </c>
    </row>
    <row r="2146" ht="15.75" customHeight="1">
      <c r="B2146" s="370">
        <f t="shared" si="2"/>
        <v>0.2480324074</v>
      </c>
      <c r="C2146" s="56">
        <f t="shared" si="3"/>
        <v>21430</v>
      </c>
      <c r="D2146" s="56">
        <v>2.449</v>
      </c>
    </row>
    <row r="2147" ht="15.75" customHeight="1">
      <c r="B2147" s="370">
        <f t="shared" si="2"/>
        <v>0.2481481481</v>
      </c>
      <c r="C2147" s="56">
        <f t="shared" si="3"/>
        <v>21440</v>
      </c>
      <c r="D2147" s="56">
        <v>2.466</v>
      </c>
    </row>
    <row r="2148" ht="15.75" customHeight="1">
      <c r="B2148" s="370">
        <f t="shared" si="2"/>
        <v>0.2482638889</v>
      </c>
      <c r="C2148" s="56">
        <f t="shared" si="3"/>
        <v>21450</v>
      </c>
      <c r="D2148" s="56">
        <v>2.651</v>
      </c>
    </row>
    <row r="2149" ht="15.75" customHeight="1">
      <c r="B2149" s="370">
        <f t="shared" si="2"/>
        <v>0.2483796296</v>
      </c>
      <c r="C2149" s="56">
        <f t="shared" si="3"/>
        <v>21460</v>
      </c>
      <c r="D2149" s="56">
        <v>2.713</v>
      </c>
    </row>
    <row r="2150" ht="15.75" customHeight="1">
      <c r="B2150" s="370">
        <f t="shared" si="2"/>
        <v>0.2484953704</v>
      </c>
      <c r="C2150" s="56">
        <f t="shared" si="3"/>
        <v>21470</v>
      </c>
      <c r="D2150" s="56">
        <v>2.793</v>
      </c>
    </row>
    <row r="2151" ht="15.75" customHeight="1">
      <c r="B2151" s="370">
        <f t="shared" si="2"/>
        <v>0.2486111111</v>
      </c>
      <c r="C2151" s="56">
        <f t="shared" si="3"/>
        <v>21480</v>
      </c>
      <c r="D2151" s="56">
        <v>2.694</v>
      </c>
    </row>
    <row r="2152" ht="15.75" customHeight="1">
      <c r="B2152" s="370">
        <f t="shared" si="2"/>
        <v>0.2487268519</v>
      </c>
      <c r="C2152" s="56">
        <f t="shared" si="3"/>
        <v>21490</v>
      </c>
      <c r="D2152" s="56">
        <v>2.69</v>
      </c>
    </row>
    <row r="2153" ht="15.75" customHeight="1">
      <c r="B2153" s="370">
        <f t="shared" si="2"/>
        <v>0.2488425926</v>
      </c>
      <c r="C2153" s="56">
        <f t="shared" si="3"/>
        <v>21500</v>
      </c>
      <c r="D2153" s="56">
        <v>3.066</v>
      </c>
    </row>
    <row r="2154" ht="15.75" customHeight="1">
      <c r="B2154" s="370">
        <f t="shared" si="2"/>
        <v>0.2489583333</v>
      </c>
      <c r="C2154" s="56">
        <f t="shared" si="3"/>
        <v>21510</v>
      </c>
      <c r="D2154" s="56">
        <v>3.2</v>
      </c>
    </row>
    <row r="2155" ht="15.75" customHeight="1">
      <c r="B2155" s="370">
        <f t="shared" si="2"/>
        <v>0.2490740741</v>
      </c>
      <c r="C2155" s="56">
        <f t="shared" si="3"/>
        <v>21520</v>
      </c>
      <c r="D2155" s="56">
        <v>3.31</v>
      </c>
    </row>
    <row r="2156" ht="15.75" customHeight="1">
      <c r="B2156" s="370">
        <f t="shared" si="2"/>
        <v>0.2491898148</v>
      </c>
      <c r="C2156" s="56">
        <f t="shared" si="3"/>
        <v>21530</v>
      </c>
      <c r="D2156" s="56">
        <v>3.213</v>
      </c>
    </row>
    <row r="2157" ht="15.75" customHeight="1">
      <c r="B2157" s="370">
        <f t="shared" si="2"/>
        <v>0.2493055556</v>
      </c>
      <c r="C2157" s="56">
        <f t="shared" si="3"/>
        <v>21540</v>
      </c>
      <c r="D2157" s="56">
        <v>2.817</v>
      </c>
    </row>
    <row r="2158" ht="15.75" customHeight="1">
      <c r="B2158" s="370">
        <f t="shared" si="2"/>
        <v>0.2494212963</v>
      </c>
      <c r="C2158" s="56">
        <f t="shared" si="3"/>
        <v>21550</v>
      </c>
      <c r="D2158" s="56">
        <v>2.472</v>
      </c>
    </row>
    <row r="2159" ht="15.75" customHeight="1">
      <c r="B2159" s="370">
        <f t="shared" si="2"/>
        <v>0.249537037</v>
      </c>
      <c r="C2159" s="56">
        <f t="shared" si="3"/>
        <v>21560</v>
      </c>
      <c r="D2159" s="56">
        <v>2.136</v>
      </c>
    </row>
    <row r="2160" ht="15.75" customHeight="1">
      <c r="B2160" s="370">
        <f t="shared" si="2"/>
        <v>0.2496527778</v>
      </c>
      <c r="C2160" s="56">
        <f t="shared" si="3"/>
        <v>21570</v>
      </c>
      <c r="D2160" s="56">
        <v>2.188</v>
      </c>
    </row>
    <row r="2161" ht="15.75" customHeight="1">
      <c r="B2161" s="370">
        <f t="shared" si="2"/>
        <v>0.2497685185</v>
      </c>
      <c r="C2161" s="56">
        <f t="shared" si="3"/>
        <v>21580</v>
      </c>
      <c r="D2161" s="56">
        <v>2.869</v>
      </c>
    </row>
    <row r="2162" ht="15.75" customHeight="1">
      <c r="B2162" s="370">
        <f t="shared" si="2"/>
        <v>0.2498842593</v>
      </c>
      <c r="C2162" s="56">
        <f t="shared" si="3"/>
        <v>21590</v>
      </c>
      <c r="D2162" s="56">
        <v>3.443</v>
      </c>
    </row>
    <row r="2163" ht="15.75" customHeight="1">
      <c r="B2163" s="370">
        <f t="shared" si="2"/>
        <v>0.25</v>
      </c>
      <c r="C2163" s="56">
        <f t="shared" si="3"/>
        <v>21600</v>
      </c>
      <c r="D2163" s="56">
        <v>3.505</v>
      </c>
    </row>
    <row r="2164" ht="15.75" customHeight="1">
      <c r="B2164" s="370">
        <f t="shared" si="2"/>
        <v>0.2501157407</v>
      </c>
      <c r="C2164" s="56">
        <f t="shared" si="3"/>
        <v>21610</v>
      </c>
      <c r="D2164" s="56">
        <v>3.472</v>
      </c>
    </row>
    <row r="2165" ht="15.75" customHeight="1">
      <c r="B2165" s="370">
        <f t="shared" si="2"/>
        <v>0.2502314815</v>
      </c>
      <c r="C2165" s="56">
        <f t="shared" si="3"/>
        <v>21620</v>
      </c>
      <c r="D2165" s="56">
        <v>3.358</v>
      </c>
    </row>
    <row r="2166" ht="15.75" customHeight="1">
      <c r="B2166" s="370">
        <f t="shared" si="2"/>
        <v>0.2503472222</v>
      </c>
      <c r="C2166" s="56">
        <f t="shared" si="3"/>
        <v>21630</v>
      </c>
      <c r="D2166" s="56">
        <v>2.732</v>
      </c>
    </row>
    <row r="2167" ht="15.75" customHeight="1">
      <c r="B2167" s="370">
        <f t="shared" si="2"/>
        <v>0.250462963</v>
      </c>
      <c r="C2167" s="56">
        <f t="shared" si="3"/>
        <v>21640</v>
      </c>
      <c r="D2167" s="56">
        <v>2.211</v>
      </c>
    </row>
    <row r="2168" ht="15.75" customHeight="1">
      <c r="B2168" s="370">
        <f t="shared" si="2"/>
        <v>0.2505787037</v>
      </c>
      <c r="C2168" s="56">
        <f t="shared" si="3"/>
        <v>21650</v>
      </c>
      <c r="D2168" s="56">
        <v>2.546</v>
      </c>
    </row>
    <row r="2169" ht="15.75" customHeight="1">
      <c r="B2169" s="370">
        <f t="shared" si="2"/>
        <v>0.2506944444</v>
      </c>
      <c r="C2169" s="56">
        <f t="shared" si="3"/>
        <v>21660</v>
      </c>
      <c r="D2169" s="56">
        <v>2.678</v>
      </c>
    </row>
    <row r="2170" ht="15.75" customHeight="1">
      <c r="B2170" s="370">
        <f t="shared" si="2"/>
        <v>0.2508101852</v>
      </c>
      <c r="C2170" s="56">
        <f t="shared" si="3"/>
        <v>21670</v>
      </c>
      <c r="D2170" s="56">
        <v>2.83</v>
      </c>
    </row>
    <row r="2171" ht="15.75" customHeight="1">
      <c r="B2171" s="370">
        <f t="shared" si="2"/>
        <v>0.2509259259</v>
      </c>
      <c r="C2171" s="56">
        <f t="shared" si="3"/>
        <v>21680</v>
      </c>
      <c r="D2171" s="56">
        <v>2.87</v>
      </c>
    </row>
    <row r="2172" ht="15.75" customHeight="1">
      <c r="B2172" s="370">
        <f t="shared" si="2"/>
        <v>0.2510416667</v>
      </c>
      <c r="C2172" s="56">
        <f t="shared" si="3"/>
        <v>21690</v>
      </c>
      <c r="D2172" s="56">
        <v>2.855</v>
      </c>
    </row>
    <row r="2173" ht="15.75" customHeight="1">
      <c r="B2173" s="370">
        <f t="shared" si="2"/>
        <v>0.2511574074</v>
      </c>
      <c r="C2173" s="56">
        <f t="shared" si="3"/>
        <v>21700</v>
      </c>
      <c r="D2173" s="56">
        <v>2.956</v>
      </c>
    </row>
    <row r="2174" ht="15.75" customHeight="1">
      <c r="B2174" s="370">
        <f t="shared" si="2"/>
        <v>0.2512731481</v>
      </c>
      <c r="C2174" s="56">
        <f t="shared" si="3"/>
        <v>21710</v>
      </c>
      <c r="D2174" s="56">
        <v>3.034</v>
      </c>
    </row>
    <row r="2175" ht="15.75" customHeight="1">
      <c r="B2175" s="370">
        <f t="shared" si="2"/>
        <v>0.2513888889</v>
      </c>
      <c r="C2175" s="56">
        <f t="shared" si="3"/>
        <v>21720</v>
      </c>
      <c r="D2175" s="56">
        <v>3.178</v>
      </c>
    </row>
    <row r="2176" ht="15.75" customHeight="1">
      <c r="B2176" s="370">
        <f t="shared" si="2"/>
        <v>0.2515046296</v>
      </c>
      <c r="C2176" s="56">
        <f t="shared" si="3"/>
        <v>21730</v>
      </c>
      <c r="D2176" s="56">
        <v>3.158</v>
      </c>
    </row>
    <row r="2177" ht="15.75" customHeight="1">
      <c r="B2177" s="370">
        <f t="shared" si="2"/>
        <v>0.2516203704</v>
      </c>
      <c r="C2177" s="56">
        <f t="shared" si="3"/>
        <v>21740</v>
      </c>
      <c r="D2177" s="56">
        <v>2.862</v>
      </c>
    </row>
    <row r="2178" ht="15.75" customHeight="1">
      <c r="B2178" s="370">
        <f t="shared" si="2"/>
        <v>0.2517361111</v>
      </c>
      <c r="C2178" s="56">
        <f t="shared" si="3"/>
        <v>21750</v>
      </c>
      <c r="D2178" s="56">
        <v>2.59</v>
      </c>
    </row>
    <row r="2179" ht="15.75" customHeight="1">
      <c r="B2179" s="370">
        <f t="shared" si="2"/>
        <v>0.2518518519</v>
      </c>
      <c r="C2179" s="56">
        <f t="shared" si="3"/>
        <v>21760</v>
      </c>
      <c r="D2179" s="56">
        <v>2.263</v>
      </c>
    </row>
    <row r="2180" ht="15.75" customHeight="1">
      <c r="B2180" s="370">
        <f t="shared" si="2"/>
        <v>0.2519675926</v>
      </c>
      <c r="C2180" s="56">
        <f t="shared" si="3"/>
        <v>21770</v>
      </c>
      <c r="D2180" s="56">
        <v>2.012</v>
      </c>
    </row>
    <row r="2181" ht="15.75" customHeight="1">
      <c r="B2181" s="370">
        <f t="shared" si="2"/>
        <v>0.2520833333</v>
      </c>
      <c r="C2181" s="56">
        <f t="shared" si="3"/>
        <v>21780</v>
      </c>
      <c r="D2181" s="56">
        <v>2.712</v>
      </c>
    </row>
    <row r="2182" ht="15.75" customHeight="1">
      <c r="B2182" s="370">
        <f t="shared" si="2"/>
        <v>0.2521990741</v>
      </c>
      <c r="C2182" s="56">
        <f t="shared" si="3"/>
        <v>21790</v>
      </c>
      <c r="D2182" s="56">
        <v>3.403</v>
      </c>
    </row>
    <row r="2183" ht="15.75" customHeight="1">
      <c r="B2183" s="370">
        <f t="shared" si="2"/>
        <v>0.2523148148</v>
      </c>
      <c r="C2183" s="56">
        <f t="shared" si="3"/>
        <v>21800</v>
      </c>
      <c r="D2183" s="56">
        <v>3.524</v>
      </c>
    </row>
    <row r="2184" ht="15.75" customHeight="1">
      <c r="B2184" s="370">
        <f t="shared" si="2"/>
        <v>0.2524305556</v>
      </c>
      <c r="C2184" s="56">
        <f t="shared" si="3"/>
        <v>21810</v>
      </c>
      <c r="D2184" s="56">
        <v>3.511</v>
      </c>
    </row>
    <row r="2185" ht="15.75" customHeight="1">
      <c r="B2185" s="370">
        <f t="shared" si="2"/>
        <v>0.2525462963</v>
      </c>
      <c r="C2185" s="56">
        <f t="shared" si="3"/>
        <v>21820</v>
      </c>
      <c r="D2185" s="56">
        <v>3.445</v>
      </c>
    </row>
    <row r="2186" ht="15.75" customHeight="1">
      <c r="B2186" s="370">
        <f t="shared" si="2"/>
        <v>0.252662037</v>
      </c>
      <c r="C2186" s="56">
        <f t="shared" si="3"/>
        <v>21830</v>
      </c>
      <c r="D2186" s="56">
        <v>2.9</v>
      </c>
    </row>
    <row r="2187" ht="15.75" customHeight="1">
      <c r="B2187" s="370">
        <f t="shared" si="2"/>
        <v>0.2527777778</v>
      </c>
      <c r="C2187" s="56">
        <f t="shared" si="3"/>
        <v>21840</v>
      </c>
      <c r="D2187" s="56">
        <v>2.073</v>
      </c>
    </row>
    <row r="2188" ht="15.75" customHeight="1">
      <c r="B2188" s="370">
        <f t="shared" si="2"/>
        <v>0.2528935185</v>
      </c>
      <c r="C2188" s="56">
        <f t="shared" si="3"/>
        <v>21850</v>
      </c>
      <c r="D2188" s="56">
        <v>2.415</v>
      </c>
    </row>
    <row r="2189" ht="15.75" customHeight="1">
      <c r="B2189" s="370">
        <f t="shared" si="2"/>
        <v>0.2530092593</v>
      </c>
      <c r="C2189" s="56">
        <f t="shared" si="3"/>
        <v>21860</v>
      </c>
      <c r="D2189" s="56">
        <v>2.606</v>
      </c>
    </row>
    <row r="2190" ht="15.75" customHeight="1">
      <c r="B2190" s="370">
        <f t="shared" si="2"/>
        <v>0.253125</v>
      </c>
      <c r="C2190" s="56">
        <f t="shared" si="3"/>
        <v>21870</v>
      </c>
      <c r="D2190" s="56">
        <v>2.832</v>
      </c>
    </row>
    <row r="2191" ht="15.75" customHeight="1">
      <c r="B2191" s="370">
        <f t="shared" si="2"/>
        <v>0.2532407407</v>
      </c>
      <c r="C2191" s="56">
        <f t="shared" si="3"/>
        <v>21880</v>
      </c>
      <c r="D2191" s="56">
        <v>2.968</v>
      </c>
    </row>
    <row r="2192" ht="15.75" customHeight="1">
      <c r="B2192" s="370">
        <f t="shared" si="2"/>
        <v>0.2533564815</v>
      </c>
      <c r="C2192" s="56">
        <f t="shared" si="3"/>
        <v>21890</v>
      </c>
      <c r="D2192" s="56">
        <v>3.048</v>
      </c>
    </row>
    <row r="2193" ht="15.75" customHeight="1">
      <c r="B2193" s="370">
        <f t="shared" si="2"/>
        <v>0.2534722222</v>
      </c>
      <c r="C2193" s="56">
        <f t="shared" si="3"/>
        <v>21900</v>
      </c>
      <c r="D2193" s="56">
        <v>2.867</v>
      </c>
    </row>
    <row r="2194" ht="15.75" customHeight="1">
      <c r="B2194" s="370">
        <f t="shared" si="2"/>
        <v>0.253587963</v>
      </c>
      <c r="C2194" s="56">
        <f t="shared" si="3"/>
        <v>21910</v>
      </c>
      <c r="D2194" s="56">
        <v>2.904</v>
      </c>
    </row>
    <row r="2195" ht="15.75" customHeight="1">
      <c r="B2195" s="370">
        <f t="shared" si="2"/>
        <v>0.2537037037</v>
      </c>
      <c r="C2195" s="56">
        <f t="shared" si="3"/>
        <v>21920</v>
      </c>
      <c r="D2195" s="56">
        <v>2.971</v>
      </c>
    </row>
    <row r="2196" ht="15.75" customHeight="1">
      <c r="B2196" s="370">
        <f t="shared" si="2"/>
        <v>0.2538194444</v>
      </c>
      <c r="C2196" s="56">
        <f t="shared" si="3"/>
        <v>21930</v>
      </c>
      <c r="D2196" s="56">
        <v>3.062</v>
      </c>
    </row>
    <row r="2197" ht="15.75" customHeight="1">
      <c r="B2197" s="370">
        <f t="shared" si="2"/>
        <v>0.2539351852</v>
      </c>
      <c r="C2197" s="56">
        <f t="shared" si="3"/>
        <v>21940</v>
      </c>
      <c r="D2197" s="56">
        <v>2.869</v>
      </c>
    </row>
    <row r="2198" ht="15.75" customHeight="1">
      <c r="B2198" s="370">
        <f t="shared" si="2"/>
        <v>0.2540509259</v>
      </c>
      <c r="C2198" s="56">
        <f t="shared" si="3"/>
        <v>21950</v>
      </c>
      <c r="D2198" s="56">
        <v>2.681</v>
      </c>
    </row>
    <row r="2199" ht="15.75" customHeight="1">
      <c r="B2199" s="370">
        <f t="shared" si="2"/>
        <v>0.2541666667</v>
      </c>
      <c r="C2199" s="56">
        <f t="shared" si="3"/>
        <v>21960</v>
      </c>
      <c r="D2199" s="56">
        <v>2.459</v>
      </c>
    </row>
    <row r="2200" ht="15.75" customHeight="1">
      <c r="B2200" s="370">
        <f t="shared" si="2"/>
        <v>0.2542824074</v>
      </c>
      <c r="C2200" s="56">
        <f t="shared" si="3"/>
        <v>21970</v>
      </c>
      <c r="D2200" s="56">
        <v>2.182</v>
      </c>
    </row>
    <row r="2201" ht="15.75" customHeight="1">
      <c r="B2201" s="370">
        <f t="shared" si="2"/>
        <v>0.2543981481</v>
      </c>
      <c r="C2201" s="56">
        <f t="shared" si="3"/>
        <v>21980</v>
      </c>
      <c r="D2201" s="56">
        <v>2.572</v>
      </c>
    </row>
    <row r="2202" ht="15.75" customHeight="1">
      <c r="B2202" s="370">
        <f t="shared" si="2"/>
        <v>0.2545138889</v>
      </c>
      <c r="C2202" s="56">
        <f t="shared" si="3"/>
        <v>21990</v>
      </c>
      <c r="D2202" s="56">
        <v>3.34</v>
      </c>
    </row>
    <row r="2203" ht="15.75" customHeight="1">
      <c r="B2203" s="370">
        <f t="shared" si="2"/>
        <v>0.2546296296</v>
      </c>
      <c r="C2203" s="56">
        <f t="shared" si="3"/>
        <v>22000</v>
      </c>
      <c r="D2203" s="56">
        <v>3.515</v>
      </c>
    </row>
    <row r="2204" ht="15.75" customHeight="1">
      <c r="B2204" s="370">
        <f t="shared" si="2"/>
        <v>0.2547453704</v>
      </c>
      <c r="C2204" s="56">
        <f t="shared" si="3"/>
        <v>22010</v>
      </c>
      <c r="D2204" s="56">
        <v>3.52</v>
      </c>
    </row>
    <row r="2205" ht="15.75" customHeight="1">
      <c r="B2205" s="370">
        <f t="shared" si="2"/>
        <v>0.2548611111</v>
      </c>
      <c r="C2205" s="56">
        <f t="shared" si="3"/>
        <v>22020</v>
      </c>
      <c r="D2205" s="56">
        <v>3.49</v>
      </c>
    </row>
    <row r="2206" ht="15.75" customHeight="1">
      <c r="B2206" s="370">
        <f t="shared" si="2"/>
        <v>0.2549768519</v>
      </c>
      <c r="C2206" s="56">
        <f t="shared" si="3"/>
        <v>22030</v>
      </c>
      <c r="D2206" s="56">
        <v>3.03</v>
      </c>
    </row>
    <row r="2207" ht="15.75" customHeight="1">
      <c r="B2207" s="370">
        <f t="shared" si="2"/>
        <v>0.2550925926</v>
      </c>
      <c r="C2207" s="56">
        <f t="shared" si="3"/>
        <v>22040</v>
      </c>
      <c r="D2207" s="56">
        <v>2.114</v>
      </c>
    </row>
    <row r="2208" ht="15.75" customHeight="1">
      <c r="B2208" s="370">
        <f t="shared" si="2"/>
        <v>0.2552083333</v>
      </c>
      <c r="C2208" s="56">
        <f t="shared" si="3"/>
        <v>22050</v>
      </c>
      <c r="D2208" s="56">
        <v>2.247</v>
      </c>
    </row>
    <row r="2209" ht="15.75" customHeight="1">
      <c r="B2209" s="370">
        <f t="shared" si="2"/>
        <v>0.2553240741</v>
      </c>
      <c r="C2209" s="56">
        <f t="shared" si="3"/>
        <v>22060</v>
      </c>
      <c r="D2209" s="56">
        <v>2.5</v>
      </c>
    </row>
    <row r="2210" ht="15.75" customHeight="1">
      <c r="B2210" s="370">
        <f t="shared" si="2"/>
        <v>0.2554398148</v>
      </c>
      <c r="C2210" s="56">
        <f t="shared" si="3"/>
        <v>22070</v>
      </c>
      <c r="D2210" s="56">
        <v>2.796</v>
      </c>
    </row>
    <row r="2211" ht="15.75" customHeight="1">
      <c r="B2211" s="370">
        <f t="shared" si="2"/>
        <v>0.2555555556</v>
      </c>
      <c r="C2211" s="56">
        <f t="shared" si="3"/>
        <v>22080</v>
      </c>
      <c r="D2211" s="56">
        <v>3.029</v>
      </c>
    </row>
    <row r="2212" ht="15.75" customHeight="1">
      <c r="B2212" s="370">
        <f t="shared" si="2"/>
        <v>0.2556712963</v>
      </c>
      <c r="C2212" s="56">
        <f t="shared" si="3"/>
        <v>22090</v>
      </c>
      <c r="D2212" s="56">
        <v>3.165</v>
      </c>
    </row>
    <row r="2213" ht="15.75" customHeight="1">
      <c r="B2213" s="370">
        <f t="shared" si="2"/>
        <v>0.255787037</v>
      </c>
      <c r="C2213" s="56">
        <f t="shared" si="3"/>
        <v>22100</v>
      </c>
      <c r="D2213" s="56">
        <v>3.073</v>
      </c>
    </row>
    <row r="2214" ht="15.75" customHeight="1">
      <c r="B2214" s="370">
        <f t="shared" si="2"/>
        <v>0.2559027778</v>
      </c>
      <c r="C2214" s="56">
        <f t="shared" si="3"/>
        <v>22110</v>
      </c>
      <c r="D2214" s="56">
        <v>2.948</v>
      </c>
    </row>
    <row r="2215" ht="15.75" customHeight="1">
      <c r="B2215" s="370">
        <f t="shared" si="2"/>
        <v>0.2560185185</v>
      </c>
      <c r="C2215" s="56">
        <f t="shared" si="3"/>
        <v>22120</v>
      </c>
      <c r="D2215" s="56">
        <v>2.846</v>
      </c>
    </row>
    <row r="2216" ht="15.75" customHeight="1">
      <c r="B2216" s="370">
        <f t="shared" si="2"/>
        <v>0.2561342593</v>
      </c>
      <c r="C2216" s="56">
        <f t="shared" si="3"/>
        <v>22130</v>
      </c>
      <c r="D2216" s="56">
        <v>2.943</v>
      </c>
    </row>
    <row r="2217" ht="15.75" customHeight="1">
      <c r="B2217" s="370">
        <f t="shared" si="2"/>
        <v>0.25625</v>
      </c>
      <c r="C2217" s="56">
        <f t="shared" si="3"/>
        <v>22140</v>
      </c>
      <c r="D2217" s="56">
        <v>2.84</v>
      </c>
    </row>
    <row r="2218" ht="15.75" customHeight="1">
      <c r="B2218" s="370">
        <f t="shared" si="2"/>
        <v>0.2563657407</v>
      </c>
      <c r="C2218" s="56">
        <f t="shared" si="3"/>
        <v>22150</v>
      </c>
      <c r="D2218" s="56">
        <v>2.734</v>
      </c>
    </row>
    <row r="2219" ht="15.75" customHeight="1">
      <c r="B2219" s="370">
        <f t="shared" si="2"/>
        <v>0.2564814815</v>
      </c>
      <c r="C2219" s="56">
        <f t="shared" si="3"/>
        <v>22160</v>
      </c>
      <c r="D2219" s="56">
        <v>2.579</v>
      </c>
    </row>
    <row r="2220" ht="15.75" customHeight="1">
      <c r="B2220" s="370">
        <f t="shared" si="2"/>
        <v>0.2565972222</v>
      </c>
      <c r="C2220" s="56">
        <f t="shared" si="3"/>
        <v>22170</v>
      </c>
      <c r="D2220" s="56">
        <v>2.395</v>
      </c>
    </row>
    <row r="2221" ht="15.75" customHeight="1">
      <c r="B2221" s="370">
        <f t="shared" si="2"/>
        <v>0.256712963</v>
      </c>
      <c r="C2221" s="56">
        <f t="shared" si="3"/>
        <v>22180</v>
      </c>
      <c r="D2221" s="56">
        <v>2.338</v>
      </c>
    </row>
    <row r="2222" ht="15.75" customHeight="1">
      <c r="B2222" s="370">
        <f t="shared" si="2"/>
        <v>0.2568287037</v>
      </c>
      <c r="C2222" s="56">
        <f t="shared" si="3"/>
        <v>22190</v>
      </c>
      <c r="D2222" s="56">
        <v>3.239</v>
      </c>
    </row>
    <row r="2223" ht="15.75" customHeight="1">
      <c r="B2223" s="370">
        <f t="shared" si="2"/>
        <v>0.2569444444</v>
      </c>
      <c r="C2223" s="56">
        <f t="shared" si="3"/>
        <v>22200</v>
      </c>
      <c r="D2223" s="56">
        <v>3.475</v>
      </c>
    </row>
    <row r="2224" ht="15.75" customHeight="1">
      <c r="B2224" s="370">
        <f t="shared" si="2"/>
        <v>0.2570601852</v>
      </c>
      <c r="C2224" s="56">
        <f t="shared" si="3"/>
        <v>22210</v>
      </c>
      <c r="D2224" s="56">
        <v>3.491</v>
      </c>
    </row>
    <row r="2225" ht="15.75" customHeight="1">
      <c r="B2225" s="370">
        <f t="shared" si="2"/>
        <v>0.2571759259</v>
      </c>
      <c r="C2225" s="56">
        <f t="shared" si="3"/>
        <v>22220</v>
      </c>
      <c r="D2225" s="56">
        <v>3.503</v>
      </c>
    </row>
    <row r="2226" ht="15.75" customHeight="1">
      <c r="B2226" s="370">
        <f t="shared" si="2"/>
        <v>0.2572916667</v>
      </c>
      <c r="C2226" s="56">
        <f t="shared" si="3"/>
        <v>22230</v>
      </c>
      <c r="D2226" s="56">
        <v>3.134</v>
      </c>
    </row>
    <row r="2227" ht="15.75" customHeight="1">
      <c r="B2227" s="370">
        <f t="shared" si="2"/>
        <v>0.2574074074</v>
      </c>
      <c r="C2227" s="56">
        <f t="shared" si="3"/>
        <v>22240</v>
      </c>
      <c r="D2227" s="56">
        <v>2.396</v>
      </c>
    </row>
    <row r="2228" ht="15.75" customHeight="1">
      <c r="B2228" s="370">
        <f t="shared" si="2"/>
        <v>0.2575231481</v>
      </c>
      <c r="C2228" s="56">
        <f t="shared" si="3"/>
        <v>22250</v>
      </c>
      <c r="D2228" s="56">
        <v>1.976</v>
      </c>
    </row>
    <row r="2229" ht="15.75" customHeight="1">
      <c r="B2229" s="370">
        <f t="shared" si="2"/>
        <v>0.2576388889</v>
      </c>
      <c r="C2229" s="56">
        <f t="shared" si="3"/>
        <v>22260</v>
      </c>
      <c r="D2229" s="56">
        <v>2.358</v>
      </c>
    </row>
    <row r="2230" ht="15.75" customHeight="1">
      <c r="B2230" s="370">
        <f t="shared" si="2"/>
        <v>0.2577546296</v>
      </c>
      <c r="C2230" s="56">
        <f t="shared" si="3"/>
        <v>22270</v>
      </c>
      <c r="D2230" s="56">
        <v>2.726</v>
      </c>
    </row>
    <row r="2231" ht="15.75" customHeight="1">
      <c r="B2231" s="370">
        <f t="shared" si="2"/>
        <v>0.2578703704</v>
      </c>
      <c r="C2231" s="56">
        <f t="shared" si="3"/>
        <v>22280</v>
      </c>
      <c r="D2231" s="56">
        <v>3.058</v>
      </c>
    </row>
    <row r="2232" ht="15.75" customHeight="1">
      <c r="B2232" s="370">
        <f t="shared" si="2"/>
        <v>0.2579861111</v>
      </c>
      <c r="C2232" s="56">
        <f t="shared" si="3"/>
        <v>22290</v>
      </c>
      <c r="D2232" s="56">
        <v>3.308</v>
      </c>
    </row>
    <row r="2233" ht="15.75" customHeight="1">
      <c r="B2233" s="370">
        <f t="shared" si="2"/>
        <v>0.2581018519</v>
      </c>
      <c r="C2233" s="56">
        <f t="shared" si="3"/>
        <v>22300</v>
      </c>
      <c r="D2233" s="56">
        <v>3.216</v>
      </c>
    </row>
    <row r="2234" ht="15.75" customHeight="1">
      <c r="B2234" s="370">
        <f t="shared" si="2"/>
        <v>0.2582175926</v>
      </c>
      <c r="C2234" s="56">
        <f t="shared" si="3"/>
        <v>22310</v>
      </c>
      <c r="D2234" s="56">
        <v>3.141</v>
      </c>
    </row>
    <row r="2235" ht="15.75" customHeight="1">
      <c r="B2235" s="370">
        <f t="shared" si="2"/>
        <v>0.2583333333</v>
      </c>
      <c r="C2235" s="56">
        <f t="shared" si="3"/>
        <v>22320</v>
      </c>
      <c r="D2235" s="56">
        <v>2.795</v>
      </c>
    </row>
    <row r="2236" ht="15.75" customHeight="1">
      <c r="B2236" s="370">
        <f t="shared" si="2"/>
        <v>0.2584490741</v>
      </c>
      <c r="C2236" s="56">
        <f t="shared" si="3"/>
        <v>22330</v>
      </c>
      <c r="D2236" s="56">
        <v>2.783</v>
      </c>
    </row>
    <row r="2237" ht="15.75" customHeight="1">
      <c r="B2237" s="370">
        <f t="shared" si="2"/>
        <v>0.2585648148</v>
      </c>
      <c r="C2237" s="56">
        <f t="shared" si="3"/>
        <v>22340</v>
      </c>
      <c r="D2237" s="56">
        <v>2.775</v>
      </c>
    </row>
    <row r="2238" ht="15.75" customHeight="1">
      <c r="B2238" s="370">
        <f t="shared" si="2"/>
        <v>0.2586805556</v>
      </c>
      <c r="C2238" s="56">
        <f t="shared" si="3"/>
        <v>22350</v>
      </c>
      <c r="D2238" s="56">
        <v>2.753</v>
      </c>
    </row>
    <row r="2239" ht="15.75" customHeight="1">
      <c r="B2239" s="370">
        <f t="shared" si="2"/>
        <v>0.2587962963</v>
      </c>
      <c r="C2239" s="56">
        <f t="shared" si="3"/>
        <v>22360</v>
      </c>
      <c r="D2239" s="56">
        <v>2.658</v>
      </c>
    </row>
    <row r="2240" ht="15.75" customHeight="1">
      <c r="B2240" s="370">
        <f t="shared" si="2"/>
        <v>0.258912037</v>
      </c>
      <c r="C2240" s="56">
        <f t="shared" si="3"/>
        <v>22370</v>
      </c>
      <c r="D2240" s="56">
        <v>2.516</v>
      </c>
    </row>
    <row r="2241" ht="15.75" customHeight="1">
      <c r="B2241" s="370">
        <f t="shared" si="2"/>
        <v>0.2590277778</v>
      </c>
      <c r="C2241" s="56">
        <f t="shared" si="3"/>
        <v>22380</v>
      </c>
      <c r="D2241" s="56">
        <v>2.287</v>
      </c>
    </row>
    <row r="2242" ht="15.75" customHeight="1">
      <c r="B2242" s="370">
        <f t="shared" si="2"/>
        <v>0.2591435185</v>
      </c>
      <c r="C2242" s="56">
        <f t="shared" si="3"/>
        <v>22390</v>
      </c>
      <c r="D2242" s="56">
        <v>3.077</v>
      </c>
    </row>
    <row r="2243" ht="15.75" customHeight="1">
      <c r="B2243" s="370">
        <f t="shared" si="2"/>
        <v>0.2592592593</v>
      </c>
      <c r="C2243" s="56">
        <f t="shared" si="3"/>
        <v>22400</v>
      </c>
      <c r="D2243" s="56">
        <v>3.401</v>
      </c>
    </row>
    <row r="2244" ht="15.75" customHeight="1">
      <c r="B2244" s="370">
        <f t="shared" si="2"/>
        <v>0.259375</v>
      </c>
      <c r="C2244" s="56">
        <f t="shared" si="3"/>
        <v>22410</v>
      </c>
      <c r="D2244" s="56">
        <v>3.445</v>
      </c>
    </row>
    <row r="2245" ht="15.75" customHeight="1">
      <c r="B2245" s="370">
        <f t="shared" si="2"/>
        <v>0.2594907407</v>
      </c>
      <c r="C2245" s="56">
        <f t="shared" si="3"/>
        <v>22420</v>
      </c>
      <c r="D2245" s="56">
        <v>3.486</v>
      </c>
    </row>
    <row r="2246" ht="15.75" customHeight="1">
      <c r="B2246" s="370">
        <f t="shared" si="2"/>
        <v>0.2596064815</v>
      </c>
      <c r="C2246" s="56">
        <f t="shared" si="3"/>
        <v>22430</v>
      </c>
      <c r="D2246" s="56">
        <v>3.201</v>
      </c>
    </row>
    <row r="2247" ht="15.75" customHeight="1">
      <c r="B2247" s="370">
        <f t="shared" si="2"/>
        <v>0.2597222222</v>
      </c>
      <c r="C2247" s="56">
        <f t="shared" si="3"/>
        <v>22440</v>
      </c>
      <c r="D2247" s="56">
        <v>2.559</v>
      </c>
    </row>
    <row r="2248" ht="15.75" customHeight="1">
      <c r="B2248" s="370">
        <f t="shared" si="2"/>
        <v>0.259837963</v>
      </c>
      <c r="C2248" s="56">
        <f t="shared" si="3"/>
        <v>22450</v>
      </c>
      <c r="D2248" s="56">
        <v>2.037</v>
      </c>
    </row>
    <row r="2249" ht="15.75" customHeight="1">
      <c r="B2249" s="370">
        <f t="shared" si="2"/>
        <v>0.2599537037</v>
      </c>
      <c r="C2249" s="56">
        <f t="shared" si="3"/>
        <v>22460</v>
      </c>
      <c r="D2249" s="56">
        <v>2.171</v>
      </c>
    </row>
    <row r="2250" ht="15.75" customHeight="1">
      <c r="B2250" s="370">
        <f t="shared" si="2"/>
        <v>0.2600694444</v>
      </c>
      <c r="C2250" s="56">
        <f t="shared" si="3"/>
        <v>22470</v>
      </c>
      <c r="D2250" s="56">
        <v>2.62</v>
      </c>
    </row>
    <row r="2251" ht="15.75" customHeight="1">
      <c r="B2251" s="370">
        <f t="shared" si="2"/>
        <v>0.2601851852</v>
      </c>
      <c r="C2251" s="56">
        <f t="shared" si="3"/>
        <v>22480</v>
      </c>
      <c r="D2251" s="56">
        <v>3.047</v>
      </c>
    </row>
    <row r="2252" ht="15.75" customHeight="1">
      <c r="B2252" s="370">
        <f t="shared" si="2"/>
        <v>0.2603009259</v>
      </c>
      <c r="C2252" s="56">
        <f t="shared" si="3"/>
        <v>22490</v>
      </c>
      <c r="D2252" s="56">
        <v>3.388</v>
      </c>
    </row>
    <row r="2253" ht="15.75" customHeight="1">
      <c r="B2253" s="370">
        <f t="shared" si="2"/>
        <v>0.2604166667</v>
      </c>
      <c r="C2253" s="56">
        <f t="shared" si="3"/>
        <v>22500</v>
      </c>
      <c r="D2253" s="56">
        <v>3.331</v>
      </c>
    </row>
    <row r="2254" ht="15.75" customHeight="1">
      <c r="B2254" s="370">
        <f t="shared" si="2"/>
        <v>0.2605324074</v>
      </c>
      <c r="C2254" s="56">
        <f t="shared" si="3"/>
        <v>22510</v>
      </c>
      <c r="D2254" s="56">
        <v>3.241</v>
      </c>
    </row>
    <row r="2255" ht="15.75" customHeight="1">
      <c r="B2255" s="370">
        <f t="shared" si="2"/>
        <v>0.2606481481</v>
      </c>
      <c r="C2255" s="56">
        <f t="shared" si="3"/>
        <v>22520</v>
      </c>
      <c r="D2255" s="56">
        <v>3.046</v>
      </c>
    </row>
    <row r="2256" ht="15.75" customHeight="1">
      <c r="B2256" s="370">
        <f t="shared" si="2"/>
        <v>0.2607638889</v>
      </c>
      <c r="C2256" s="56">
        <f t="shared" si="3"/>
        <v>22530</v>
      </c>
      <c r="D2256" s="56">
        <v>2.52</v>
      </c>
    </row>
    <row r="2257" ht="15.75" customHeight="1">
      <c r="B2257" s="370">
        <f t="shared" si="2"/>
        <v>0.2608796296</v>
      </c>
      <c r="C2257" s="56">
        <f t="shared" si="3"/>
        <v>22540</v>
      </c>
      <c r="D2257" s="56">
        <v>2.674</v>
      </c>
    </row>
    <row r="2258" ht="15.75" customHeight="1">
      <c r="B2258" s="370">
        <f t="shared" si="2"/>
        <v>0.2609953704</v>
      </c>
      <c r="C2258" s="56">
        <f t="shared" si="3"/>
        <v>22550</v>
      </c>
      <c r="D2258" s="56">
        <v>2.738</v>
      </c>
    </row>
    <row r="2259" ht="15.75" customHeight="1">
      <c r="B2259" s="370">
        <f t="shared" si="2"/>
        <v>0.2611111111</v>
      </c>
      <c r="C2259" s="56">
        <f t="shared" si="3"/>
        <v>22560</v>
      </c>
      <c r="D2259" s="56">
        <v>2.709</v>
      </c>
    </row>
    <row r="2260" ht="15.75" customHeight="1">
      <c r="B2260" s="370">
        <f t="shared" si="2"/>
        <v>0.2612268519</v>
      </c>
      <c r="C2260" s="56">
        <f t="shared" si="3"/>
        <v>22570</v>
      </c>
      <c r="D2260" s="56">
        <v>2.675</v>
      </c>
    </row>
    <row r="2261" ht="15.75" customHeight="1">
      <c r="B2261" s="370">
        <f t="shared" si="2"/>
        <v>0.2613425926</v>
      </c>
      <c r="C2261" s="56">
        <f t="shared" si="3"/>
        <v>22580</v>
      </c>
      <c r="D2261" s="56">
        <v>2.47</v>
      </c>
    </row>
    <row r="2262" ht="15.75" customHeight="1">
      <c r="B2262" s="370">
        <f t="shared" si="2"/>
        <v>0.2614583333</v>
      </c>
      <c r="C2262" s="56">
        <f t="shared" si="3"/>
        <v>22590</v>
      </c>
      <c r="D2262" s="56">
        <v>2.939</v>
      </c>
    </row>
    <row r="2263" ht="15.75" customHeight="1">
      <c r="B2263" s="370">
        <f t="shared" si="2"/>
        <v>0.2615740741</v>
      </c>
      <c r="C2263" s="56">
        <f t="shared" si="3"/>
        <v>22600</v>
      </c>
      <c r="D2263" s="56">
        <v>3.309</v>
      </c>
    </row>
    <row r="2264" ht="15.75" customHeight="1">
      <c r="B2264" s="370">
        <f t="shared" si="2"/>
        <v>0.2616898148</v>
      </c>
      <c r="C2264" s="56">
        <f t="shared" si="3"/>
        <v>22610</v>
      </c>
      <c r="D2264" s="56">
        <v>3.365</v>
      </c>
    </row>
    <row r="2265" ht="15.75" customHeight="1">
      <c r="B2265" s="370">
        <f t="shared" si="2"/>
        <v>0.2618055556</v>
      </c>
      <c r="C2265" s="56">
        <f t="shared" si="3"/>
        <v>22620</v>
      </c>
      <c r="D2265" s="56">
        <v>3.438</v>
      </c>
    </row>
    <row r="2266" ht="15.75" customHeight="1">
      <c r="B2266" s="370">
        <f t="shared" si="2"/>
        <v>0.2619212963</v>
      </c>
      <c r="C2266" s="56">
        <f t="shared" si="3"/>
        <v>22630</v>
      </c>
      <c r="D2266" s="56">
        <v>3.231</v>
      </c>
    </row>
    <row r="2267" ht="15.75" customHeight="1">
      <c r="B2267" s="370">
        <f t="shared" si="2"/>
        <v>0.262037037</v>
      </c>
      <c r="C2267" s="56">
        <f t="shared" si="3"/>
        <v>22640</v>
      </c>
      <c r="D2267" s="56">
        <v>2.69</v>
      </c>
    </row>
    <row r="2268" ht="15.75" customHeight="1">
      <c r="B2268" s="370">
        <f t="shared" si="2"/>
        <v>0.2621527778</v>
      </c>
      <c r="C2268" s="56">
        <f t="shared" si="3"/>
        <v>22650</v>
      </c>
      <c r="D2268" s="56">
        <v>2.168</v>
      </c>
    </row>
    <row r="2269" ht="15.75" customHeight="1">
      <c r="B2269" s="370">
        <f t="shared" si="2"/>
        <v>0.2622685185</v>
      </c>
      <c r="C2269" s="56">
        <f t="shared" si="3"/>
        <v>22660</v>
      </c>
      <c r="D2269" s="56">
        <v>1.997</v>
      </c>
    </row>
    <row r="2270" ht="15.75" customHeight="1">
      <c r="B2270" s="370">
        <f t="shared" si="2"/>
        <v>0.2623842593</v>
      </c>
      <c r="C2270" s="56">
        <f t="shared" si="3"/>
        <v>22670</v>
      </c>
      <c r="D2270" s="56">
        <v>2.451</v>
      </c>
    </row>
    <row r="2271" ht="15.75" customHeight="1">
      <c r="B2271" s="370">
        <f t="shared" si="2"/>
        <v>0.2625</v>
      </c>
      <c r="C2271" s="56">
        <f t="shared" si="3"/>
        <v>22680</v>
      </c>
      <c r="D2271" s="56">
        <v>3.0</v>
      </c>
    </row>
    <row r="2272" ht="15.75" customHeight="1">
      <c r="B2272" s="370">
        <f t="shared" si="2"/>
        <v>0.2626157407</v>
      </c>
      <c r="C2272" s="56">
        <f t="shared" si="3"/>
        <v>22690</v>
      </c>
      <c r="D2272" s="56">
        <v>3.432</v>
      </c>
    </row>
    <row r="2273" ht="15.75" customHeight="1">
      <c r="B2273" s="370">
        <f t="shared" si="2"/>
        <v>0.2627314815</v>
      </c>
      <c r="C2273" s="56">
        <f t="shared" si="3"/>
        <v>22700</v>
      </c>
      <c r="D2273" s="56">
        <v>3.423</v>
      </c>
    </row>
    <row r="2274" ht="15.75" customHeight="1">
      <c r="B2274" s="370">
        <f t="shared" si="2"/>
        <v>0.2628472222</v>
      </c>
      <c r="C2274" s="56">
        <f t="shared" si="3"/>
        <v>22710</v>
      </c>
      <c r="D2274" s="56">
        <v>3.372</v>
      </c>
    </row>
    <row r="2275" ht="15.75" customHeight="1">
      <c r="B2275" s="370">
        <f t="shared" si="2"/>
        <v>0.262962963</v>
      </c>
      <c r="C2275" s="56">
        <f t="shared" si="3"/>
        <v>22720</v>
      </c>
      <c r="D2275" s="56">
        <v>3.202</v>
      </c>
    </row>
    <row r="2276" ht="15.75" customHeight="1">
      <c r="B2276" s="370">
        <f t="shared" si="2"/>
        <v>0.2630787037</v>
      </c>
      <c r="C2276" s="56">
        <f t="shared" si="3"/>
        <v>22730</v>
      </c>
      <c r="D2276" s="56">
        <v>2.443</v>
      </c>
    </row>
    <row r="2277" ht="15.75" customHeight="1">
      <c r="B2277" s="370">
        <f t="shared" si="2"/>
        <v>0.2631944444</v>
      </c>
      <c r="C2277" s="56">
        <f t="shared" si="3"/>
        <v>22740</v>
      </c>
      <c r="D2277" s="56">
        <v>2.539</v>
      </c>
    </row>
    <row r="2278" ht="15.75" customHeight="1">
      <c r="B2278" s="370">
        <f t="shared" si="2"/>
        <v>0.2633101852</v>
      </c>
      <c r="C2278" s="56">
        <f t="shared" si="3"/>
        <v>22750</v>
      </c>
      <c r="D2278" s="56">
        <v>2.687</v>
      </c>
    </row>
    <row r="2279" ht="15.75" customHeight="1">
      <c r="B2279" s="370">
        <f t="shared" si="2"/>
        <v>0.2634259259</v>
      </c>
      <c r="C2279" s="56">
        <f t="shared" si="3"/>
        <v>22760</v>
      </c>
      <c r="D2279" s="56">
        <v>2.721</v>
      </c>
    </row>
    <row r="2280" ht="15.75" customHeight="1">
      <c r="B2280" s="370">
        <f t="shared" si="2"/>
        <v>0.2635416667</v>
      </c>
      <c r="C2280" s="56">
        <f t="shared" si="3"/>
        <v>22770</v>
      </c>
      <c r="D2280" s="56">
        <v>2.764</v>
      </c>
    </row>
    <row r="2281" ht="15.75" customHeight="1">
      <c r="B2281" s="370">
        <f t="shared" si="2"/>
        <v>0.2636574074</v>
      </c>
      <c r="C2281" s="56">
        <f t="shared" si="3"/>
        <v>22780</v>
      </c>
      <c r="D2281" s="56">
        <v>2.667</v>
      </c>
    </row>
    <row r="2282" ht="15.75" customHeight="1">
      <c r="B2282" s="370">
        <f t="shared" si="2"/>
        <v>0.2637731481</v>
      </c>
      <c r="C2282" s="56">
        <f t="shared" si="3"/>
        <v>22790</v>
      </c>
      <c r="D2282" s="56">
        <v>2.709</v>
      </c>
    </row>
    <row r="2283" ht="15.75" customHeight="1">
      <c r="B2283" s="370">
        <f t="shared" si="2"/>
        <v>0.2638888889</v>
      </c>
      <c r="C2283" s="56">
        <f t="shared" si="3"/>
        <v>22800</v>
      </c>
      <c r="D2283" s="56">
        <v>3.183</v>
      </c>
    </row>
    <row r="2284" ht="15.75" customHeight="1">
      <c r="B2284" s="370">
        <f t="shared" si="2"/>
        <v>0.2640046296</v>
      </c>
      <c r="C2284" s="56">
        <f t="shared" si="3"/>
        <v>22810</v>
      </c>
      <c r="D2284" s="56">
        <v>3.244</v>
      </c>
    </row>
    <row r="2285" ht="15.75" customHeight="1">
      <c r="B2285" s="370">
        <f t="shared" si="2"/>
        <v>0.2641203704</v>
      </c>
      <c r="C2285" s="56">
        <f t="shared" si="3"/>
        <v>22820</v>
      </c>
      <c r="D2285" s="56">
        <v>3.35</v>
      </c>
    </row>
    <row r="2286" ht="15.75" customHeight="1">
      <c r="B2286" s="370">
        <f t="shared" si="2"/>
        <v>0.2642361111</v>
      </c>
      <c r="C2286" s="56">
        <f t="shared" si="3"/>
        <v>22830</v>
      </c>
      <c r="D2286" s="56">
        <v>3.226</v>
      </c>
    </row>
    <row r="2287" ht="15.75" customHeight="1">
      <c r="B2287" s="370">
        <f t="shared" si="2"/>
        <v>0.2643518519</v>
      </c>
      <c r="C2287" s="56">
        <f t="shared" si="3"/>
        <v>22840</v>
      </c>
      <c r="D2287" s="56">
        <v>2.786</v>
      </c>
    </row>
    <row r="2288" ht="15.75" customHeight="1">
      <c r="B2288" s="370">
        <f t="shared" si="2"/>
        <v>0.2644675926</v>
      </c>
      <c r="C2288" s="56">
        <f t="shared" si="3"/>
        <v>22850</v>
      </c>
      <c r="D2288" s="56">
        <v>2.401</v>
      </c>
    </row>
    <row r="2289" ht="15.75" customHeight="1">
      <c r="B2289" s="370">
        <f t="shared" si="2"/>
        <v>0.2645833333</v>
      </c>
      <c r="C2289" s="56">
        <f t="shared" si="3"/>
        <v>22860</v>
      </c>
      <c r="D2289" s="56">
        <v>2.007</v>
      </c>
    </row>
    <row r="2290" ht="15.75" customHeight="1">
      <c r="B2290" s="370">
        <f t="shared" si="2"/>
        <v>0.2646990741</v>
      </c>
      <c r="C2290" s="56">
        <f t="shared" si="3"/>
        <v>22870</v>
      </c>
      <c r="D2290" s="56">
        <v>2.307</v>
      </c>
    </row>
    <row r="2291" ht="15.75" customHeight="1">
      <c r="B2291" s="370">
        <f t="shared" si="2"/>
        <v>0.2648148148</v>
      </c>
      <c r="C2291" s="56">
        <f t="shared" si="3"/>
        <v>22880</v>
      </c>
      <c r="D2291" s="56">
        <v>2.919</v>
      </c>
    </row>
    <row r="2292" ht="15.75" customHeight="1">
      <c r="B2292" s="370">
        <f t="shared" si="2"/>
        <v>0.2649305556</v>
      </c>
      <c r="C2292" s="56">
        <f t="shared" si="3"/>
        <v>22890</v>
      </c>
      <c r="D2292" s="56">
        <v>3.449</v>
      </c>
    </row>
    <row r="2293" ht="15.75" customHeight="1">
      <c r="B2293" s="370">
        <f t="shared" si="2"/>
        <v>0.2650462963</v>
      </c>
      <c r="C2293" s="56">
        <f t="shared" si="3"/>
        <v>22900</v>
      </c>
      <c r="D2293" s="56">
        <v>3.487</v>
      </c>
    </row>
    <row r="2294" ht="15.75" customHeight="1">
      <c r="B2294" s="370">
        <f t="shared" si="2"/>
        <v>0.265162037</v>
      </c>
      <c r="C2294" s="56">
        <f t="shared" si="3"/>
        <v>22910</v>
      </c>
      <c r="D2294" s="56">
        <v>3.45</v>
      </c>
    </row>
    <row r="2295" ht="15.75" customHeight="1">
      <c r="B2295" s="370">
        <f t="shared" si="2"/>
        <v>0.2652777778</v>
      </c>
      <c r="C2295" s="56">
        <f t="shared" si="3"/>
        <v>22920</v>
      </c>
      <c r="D2295" s="56">
        <v>3.316</v>
      </c>
    </row>
    <row r="2296" ht="15.75" customHeight="1">
      <c r="B2296" s="370">
        <f t="shared" si="2"/>
        <v>0.2653935185</v>
      </c>
      <c r="C2296" s="56">
        <f t="shared" si="3"/>
        <v>22930</v>
      </c>
      <c r="D2296" s="56">
        <v>2.569</v>
      </c>
    </row>
    <row r="2297" ht="15.75" customHeight="1">
      <c r="B2297" s="370">
        <f t="shared" si="2"/>
        <v>0.2655092593</v>
      </c>
      <c r="C2297" s="56">
        <f t="shared" si="3"/>
        <v>22940</v>
      </c>
      <c r="D2297" s="56">
        <v>2.371</v>
      </c>
    </row>
    <row r="2298" ht="15.75" customHeight="1">
      <c r="B2298" s="370">
        <f t="shared" si="2"/>
        <v>0.265625</v>
      </c>
      <c r="C2298" s="56">
        <f t="shared" si="3"/>
        <v>22950</v>
      </c>
      <c r="D2298" s="56">
        <v>2.602</v>
      </c>
    </row>
    <row r="2299" ht="15.75" customHeight="1">
      <c r="B2299" s="370">
        <f t="shared" si="2"/>
        <v>0.2657407407</v>
      </c>
      <c r="C2299" s="56">
        <f t="shared" si="3"/>
        <v>22960</v>
      </c>
      <c r="D2299" s="56">
        <v>2.698</v>
      </c>
    </row>
    <row r="2300" ht="15.75" customHeight="1">
      <c r="B2300" s="370">
        <f t="shared" si="2"/>
        <v>0.2658564815</v>
      </c>
      <c r="C2300" s="56">
        <f t="shared" si="3"/>
        <v>22970</v>
      </c>
      <c r="D2300" s="56">
        <v>2.817</v>
      </c>
    </row>
    <row r="2301" ht="15.75" customHeight="1">
      <c r="B2301" s="370">
        <f t="shared" si="2"/>
        <v>0.2659722222</v>
      </c>
      <c r="C2301" s="56">
        <f t="shared" si="3"/>
        <v>22980</v>
      </c>
      <c r="D2301" s="56">
        <v>2.782</v>
      </c>
    </row>
    <row r="2302" ht="15.75" customHeight="1">
      <c r="B2302" s="370">
        <f t="shared" si="2"/>
        <v>0.266087963</v>
      </c>
      <c r="C2302" s="56">
        <f t="shared" si="3"/>
        <v>22990</v>
      </c>
      <c r="D2302" s="56">
        <v>2.791</v>
      </c>
    </row>
    <row r="2303" ht="15.75" customHeight="1">
      <c r="B2303" s="370">
        <f t="shared" si="2"/>
        <v>0.2662037037</v>
      </c>
      <c r="C2303" s="56">
        <f t="shared" si="3"/>
        <v>23000</v>
      </c>
      <c r="D2303" s="56">
        <v>2.962</v>
      </c>
    </row>
    <row r="2304" ht="15.75" customHeight="1">
      <c r="B2304" s="370">
        <f t="shared" si="2"/>
        <v>0.2663194444</v>
      </c>
      <c r="C2304" s="56">
        <f t="shared" si="3"/>
        <v>23010</v>
      </c>
      <c r="D2304" s="56">
        <v>3.127</v>
      </c>
    </row>
    <row r="2305" ht="15.75" customHeight="1">
      <c r="B2305" s="370">
        <f t="shared" si="2"/>
        <v>0.2664351852</v>
      </c>
      <c r="C2305" s="56">
        <f t="shared" si="3"/>
        <v>23020</v>
      </c>
      <c r="D2305" s="56">
        <v>3.246</v>
      </c>
    </row>
    <row r="2306" ht="15.75" customHeight="1">
      <c r="B2306" s="370">
        <f t="shared" si="2"/>
        <v>0.2665509259</v>
      </c>
      <c r="C2306" s="56">
        <f t="shared" si="3"/>
        <v>23030</v>
      </c>
      <c r="D2306" s="56">
        <v>3.188</v>
      </c>
    </row>
    <row r="2307" ht="15.75" customHeight="1">
      <c r="B2307" s="370">
        <f t="shared" si="2"/>
        <v>0.2666666667</v>
      </c>
      <c r="C2307" s="56">
        <f t="shared" si="3"/>
        <v>23040</v>
      </c>
      <c r="D2307" s="56">
        <v>2.846</v>
      </c>
    </row>
    <row r="2308" ht="15.75" customHeight="1">
      <c r="B2308" s="370">
        <f t="shared" si="2"/>
        <v>0.2667824074</v>
      </c>
      <c r="C2308" s="56">
        <f t="shared" si="3"/>
        <v>23050</v>
      </c>
      <c r="D2308" s="56">
        <v>2.542</v>
      </c>
    </row>
    <row r="2309" ht="15.75" customHeight="1">
      <c r="B2309" s="370">
        <f t="shared" si="2"/>
        <v>0.2668981481</v>
      </c>
      <c r="C2309" s="56">
        <f t="shared" si="3"/>
        <v>23060</v>
      </c>
      <c r="D2309" s="56">
        <v>2.234</v>
      </c>
    </row>
    <row r="2310" ht="15.75" customHeight="1">
      <c r="B2310" s="370">
        <f t="shared" si="2"/>
        <v>0.2670138889</v>
      </c>
      <c r="C2310" s="56">
        <f t="shared" si="3"/>
        <v>23070</v>
      </c>
      <c r="D2310" s="56">
        <v>2.063</v>
      </c>
    </row>
    <row r="2311" ht="15.75" customHeight="1">
      <c r="B2311" s="370">
        <f t="shared" si="2"/>
        <v>0.2671296296</v>
      </c>
      <c r="C2311" s="56">
        <f t="shared" si="3"/>
        <v>23080</v>
      </c>
      <c r="D2311" s="56">
        <v>2.802</v>
      </c>
    </row>
    <row r="2312" ht="15.75" customHeight="1">
      <c r="B2312" s="370">
        <f t="shared" si="2"/>
        <v>0.2672453704</v>
      </c>
      <c r="C2312" s="56">
        <f t="shared" si="3"/>
        <v>23090</v>
      </c>
      <c r="D2312" s="56">
        <v>3.429</v>
      </c>
    </row>
    <row r="2313" ht="15.75" customHeight="1">
      <c r="B2313" s="370">
        <f t="shared" si="2"/>
        <v>0.2673611111</v>
      </c>
      <c r="C2313" s="56">
        <f t="shared" si="3"/>
        <v>23100</v>
      </c>
      <c r="D2313" s="56">
        <v>3.518</v>
      </c>
    </row>
    <row r="2314" ht="15.75" customHeight="1">
      <c r="B2314" s="370">
        <f t="shared" si="2"/>
        <v>0.2674768519</v>
      </c>
      <c r="C2314" s="56">
        <f t="shared" si="3"/>
        <v>23110</v>
      </c>
      <c r="D2314" s="56">
        <v>3.498</v>
      </c>
    </row>
    <row r="2315" ht="15.75" customHeight="1">
      <c r="B2315" s="370">
        <f t="shared" si="2"/>
        <v>0.2675925926</v>
      </c>
      <c r="C2315" s="56">
        <f t="shared" si="3"/>
        <v>23120</v>
      </c>
      <c r="D2315" s="56">
        <v>3.413</v>
      </c>
    </row>
    <row r="2316" ht="15.75" customHeight="1">
      <c r="B2316" s="370">
        <f t="shared" si="2"/>
        <v>0.2677083333</v>
      </c>
      <c r="C2316" s="56">
        <f t="shared" si="3"/>
        <v>23130</v>
      </c>
      <c r="D2316" s="56">
        <v>2.825</v>
      </c>
    </row>
    <row r="2317" ht="15.75" customHeight="1">
      <c r="B2317" s="370">
        <f t="shared" si="2"/>
        <v>0.2678240741</v>
      </c>
      <c r="C2317" s="56">
        <f t="shared" si="3"/>
        <v>23140</v>
      </c>
      <c r="D2317" s="56">
        <v>2.088</v>
      </c>
    </row>
    <row r="2318" ht="15.75" customHeight="1">
      <c r="B2318" s="370">
        <f t="shared" si="2"/>
        <v>0.2679398148</v>
      </c>
      <c r="C2318" s="56">
        <f t="shared" si="3"/>
        <v>23150</v>
      </c>
      <c r="D2318" s="56">
        <v>2.478</v>
      </c>
    </row>
    <row r="2319" ht="15.75" customHeight="1">
      <c r="B2319" s="370">
        <f t="shared" si="2"/>
        <v>0.2680555556</v>
      </c>
      <c r="C2319" s="56">
        <f t="shared" si="3"/>
        <v>23160</v>
      </c>
      <c r="D2319" s="56">
        <v>2.643</v>
      </c>
    </row>
    <row r="2320" ht="15.75" customHeight="1">
      <c r="B2320" s="370">
        <f t="shared" si="2"/>
        <v>0.2681712963</v>
      </c>
      <c r="C2320" s="56">
        <f t="shared" si="3"/>
        <v>23170</v>
      </c>
      <c r="D2320" s="56">
        <v>2.836</v>
      </c>
    </row>
    <row r="2321" ht="15.75" customHeight="1">
      <c r="B2321" s="370">
        <f t="shared" si="2"/>
        <v>0.268287037</v>
      </c>
      <c r="C2321" s="56">
        <f t="shared" si="3"/>
        <v>23180</v>
      </c>
      <c r="D2321" s="56">
        <v>2.927</v>
      </c>
    </row>
    <row r="2322" ht="15.75" customHeight="1">
      <c r="B2322" s="370">
        <f t="shared" si="2"/>
        <v>0.2684027778</v>
      </c>
      <c r="C2322" s="56">
        <f t="shared" si="3"/>
        <v>23190</v>
      </c>
      <c r="D2322" s="56">
        <v>2.967</v>
      </c>
    </row>
    <row r="2323" ht="15.75" customHeight="1">
      <c r="B2323" s="370">
        <f t="shared" si="2"/>
        <v>0.2685185185</v>
      </c>
      <c r="C2323" s="56">
        <f t="shared" si="3"/>
        <v>23200</v>
      </c>
      <c r="D2323" s="56">
        <v>2.871</v>
      </c>
    </row>
    <row r="2324" ht="15.75" customHeight="1">
      <c r="B2324" s="370">
        <f t="shared" si="2"/>
        <v>0.2686342593</v>
      </c>
      <c r="C2324" s="56">
        <f t="shared" si="3"/>
        <v>23210</v>
      </c>
      <c r="D2324" s="56">
        <v>2.93</v>
      </c>
    </row>
    <row r="2325" ht="15.75" customHeight="1">
      <c r="B2325" s="370">
        <f t="shared" si="2"/>
        <v>0.26875</v>
      </c>
      <c r="C2325" s="56">
        <f t="shared" si="3"/>
        <v>23220</v>
      </c>
      <c r="D2325" s="56">
        <v>3.098</v>
      </c>
    </row>
    <row r="2326" ht="15.75" customHeight="1">
      <c r="B2326" s="370">
        <f t="shared" si="2"/>
        <v>0.2688657407</v>
      </c>
      <c r="C2326" s="56">
        <f t="shared" si="3"/>
        <v>23230</v>
      </c>
      <c r="D2326" s="56">
        <v>3.113</v>
      </c>
    </row>
    <row r="2327" ht="15.75" customHeight="1">
      <c r="B2327" s="370">
        <f t="shared" si="2"/>
        <v>0.2689814815</v>
      </c>
      <c r="C2327" s="56">
        <f t="shared" si="3"/>
        <v>23240</v>
      </c>
      <c r="D2327" s="56">
        <v>2.87</v>
      </c>
    </row>
    <row r="2328" ht="15.75" customHeight="1">
      <c r="B2328" s="370">
        <f t="shared" si="2"/>
        <v>0.2690972222</v>
      </c>
      <c r="C2328" s="56">
        <f t="shared" si="3"/>
        <v>23250</v>
      </c>
      <c r="D2328" s="56">
        <v>2.643</v>
      </c>
    </row>
    <row r="2329" ht="15.75" customHeight="1">
      <c r="B2329" s="370">
        <f t="shared" si="2"/>
        <v>0.269212963</v>
      </c>
      <c r="C2329" s="56">
        <f t="shared" si="3"/>
        <v>23260</v>
      </c>
      <c r="D2329" s="56">
        <v>2.358</v>
      </c>
    </row>
    <row r="2330" ht="15.75" customHeight="1">
      <c r="B2330" s="370">
        <f t="shared" si="2"/>
        <v>0.2693287037</v>
      </c>
      <c r="C2330" s="56">
        <f t="shared" si="3"/>
        <v>23270</v>
      </c>
      <c r="D2330" s="56">
        <v>2.11</v>
      </c>
    </row>
    <row r="2331" ht="15.75" customHeight="1">
      <c r="B2331" s="370">
        <f t="shared" si="2"/>
        <v>0.2694444444</v>
      </c>
      <c r="C2331" s="56">
        <f t="shared" si="3"/>
        <v>23280</v>
      </c>
      <c r="D2331" s="56">
        <v>2.611</v>
      </c>
    </row>
    <row r="2332" ht="15.75" customHeight="1">
      <c r="B2332" s="370">
        <f t="shared" si="2"/>
        <v>0.2695601852</v>
      </c>
      <c r="C2332" s="56">
        <f t="shared" si="3"/>
        <v>23290</v>
      </c>
      <c r="D2332" s="56">
        <v>3.37</v>
      </c>
    </row>
    <row r="2333" ht="15.75" customHeight="1">
      <c r="B2333" s="370">
        <f t="shared" si="2"/>
        <v>0.2696759259</v>
      </c>
      <c r="C2333" s="56">
        <f t="shared" si="3"/>
        <v>23300</v>
      </c>
      <c r="D2333" s="56">
        <v>3.521</v>
      </c>
    </row>
    <row r="2334" ht="15.75" customHeight="1">
      <c r="B2334" s="370">
        <f t="shared" si="2"/>
        <v>0.2697916667</v>
      </c>
      <c r="C2334" s="56">
        <f t="shared" si="3"/>
        <v>23310</v>
      </c>
      <c r="D2334" s="56">
        <v>3.517</v>
      </c>
    </row>
    <row r="2335" ht="15.75" customHeight="1">
      <c r="B2335" s="370">
        <f t="shared" si="2"/>
        <v>0.2699074074</v>
      </c>
      <c r="C2335" s="56">
        <f t="shared" si="3"/>
        <v>23320</v>
      </c>
      <c r="D2335" s="56">
        <v>3.473</v>
      </c>
    </row>
    <row r="2336" ht="15.75" customHeight="1">
      <c r="B2336" s="370">
        <f t="shared" si="2"/>
        <v>0.2700231481</v>
      </c>
      <c r="C2336" s="56">
        <f t="shared" si="3"/>
        <v>23330</v>
      </c>
      <c r="D2336" s="56">
        <v>2.977</v>
      </c>
    </row>
    <row r="2337" ht="15.75" customHeight="1">
      <c r="B2337" s="370">
        <f t="shared" si="2"/>
        <v>0.2701388889</v>
      </c>
      <c r="C2337" s="56">
        <f t="shared" si="3"/>
        <v>23340</v>
      </c>
      <c r="D2337" s="56">
        <v>2.102</v>
      </c>
    </row>
    <row r="2338" ht="15.75" customHeight="1">
      <c r="B2338" s="370">
        <f t="shared" si="2"/>
        <v>0.2702546296</v>
      </c>
      <c r="C2338" s="56">
        <f t="shared" si="3"/>
        <v>23350</v>
      </c>
      <c r="D2338" s="56">
        <v>2.321</v>
      </c>
    </row>
    <row r="2339" ht="15.75" customHeight="1">
      <c r="B2339" s="370">
        <f t="shared" si="2"/>
        <v>0.2703703704</v>
      </c>
      <c r="C2339" s="56">
        <f t="shared" si="3"/>
        <v>23360</v>
      </c>
      <c r="D2339" s="56">
        <v>2.553</v>
      </c>
    </row>
    <row r="2340" ht="15.75" customHeight="1">
      <c r="B2340" s="370">
        <f t="shared" si="2"/>
        <v>0.2704861111</v>
      </c>
      <c r="C2340" s="56">
        <f t="shared" si="3"/>
        <v>23370</v>
      </c>
      <c r="D2340" s="56">
        <v>2.817</v>
      </c>
    </row>
    <row r="2341" ht="15.75" customHeight="1">
      <c r="B2341" s="370">
        <f t="shared" si="2"/>
        <v>0.2706018519</v>
      </c>
      <c r="C2341" s="56">
        <f t="shared" si="3"/>
        <v>23380</v>
      </c>
      <c r="D2341" s="56">
        <v>3.005</v>
      </c>
    </row>
    <row r="2342" ht="15.75" customHeight="1">
      <c r="B2342" s="370">
        <f t="shared" si="2"/>
        <v>0.2707175926</v>
      </c>
      <c r="C2342" s="56">
        <f t="shared" si="3"/>
        <v>23390</v>
      </c>
      <c r="D2342" s="56">
        <v>3.129</v>
      </c>
    </row>
    <row r="2343" ht="15.75" customHeight="1">
      <c r="B2343" s="370">
        <f t="shared" si="2"/>
        <v>0.2708333333</v>
      </c>
      <c r="C2343" s="56">
        <f t="shared" si="3"/>
        <v>23400</v>
      </c>
      <c r="D2343" s="56">
        <v>2.918</v>
      </c>
    </row>
    <row r="2344" ht="15.75" customHeight="1">
      <c r="B2344" s="370">
        <f t="shared" si="2"/>
        <v>0.2709490741</v>
      </c>
      <c r="C2344" s="56">
        <f t="shared" si="3"/>
        <v>23410</v>
      </c>
      <c r="D2344" s="56">
        <v>2.917</v>
      </c>
    </row>
    <row r="2345" ht="15.75" customHeight="1">
      <c r="B2345" s="370">
        <f t="shared" si="2"/>
        <v>0.2710648148</v>
      </c>
      <c r="C2345" s="56">
        <f t="shared" si="3"/>
        <v>23420</v>
      </c>
      <c r="D2345" s="56">
        <v>2.857</v>
      </c>
    </row>
    <row r="2346" ht="15.75" customHeight="1">
      <c r="B2346" s="370">
        <f t="shared" si="2"/>
        <v>0.2711805556</v>
      </c>
      <c r="C2346" s="56">
        <f t="shared" si="3"/>
        <v>23430</v>
      </c>
      <c r="D2346" s="56">
        <v>3.0</v>
      </c>
    </row>
    <row r="2347" ht="15.75" customHeight="1">
      <c r="B2347" s="370">
        <f t="shared" si="2"/>
        <v>0.2712962963</v>
      </c>
      <c r="C2347" s="56">
        <f t="shared" si="3"/>
        <v>23440</v>
      </c>
      <c r="D2347" s="56">
        <v>2.858</v>
      </c>
    </row>
    <row r="2348" ht="15.75" customHeight="1">
      <c r="B2348" s="370">
        <f t="shared" si="2"/>
        <v>0.271412037</v>
      </c>
      <c r="C2348" s="56">
        <f t="shared" si="3"/>
        <v>23450</v>
      </c>
      <c r="D2348" s="56">
        <v>2.714</v>
      </c>
    </row>
    <row r="2349" ht="15.75" customHeight="1">
      <c r="B2349" s="370">
        <f t="shared" si="2"/>
        <v>0.2715277778</v>
      </c>
      <c r="C2349" s="56">
        <f t="shared" si="3"/>
        <v>23460</v>
      </c>
      <c r="D2349" s="56">
        <v>2.528</v>
      </c>
    </row>
    <row r="2350" ht="15.75" customHeight="1">
      <c r="B2350" s="370">
        <f t="shared" si="2"/>
        <v>0.2716435185</v>
      </c>
      <c r="C2350" s="56">
        <f t="shared" si="3"/>
        <v>23470</v>
      </c>
      <c r="D2350" s="56">
        <v>2.303</v>
      </c>
    </row>
    <row r="2351" ht="15.75" customHeight="1">
      <c r="B2351" s="370">
        <f t="shared" si="2"/>
        <v>0.2717592593</v>
      </c>
      <c r="C2351" s="56">
        <f t="shared" si="3"/>
        <v>23480</v>
      </c>
      <c r="D2351" s="56">
        <v>2.472</v>
      </c>
    </row>
    <row r="2352" ht="15.75" customHeight="1">
      <c r="B2352" s="370">
        <f t="shared" si="2"/>
        <v>0.271875</v>
      </c>
      <c r="C2352" s="56">
        <f t="shared" si="3"/>
        <v>23490</v>
      </c>
      <c r="D2352" s="56">
        <v>3.29</v>
      </c>
    </row>
    <row r="2353" ht="15.75" customHeight="1">
      <c r="B2353" s="370">
        <f t="shared" si="2"/>
        <v>0.2719907407</v>
      </c>
      <c r="C2353" s="56">
        <f t="shared" si="3"/>
        <v>23500</v>
      </c>
      <c r="D2353" s="56">
        <v>3.497</v>
      </c>
    </row>
    <row r="2354" ht="15.75" customHeight="1">
      <c r="B2354" s="370">
        <f t="shared" si="2"/>
        <v>0.2721064815</v>
      </c>
      <c r="C2354" s="56">
        <f t="shared" si="3"/>
        <v>23510</v>
      </c>
      <c r="D2354" s="56">
        <v>3.509</v>
      </c>
    </row>
    <row r="2355" ht="15.75" customHeight="1">
      <c r="B2355" s="370">
        <f t="shared" si="2"/>
        <v>0.2722222222</v>
      </c>
      <c r="C2355" s="56">
        <f t="shared" si="3"/>
        <v>23520</v>
      </c>
      <c r="D2355" s="56">
        <v>3.501</v>
      </c>
    </row>
    <row r="2356" ht="15.75" customHeight="1">
      <c r="B2356" s="370">
        <f t="shared" si="2"/>
        <v>0.272337963</v>
      </c>
      <c r="C2356" s="56">
        <f t="shared" si="3"/>
        <v>23530</v>
      </c>
      <c r="D2356" s="56">
        <v>3.088</v>
      </c>
    </row>
    <row r="2357" ht="15.75" customHeight="1">
      <c r="B2357" s="370">
        <f t="shared" si="2"/>
        <v>0.2724537037</v>
      </c>
      <c r="C2357" s="56">
        <f t="shared" si="3"/>
        <v>23540</v>
      </c>
      <c r="D2357" s="56">
        <v>2.23</v>
      </c>
    </row>
    <row r="2358" ht="15.75" customHeight="1">
      <c r="B2358" s="370">
        <f t="shared" si="2"/>
        <v>0.2725694444</v>
      </c>
      <c r="C2358" s="56">
        <f t="shared" si="3"/>
        <v>23550</v>
      </c>
      <c r="D2358" s="56">
        <v>2.145</v>
      </c>
    </row>
    <row r="2359" ht="15.75" customHeight="1">
      <c r="B2359" s="370">
        <f t="shared" si="2"/>
        <v>0.2726851852</v>
      </c>
      <c r="C2359" s="56">
        <f t="shared" si="3"/>
        <v>23560</v>
      </c>
      <c r="D2359" s="56">
        <v>2.414</v>
      </c>
    </row>
    <row r="2360" ht="15.75" customHeight="1">
      <c r="B2360" s="370">
        <f t="shared" si="2"/>
        <v>0.2728009259</v>
      </c>
      <c r="C2360" s="56">
        <f t="shared" si="3"/>
        <v>23570</v>
      </c>
      <c r="D2360" s="56">
        <v>2.762</v>
      </c>
    </row>
    <row r="2361" ht="15.75" customHeight="1">
      <c r="B2361" s="370">
        <f t="shared" si="2"/>
        <v>0.2729166667</v>
      </c>
      <c r="C2361" s="56">
        <f t="shared" si="3"/>
        <v>23580</v>
      </c>
      <c r="D2361" s="56">
        <v>3.048</v>
      </c>
    </row>
    <row r="2362" ht="15.75" customHeight="1">
      <c r="B2362" s="370">
        <f t="shared" si="2"/>
        <v>0.2730324074</v>
      </c>
      <c r="C2362" s="56">
        <f t="shared" si="3"/>
        <v>23590</v>
      </c>
      <c r="D2362" s="56">
        <v>3.241</v>
      </c>
    </row>
    <row r="2363" ht="15.75" customHeight="1">
      <c r="B2363" s="370">
        <f t="shared" si="2"/>
        <v>0.2731481481</v>
      </c>
      <c r="C2363" s="56">
        <f t="shared" si="3"/>
        <v>23600</v>
      </c>
      <c r="D2363" s="56">
        <v>3.153</v>
      </c>
    </row>
    <row r="2364" ht="15.75" customHeight="1">
      <c r="B2364" s="370">
        <f t="shared" si="2"/>
        <v>0.2732638889</v>
      </c>
      <c r="C2364" s="56">
        <f t="shared" si="3"/>
        <v>23610</v>
      </c>
      <c r="D2364" s="56">
        <v>3.055</v>
      </c>
    </row>
    <row r="2365" ht="15.75" customHeight="1">
      <c r="B2365" s="370">
        <f t="shared" si="2"/>
        <v>0.2733796296</v>
      </c>
      <c r="C2365" s="56">
        <f t="shared" si="3"/>
        <v>23620</v>
      </c>
      <c r="D2365" s="56">
        <v>2.788</v>
      </c>
    </row>
    <row r="2366" ht="15.75" customHeight="1">
      <c r="B2366" s="370">
        <f t="shared" si="2"/>
        <v>0.2734953704</v>
      </c>
      <c r="C2366" s="56">
        <f t="shared" si="3"/>
        <v>23630</v>
      </c>
      <c r="D2366" s="56">
        <v>2.857</v>
      </c>
    </row>
    <row r="2367" ht="15.75" customHeight="1">
      <c r="B2367" s="370">
        <f t="shared" si="2"/>
        <v>0.2736111111</v>
      </c>
      <c r="C2367" s="56">
        <f t="shared" si="3"/>
        <v>23640</v>
      </c>
      <c r="D2367" s="56">
        <v>2.809</v>
      </c>
    </row>
    <row r="2368" ht="15.75" customHeight="1">
      <c r="B2368" s="370">
        <f t="shared" si="2"/>
        <v>0.2737268519</v>
      </c>
      <c r="C2368" s="56">
        <f t="shared" si="3"/>
        <v>23650</v>
      </c>
      <c r="D2368" s="56">
        <v>2.749</v>
      </c>
    </row>
    <row r="2369" ht="15.75" customHeight="1">
      <c r="B2369" s="370">
        <f t="shared" si="2"/>
        <v>0.2738425926</v>
      </c>
      <c r="C2369" s="56">
        <f t="shared" si="3"/>
        <v>23660</v>
      </c>
      <c r="D2369" s="56">
        <v>2.626</v>
      </c>
    </row>
    <row r="2370" ht="15.75" customHeight="1">
      <c r="B2370" s="370">
        <f t="shared" si="2"/>
        <v>0.2739583333</v>
      </c>
      <c r="C2370" s="56">
        <f t="shared" si="3"/>
        <v>23670</v>
      </c>
      <c r="D2370" s="56">
        <v>2.483</v>
      </c>
    </row>
    <row r="2371" ht="15.75" customHeight="1">
      <c r="B2371" s="370">
        <f t="shared" si="2"/>
        <v>0.2740740741</v>
      </c>
      <c r="C2371" s="56">
        <f t="shared" si="3"/>
        <v>23680</v>
      </c>
      <c r="D2371" s="56">
        <v>2.227</v>
      </c>
    </row>
    <row r="2372" ht="15.75" customHeight="1">
      <c r="B2372" s="370">
        <f t="shared" si="2"/>
        <v>0.2741898148</v>
      </c>
      <c r="C2372" s="56">
        <f t="shared" si="3"/>
        <v>23690</v>
      </c>
      <c r="D2372" s="56">
        <v>3.17</v>
      </c>
    </row>
    <row r="2373" ht="15.75" customHeight="1">
      <c r="B2373" s="370">
        <f t="shared" si="2"/>
        <v>0.2743055556</v>
      </c>
      <c r="C2373" s="56">
        <f t="shared" si="3"/>
        <v>23700</v>
      </c>
      <c r="D2373" s="56">
        <v>3.444</v>
      </c>
    </row>
    <row r="2374" ht="15.75" customHeight="1">
      <c r="B2374" s="370">
        <f t="shared" si="2"/>
        <v>0.2744212963</v>
      </c>
      <c r="C2374" s="56">
        <f t="shared" si="3"/>
        <v>23710</v>
      </c>
      <c r="D2374" s="56">
        <v>3.467</v>
      </c>
    </row>
    <row r="2375" ht="15.75" customHeight="1">
      <c r="B2375" s="370">
        <f t="shared" si="2"/>
        <v>0.274537037</v>
      </c>
      <c r="C2375" s="56">
        <f t="shared" si="3"/>
        <v>23720</v>
      </c>
      <c r="D2375" s="56">
        <v>3.497</v>
      </c>
    </row>
    <row r="2376" ht="15.75" customHeight="1">
      <c r="B2376" s="370">
        <f t="shared" si="2"/>
        <v>0.2746527778</v>
      </c>
      <c r="C2376" s="56">
        <f t="shared" si="3"/>
        <v>23730</v>
      </c>
      <c r="D2376" s="56">
        <v>3.176</v>
      </c>
    </row>
    <row r="2377" ht="15.75" customHeight="1">
      <c r="B2377" s="370">
        <f t="shared" si="2"/>
        <v>0.2747685185</v>
      </c>
      <c r="C2377" s="56">
        <f t="shared" si="3"/>
        <v>23740</v>
      </c>
      <c r="D2377" s="56">
        <v>2.488</v>
      </c>
    </row>
    <row r="2378" ht="15.75" customHeight="1">
      <c r="B2378" s="370">
        <f t="shared" si="2"/>
        <v>0.2748842593</v>
      </c>
      <c r="C2378" s="56">
        <f t="shared" si="3"/>
        <v>23750</v>
      </c>
      <c r="D2378" s="56">
        <v>1.947</v>
      </c>
    </row>
    <row r="2379" ht="15.75" customHeight="1">
      <c r="B2379" s="370">
        <f t="shared" si="2"/>
        <v>0.275</v>
      </c>
      <c r="C2379" s="56">
        <f t="shared" si="3"/>
        <v>23760</v>
      </c>
      <c r="D2379" s="56">
        <v>2.272</v>
      </c>
    </row>
    <row r="2380" ht="15.75" customHeight="1">
      <c r="B2380" s="370">
        <f t="shared" si="2"/>
        <v>0.2751157407</v>
      </c>
      <c r="C2380" s="56">
        <f t="shared" si="3"/>
        <v>23770</v>
      </c>
      <c r="D2380" s="56">
        <v>2.674</v>
      </c>
    </row>
    <row r="2381" ht="15.75" customHeight="1">
      <c r="B2381" s="370">
        <f t="shared" si="2"/>
        <v>0.2752314815</v>
      </c>
      <c r="C2381" s="56">
        <f t="shared" si="3"/>
        <v>23780</v>
      </c>
      <c r="D2381" s="56">
        <v>3.055</v>
      </c>
    </row>
    <row r="2382" ht="15.75" customHeight="1">
      <c r="B2382" s="370">
        <f t="shared" si="2"/>
        <v>0.2753472222</v>
      </c>
      <c r="C2382" s="56">
        <f t="shared" si="3"/>
        <v>23790</v>
      </c>
      <c r="D2382" s="56">
        <v>3.355</v>
      </c>
    </row>
    <row r="2383" ht="15.75" customHeight="1">
      <c r="B2383" s="370">
        <f t="shared" si="2"/>
        <v>0.275462963</v>
      </c>
      <c r="C2383" s="56">
        <f t="shared" si="3"/>
        <v>23800</v>
      </c>
      <c r="D2383" s="56">
        <v>3.28</v>
      </c>
    </row>
    <row r="2384" ht="15.75" customHeight="1">
      <c r="B2384" s="370">
        <f t="shared" si="2"/>
        <v>0.2755787037</v>
      </c>
      <c r="C2384" s="56">
        <f t="shared" si="3"/>
        <v>23810</v>
      </c>
      <c r="D2384" s="56">
        <v>3.212</v>
      </c>
    </row>
    <row r="2385" ht="15.75" customHeight="1">
      <c r="B2385" s="370">
        <f t="shared" si="2"/>
        <v>0.2756944444</v>
      </c>
      <c r="C2385" s="56">
        <f t="shared" si="3"/>
        <v>23820</v>
      </c>
      <c r="D2385" s="56">
        <v>2.894</v>
      </c>
    </row>
    <row r="2386" ht="15.75" customHeight="1">
      <c r="B2386" s="370">
        <f t="shared" si="2"/>
        <v>0.2758101852</v>
      </c>
      <c r="C2386" s="56">
        <f t="shared" si="3"/>
        <v>23830</v>
      </c>
      <c r="D2386" s="56">
        <v>2.685</v>
      </c>
    </row>
    <row r="2387" ht="15.75" customHeight="1">
      <c r="B2387" s="370">
        <f t="shared" si="2"/>
        <v>0.2759259259</v>
      </c>
      <c r="C2387" s="56">
        <f t="shared" si="3"/>
        <v>23840</v>
      </c>
      <c r="D2387" s="56">
        <v>2.725</v>
      </c>
    </row>
    <row r="2388" ht="15.75" customHeight="1">
      <c r="B2388" s="370">
        <f t="shared" si="2"/>
        <v>0.2760416667</v>
      </c>
      <c r="C2388" s="56">
        <f t="shared" si="3"/>
        <v>23850</v>
      </c>
      <c r="D2388" s="56">
        <v>2.748</v>
      </c>
    </row>
    <row r="2389" ht="15.75" customHeight="1">
      <c r="B2389" s="370">
        <f t="shared" si="2"/>
        <v>0.2761574074</v>
      </c>
      <c r="C2389" s="56">
        <f t="shared" si="3"/>
        <v>23860</v>
      </c>
      <c r="D2389" s="56">
        <v>2.689</v>
      </c>
    </row>
    <row r="2390" ht="15.75" customHeight="1">
      <c r="B2390" s="370">
        <f t="shared" si="2"/>
        <v>0.2762731481</v>
      </c>
      <c r="C2390" s="56">
        <f t="shared" si="3"/>
        <v>23870</v>
      </c>
      <c r="D2390" s="56">
        <v>2.597</v>
      </c>
    </row>
    <row r="2391" ht="15.75" customHeight="1">
      <c r="B2391" s="370">
        <f t="shared" si="2"/>
        <v>0.2763888889</v>
      </c>
      <c r="C2391" s="56">
        <f t="shared" si="3"/>
        <v>23880</v>
      </c>
      <c r="D2391" s="56">
        <v>2.398</v>
      </c>
    </row>
    <row r="2392" ht="15.75" customHeight="1">
      <c r="B2392" s="370">
        <f t="shared" si="2"/>
        <v>0.2765046296</v>
      </c>
      <c r="C2392" s="56">
        <f t="shared" si="3"/>
        <v>23890</v>
      </c>
      <c r="D2392" s="56">
        <v>2.976</v>
      </c>
    </row>
    <row r="2393" ht="15.75" customHeight="1">
      <c r="B2393" s="370">
        <f t="shared" si="2"/>
        <v>0.2766203704</v>
      </c>
      <c r="C2393" s="56">
        <f t="shared" si="3"/>
        <v>23900</v>
      </c>
      <c r="D2393" s="56">
        <v>3.351</v>
      </c>
    </row>
    <row r="2394" ht="15.75" customHeight="1">
      <c r="B2394" s="370">
        <f t="shared" si="2"/>
        <v>0.2767361111</v>
      </c>
      <c r="C2394" s="56">
        <f t="shared" si="3"/>
        <v>23910</v>
      </c>
      <c r="D2394" s="56">
        <v>3.407</v>
      </c>
    </row>
    <row r="2395" ht="15.75" customHeight="1">
      <c r="B2395" s="370">
        <f t="shared" si="2"/>
        <v>0.2768518519</v>
      </c>
      <c r="C2395" s="56">
        <f t="shared" si="3"/>
        <v>23920</v>
      </c>
      <c r="D2395" s="56">
        <v>3.463</v>
      </c>
    </row>
    <row r="2396" ht="15.75" customHeight="1">
      <c r="B2396" s="370">
        <f t="shared" si="2"/>
        <v>0.2769675926</v>
      </c>
      <c r="C2396" s="56">
        <f t="shared" si="3"/>
        <v>23930</v>
      </c>
      <c r="D2396" s="56">
        <v>3.221</v>
      </c>
    </row>
    <row r="2397" ht="15.75" customHeight="1">
      <c r="B2397" s="370">
        <f t="shared" si="2"/>
        <v>0.2770833333</v>
      </c>
      <c r="C2397" s="56">
        <f t="shared" si="3"/>
        <v>23940</v>
      </c>
      <c r="D2397" s="56">
        <v>2.633</v>
      </c>
    </row>
    <row r="2398" ht="15.75" customHeight="1">
      <c r="B2398" s="370">
        <f t="shared" si="2"/>
        <v>0.2771990741</v>
      </c>
      <c r="C2398" s="56">
        <f t="shared" si="3"/>
        <v>23950</v>
      </c>
      <c r="D2398" s="56">
        <v>2.144</v>
      </c>
    </row>
    <row r="2399" ht="15.75" customHeight="1">
      <c r="B2399" s="370">
        <f t="shared" si="2"/>
        <v>0.2773148148</v>
      </c>
      <c r="C2399" s="56">
        <f t="shared" si="3"/>
        <v>23960</v>
      </c>
      <c r="D2399" s="56">
        <v>2.053</v>
      </c>
    </row>
    <row r="2400" ht="15.75" customHeight="1">
      <c r="B2400" s="370">
        <f t="shared" si="2"/>
        <v>0.2774305556</v>
      </c>
      <c r="C2400" s="56">
        <f t="shared" si="3"/>
        <v>23970</v>
      </c>
      <c r="D2400" s="56">
        <v>2.549</v>
      </c>
    </row>
    <row r="2401" ht="15.75" customHeight="1">
      <c r="B2401" s="370">
        <f t="shared" si="2"/>
        <v>0.2775462963</v>
      </c>
      <c r="C2401" s="56">
        <f t="shared" si="3"/>
        <v>23980</v>
      </c>
      <c r="D2401" s="56">
        <v>3.026</v>
      </c>
    </row>
    <row r="2402" ht="15.75" customHeight="1">
      <c r="B2402" s="370">
        <f t="shared" si="2"/>
        <v>0.277662037</v>
      </c>
      <c r="C2402" s="56">
        <f t="shared" si="3"/>
        <v>23990</v>
      </c>
      <c r="D2402" s="56">
        <v>3.42</v>
      </c>
    </row>
    <row r="2403" ht="15.75" customHeight="1">
      <c r="B2403" s="370">
        <f t="shared" si="2"/>
        <v>0.2777777778</v>
      </c>
      <c r="C2403" s="56">
        <f t="shared" si="3"/>
        <v>24000</v>
      </c>
      <c r="D2403" s="56">
        <v>3.383</v>
      </c>
    </row>
    <row r="2404" ht="15.75" customHeight="1">
      <c r="B2404" s="370">
        <f t="shared" si="2"/>
        <v>0.2778935185</v>
      </c>
      <c r="C2404" s="56">
        <f t="shared" si="3"/>
        <v>24010</v>
      </c>
      <c r="D2404" s="56">
        <v>3.309</v>
      </c>
    </row>
    <row r="2405" ht="15.75" customHeight="1">
      <c r="B2405" s="370">
        <f t="shared" si="2"/>
        <v>0.2780092593</v>
      </c>
      <c r="C2405" s="56">
        <f t="shared" si="3"/>
        <v>24020</v>
      </c>
      <c r="D2405" s="56">
        <v>3.133</v>
      </c>
    </row>
    <row r="2406" ht="15.75" customHeight="1">
      <c r="B2406" s="370">
        <f t="shared" si="2"/>
        <v>0.278125</v>
      </c>
      <c r="C2406" s="56">
        <f t="shared" si="3"/>
        <v>24030</v>
      </c>
      <c r="D2406" s="56">
        <v>2.423</v>
      </c>
    </row>
    <row r="2407" ht="15.75" customHeight="1">
      <c r="B2407" s="370">
        <f t="shared" si="2"/>
        <v>0.2782407407</v>
      </c>
      <c r="C2407" s="56">
        <f t="shared" si="3"/>
        <v>24040</v>
      </c>
      <c r="D2407" s="56">
        <v>2.604</v>
      </c>
    </row>
    <row r="2408" ht="15.75" customHeight="1">
      <c r="B2408" s="370">
        <f t="shared" si="2"/>
        <v>0.2783564815</v>
      </c>
      <c r="C2408" s="56">
        <f t="shared" si="3"/>
        <v>24050</v>
      </c>
      <c r="D2408" s="56">
        <v>2.714</v>
      </c>
    </row>
    <row r="2409" ht="15.75" customHeight="1">
      <c r="B2409" s="370">
        <f t="shared" si="2"/>
        <v>0.2784722222</v>
      </c>
      <c r="C2409" s="56">
        <f t="shared" si="3"/>
        <v>24060</v>
      </c>
      <c r="D2409" s="56">
        <v>2.719</v>
      </c>
    </row>
    <row r="2410" ht="15.75" customHeight="1">
      <c r="B2410" s="370">
        <f t="shared" si="2"/>
        <v>0.278587963</v>
      </c>
      <c r="C2410" s="56">
        <f t="shared" si="3"/>
        <v>24070</v>
      </c>
      <c r="D2410" s="56">
        <v>2.726</v>
      </c>
    </row>
    <row r="2411" ht="15.75" customHeight="1">
      <c r="B2411" s="370">
        <f t="shared" si="2"/>
        <v>0.2787037037</v>
      </c>
      <c r="C2411" s="56">
        <f t="shared" si="3"/>
        <v>24080</v>
      </c>
      <c r="D2411" s="56">
        <v>2.585</v>
      </c>
    </row>
    <row r="2412" ht="15.75" customHeight="1">
      <c r="B2412" s="370">
        <f t="shared" si="2"/>
        <v>0.2788194444</v>
      </c>
      <c r="C2412" s="56">
        <f t="shared" si="3"/>
        <v>24090</v>
      </c>
      <c r="D2412" s="56">
        <v>2.841</v>
      </c>
    </row>
    <row r="2413" ht="15.75" customHeight="1">
      <c r="B2413" s="370">
        <f t="shared" si="2"/>
        <v>0.2789351852</v>
      </c>
      <c r="C2413" s="56">
        <f t="shared" si="3"/>
        <v>24100</v>
      </c>
      <c r="D2413" s="56">
        <v>3.243</v>
      </c>
    </row>
    <row r="2414" ht="15.75" customHeight="1">
      <c r="B2414" s="370">
        <f t="shared" si="2"/>
        <v>0.2790509259</v>
      </c>
      <c r="C2414" s="56">
        <f t="shared" si="3"/>
        <v>24110</v>
      </c>
      <c r="D2414" s="56">
        <v>3.31</v>
      </c>
    </row>
    <row r="2415" ht="15.75" customHeight="1">
      <c r="B2415" s="370">
        <f t="shared" si="2"/>
        <v>0.2791666667</v>
      </c>
      <c r="C2415" s="56">
        <f t="shared" si="3"/>
        <v>24120</v>
      </c>
      <c r="D2415" s="56">
        <v>3.399</v>
      </c>
    </row>
    <row r="2416" ht="15.75" customHeight="1">
      <c r="B2416" s="370">
        <f t="shared" si="2"/>
        <v>0.2792824074</v>
      </c>
      <c r="C2416" s="56">
        <f t="shared" si="3"/>
        <v>24130</v>
      </c>
      <c r="D2416" s="56">
        <v>3.23</v>
      </c>
    </row>
    <row r="2417" ht="15.75" customHeight="1">
      <c r="B2417" s="370">
        <f t="shared" si="2"/>
        <v>0.2793981481</v>
      </c>
      <c r="C2417" s="56">
        <f t="shared" si="3"/>
        <v>24140</v>
      </c>
      <c r="D2417" s="56">
        <v>2.746</v>
      </c>
    </row>
    <row r="2418" ht="15.75" customHeight="1">
      <c r="B2418" s="370">
        <f t="shared" si="2"/>
        <v>0.2795138889</v>
      </c>
      <c r="C2418" s="56">
        <f t="shared" si="3"/>
        <v>24150</v>
      </c>
      <c r="D2418" s="56">
        <v>2.273</v>
      </c>
    </row>
    <row r="2419" ht="15.75" customHeight="1">
      <c r="B2419" s="370">
        <f t="shared" si="2"/>
        <v>0.2796296296</v>
      </c>
      <c r="C2419" s="56">
        <f t="shared" si="3"/>
        <v>24160</v>
      </c>
      <c r="D2419" s="56">
        <v>1.955</v>
      </c>
    </row>
    <row r="2420" ht="15.75" customHeight="1">
      <c r="B2420" s="370">
        <f t="shared" si="2"/>
        <v>0.2797453704</v>
      </c>
      <c r="C2420" s="56">
        <f t="shared" si="3"/>
        <v>24170</v>
      </c>
      <c r="D2420" s="56">
        <v>1.082</v>
      </c>
    </row>
    <row r="2421" ht="15.75" customHeight="1">
      <c r="B2421" s="370">
        <f t="shared" si="2"/>
        <v>0.2798611111</v>
      </c>
      <c r="C2421" s="56">
        <f t="shared" si="3"/>
        <v>24180</v>
      </c>
      <c r="D2421" s="56">
        <v>0.0</v>
      </c>
    </row>
    <row r="2422" ht="15.75" customHeight="1">
      <c r="B2422" s="370">
        <f t="shared" si="2"/>
        <v>0.2799768519</v>
      </c>
      <c r="C2422" s="56">
        <f t="shared" si="3"/>
        <v>24190</v>
      </c>
      <c r="D2422" s="56">
        <v>0.0</v>
      </c>
    </row>
    <row r="2423" ht="15.75" customHeight="1">
      <c r="B2423" s="370">
        <f t="shared" si="2"/>
        <v>0.2800925926</v>
      </c>
      <c r="C2423" s="56">
        <f t="shared" si="3"/>
        <v>24200</v>
      </c>
      <c r="D2423" s="56">
        <v>0.0</v>
      </c>
    </row>
    <row r="2424" ht="15.75" customHeight="1">
      <c r="B2424" s="370">
        <f t="shared" si="2"/>
        <v>0.2802083333</v>
      </c>
      <c r="C2424" s="56">
        <f t="shared" si="3"/>
        <v>24210</v>
      </c>
      <c r="D2424" s="56">
        <v>0.0</v>
      </c>
    </row>
    <row r="2425" ht="15.75" customHeight="1">
      <c r="B2425" s="370">
        <f t="shared" si="2"/>
        <v>0.2803240741</v>
      </c>
      <c r="C2425" s="56">
        <f t="shared" si="3"/>
        <v>24220</v>
      </c>
      <c r="D2425" s="56">
        <v>0.0</v>
      </c>
    </row>
    <row r="2426" ht="15.75" customHeight="1">
      <c r="B2426" s="370">
        <f t="shared" si="2"/>
        <v>0.2804398148</v>
      </c>
      <c r="C2426" s="56">
        <f t="shared" si="3"/>
        <v>24230</v>
      </c>
      <c r="D2426" s="56">
        <v>0.0</v>
      </c>
    </row>
    <row r="2427" ht="15.75" customHeight="1">
      <c r="B2427" s="370">
        <f t="shared" si="2"/>
        <v>0.2805555556</v>
      </c>
      <c r="C2427" s="56">
        <f t="shared" si="3"/>
        <v>24240</v>
      </c>
      <c r="D2427" s="56">
        <v>0.0</v>
      </c>
    </row>
    <row r="2428" ht="15.75" customHeight="1">
      <c r="B2428" s="370">
        <f t="shared" si="2"/>
        <v>0.2806712963</v>
      </c>
      <c r="C2428" s="56">
        <f t="shared" si="3"/>
        <v>24250</v>
      </c>
      <c r="D2428" s="56">
        <v>0.0</v>
      </c>
    </row>
    <row r="2429" ht="15.75" customHeight="1">
      <c r="B2429" s="370">
        <f t="shared" si="2"/>
        <v>0.280787037</v>
      </c>
      <c r="C2429" s="56">
        <f t="shared" si="3"/>
        <v>24260</v>
      </c>
      <c r="D2429" s="56">
        <v>0.0</v>
      </c>
    </row>
    <row r="2430" ht="15.75" customHeight="1">
      <c r="B2430" s="370">
        <f t="shared" si="2"/>
        <v>0.2809027778</v>
      </c>
      <c r="C2430" s="56">
        <f t="shared" si="3"/>
        <v>24270</v>
      </c>
      <c r="D2430" s="56">
        <v>0.0</v>
      </c>
    </row>
    <row r="2431" ht="15.75" customHeight="1">
      <c r="B2431" s="370">
        <f t="shared" si="2"/>
        <v>0.2810185185</v>
      </c>
      <c r="C2431" s="56">
        <f t="shared" si="3"/>
        <v>24280</v>
      </c>
      <c r="D2431" s="56">
        <v>0.0</v>
      </c>
    </row>
    <row r="2432" ht="15.75" customHeight="1">
      <c r="B2432" s="370">
        <f t="shared" si="2"/>
        <v>0.2811342593</v>
      </c>
      <c r="C2432" s="56">
        <f t="shared" si="3"/>
        <v>24290</v>
      </c>
      <c r="D2432" s="56">
        <v>0.0</v>
      </c>
    </row>
    <row r="2433" ht="15.75" customHeight="1">
      <c r="B2433" s="370">
        <f t="shared" si="2"/>
        <v>0.28125</v>
      </c>
      <c r="C2433" s="56">
        <f t="shared" si="3"/>
        <v>24300</v>
      </c>
      <c r="D2433" s="56">
        <v>0.0</v>
      </c>
    </row>
    <row r="2434" ht="15.75" customHeight="1">
      <c r="B2434" s="370">
        <f t="shared" si="2"/>
        <v>0.2813657407</v>
      </c>
      <c r="C2434" s="56">
        <f t="shared" si="3"/>
        <v>24310</v>
      </c>
      <c r="D2434" s="56">
        <v>0.0</v>
      </c>
    </row>
    <row r="2435" ht="15.75" customHeight="1">
      <c r="B2435" s="370">
        <f t="shared" si="2"/>
        <v>0.2814814815</v>
      </c>
      <c r="C2435" s="56">
        <f t="shared" si="3"/>
        <v>24320</v>
      </c>
      <c r="D2435" s="56">
        <v>0.0</v>
      </c>
    </row>
    <row r="2436" ht="15.75" customHeight="1">
      <c r="B2436" s="370">
        <f t="shared" si="2"/>
        <v>0.2815972222</v>
      </c>
      <c r="C2436" s="56">
        <f t="shared" si="3"/>
        <v>24330</v>
      </c>
      <c r="D2436" s="56">
        <v>0.0</v>
      </c>
    </row>
    <row r="2437" ht="15.75" customHeight="1">
      <c r="B2437" s="370">
        <f t="shared" si="2"/>
        <v>0.281712963</v>
      </c>
      <c r="C2437" s="56">
        <f t="shared" si="3"/>
        <v>24340</v>
      </c>
      <c r="D2437" s="56">
        <v>0.0</v>
      </c>
    </row>
    <row r="2438" ht="15.75" customHeight="1">
      <c r="B2438" s="370">
        <f t="shared" si="2"/>
        <v>0.2818287037</v>
      </c>
      <c r="C2438" s="56">
        <f t="shared" si="3"/>
        <v>24350</v>
      </c>
      <c r="D2438" s="56">
        <v>0.0</v>
      </c>
    </row>
    <row r="2439" ht="15.75" customHeight="1">
      <c r="B2439" s="370">
        <f t="shared" si="2"/>
        <v>0.2819444444</v>
      </c>
      <c r="C2439" s="56">
        <f t="shared" si="3"/>
        <v>24360</v>
      </c>
      <c r="D2439" s="56">
        <v>0.0</v>
      </c>
    </row>
    <row r="2440" ht="15.75" customHeight="1">
      <c r="B2440" s="370">
        <f t="shared" si="2"/>
        <v>0.2820601852</v>
      </c>
      <c r="C2440" s="56">
        <f t="shared" si="3"/>
        <v>24370</v>
      </c>
      <c r="D2440" s="56">
        <v>0.0</v>
      </c>
    </row>
    <row r="2441" ht="15.75" customHeight="1">
      <c r="B2441" s="370">
        <f t="shared" si="2"/>
        <v>0.2821759259</v>
      </c>
      <c r="C2441" s="56">
        <f t="shared" si="3"/>
        <v>24380</v>
      </c>
      <c r="D2441" s="56">
        <v>0.0</v>
      </c>
    </row>
    <row r="2442" ht="15.75" customHeight="1">
      <c r="B2442" s="370">
        <f t="shared" si="2"/>
        <v>0.2822916667</v>
      </c>
      <c r="C2442" s="56">
        <f t="shared" si="3"/>
        <v>24390</v>
      </c>
      <c r="D2442" s="56">
        <v>0.0</v>
      </c>
    </row>
    <row r="2443" ht="15.75" customHeight="1">
      <c r="B2443" s="370">
        <f t="shared" si="2"/>
        <v>0.2824074074</v>
      </c>
      <c r="C2443" s="56">
        <f t="shared" si="3"/>
        <v>24400</v>
      </c>
      <c r="D2443" s="56">
        <v>0.0</v>
      </c>
    </row>
    <row r="2444" ht="15.75" customHeight="1">
      <c r="B2444" s="370">
        <f t="shared" si="2"/>
        <v>0.2825231481</v>
      </c>
      <c r="C2444" s="56">
        <f t="shared" si="3"/>
        <v>24410</v>
      </c>
      <c r="D2444" s="56">
        <v>0.0</v>
      </c>
    </row>
    <row r="2445" ht="15.75" customHeight="1">
      <c r="B2445" s="370">
        <f t="shared" si="2"/>
        <v>0.2826388889</v>
      </c>
      <c r="C2445" s="56">
        <f t="shared" si="3"/>
        <v>24420</v>
      </c>
      <c r="D2445" s="56">
        <v>0.0</v>
      </c>
    </row>
    <row r="2446" ht="15.75" customHeight="1">
      <c r="B2446" s="370">
        <f t="shared" si="2"/>
        <v>0.2827546296</v>
      </c>
      <c r="C2446" s="56">
        <f t="shared" si="3"/>
        <v>24430</v>
      </c>
      <c r="D2446" s="56">
        <v>0.0</v>
      </c>
    </row>
    <row r="2447" ht="15.75" customHeight="1">
      <c r="B2447" s="370">
        <f t="shared" si="2"/>
        <v>0.2828703704</v>
      </c>
      <c r="C2447" s="56">
        <f t="shared" si="3"/>
        <v>24440</v>
      </c>
      <c r="D2447" s="56">
        <v>0.0</v>
      </c>
    </row>
    <row r="2448" ht="15.75" customHeight="1">
      <c r="B2448" s="370">
        <f t="shared" si="2"/>
        <v>0.2829861111</v>
      </c>
      <c r="C2448" s="56">
        <f t="shared" si="3"/>
        <v>24450</v>
      </c>
      <c r="D2448" s="56">
        <v>0.0</v>
      </c>
    </row>
    <row r="2449" ht="15.75" customHeight="1">
      <c r="B2449" s="370">
        <f t="shared" si="2"/>
        <v>0.2831018519</v>
      </c>
      <c r="C2449" s="56">
        <f t="shared" si="3"/>
        <v>24460</v>
      </c>
      <c r="D2449" s="56">
        <v>0.0</v>
      </c>
    </row>
    <row r="2450" ht="15.75" customHeight="1">
      <c r="B2450" s="370">
        <f t="shared" si="2"/>
        <v>0.2832175926</v>
      </c>
      <c r="C2450" s="56">
        <f t="shared" si="3"/>
        <v>24470</v>
      </c>
      <c r="D2450" s="56">
        <v>0.0</v>
      </c>
    </row>
    <row r="2451" ht="15.75" customHeight="1">
      <c r="B2451" s="370">
        <f t="shared" si="2"/>
        <v>0.2833333333</v>
      </c>
      <c r="C2451" s="56">
        <f t="shared" si="3"/>
        <v>24480</v>
      </c>
      <c r="D2451" s="56">
        <v>0.0</v>
      </c>
    </row>
    <row r="2452" ht="15.75" customHeight="1">
      <c r="B2452" s="370">
        <f t="shared" si="2"/>
        <v>0.2834490741</v>
      </c>
      <c r="C2452" s="56">
        <f t="shared" si="3"/>
        <v>24490</v>
      </c>
      <c r="D2452" s="56">
        <v>0.0</v>
      </c>
    </row>
    <row r="2453" ht="15.75" customHeight="1">
      <c r="B2453" s="370">
        <f t="shared" si="2"/>
        <v>0.2835648148</v>
      </c>
      <c r="C2453" s="56">
        <f t="shared" si="3"/>
        <v>24500</v>
      </c>
      <c r="D2453" s="56">
        <v>0.0</v>
      </c>
    </row>
    <row r="2454" ht="15.75" customHeight="1">
      <c r="B2454" s="370">
        <f t="shared" si="2"/>
        <v>0.2836805556</v>
      </c>
      <c r="C2454" s="56">
        <f t="shared" si="3"/>
        <v>24510</v>
      </c>
      <c r="D2454" s="56">
        <v>0.0</v>
      </c>
    </row>
    <row r="2455" ht="15.75" customHeight="1">
      <c r="B2455" s="370">
        <f t="shared" si="2"/>
        <v>0.2837962963</v>
      </c>
      <c r="C2455" s="56">
        <f t="shared" si="3"/>
        <v>24520</v>
      </c>
      <c r="D2455" s="56">
        <v>0.0</v>
      </c>
    </row>
    <row r="2456" ht="15.75" customHeight="1">
      <c r="B2456" s="370">
        <f t="shared" si="2"/>
        <v>0.283912037</v>
      </c>
      <c r="C2456" s="56">
        <f t="shared" si="3"/>
        <v>24530</v>
      </c>
      <c r="D2456" s="56">
        <v>0.0</v>
      </c>
    </row>
    <row r="2457" ht="15.75" customHeight="1">
      <c r="B2457" s="370">
        <f t="shared" si="2"/>
        <v>0.2840277778</v>
      </c>
      <c r="C2457" s="56">
        <f t="shared" si="3"/>
        <v>24540</v>
      </c>
      <c r="D2457" s="56">
        <v>0.0</v>
      </c>
    </row>
    <row r="2458" ht="15.75" customHeight="1">
      <c r="B2458" s="370">
        <f t="shared" si="2"/>
        <v>0.2841435185</v>
      </c>
      <c r="C2458" s="56">
        <f t="shared" si="3"/>
        <v>24550</v>
      </c>
      <c r="D2458" s="56">
        <v>0.0</v>
      </c>
    </row>
    <row r="2459" ht="15.75" customHeight="1">
      <c r="B2459" s="370">
        <f t="shared" si="2"/>
        <v>0.2842592593</v>
      </c>
      <c r="C2459" s="56">
        <f t="shared" si="3"/>
        <v>24560</v>
      </c>
      <c r="D2459" s="56">
        <v>0.0</v>
      </c>
    </row>
    <row r="2460" ht="15.75" customHeight="1">
      <c r="B2460" s="370">
        <f t="shared" si="2"/>
        <v>0.284375</v>
      </c>
      <c r="C2460" s="56">
        <f t="shared" si="3"/>
        <v>24570</v>
      </c>
      <c r="D2460" s="56">
        <v>0.0</v>
      </c>
    </row>
    <row r="2461" ht="15.75" customHeight="1">
      <c r="B2461" s="370">
        <f t="shared" si="2"/>
        <v>0.2844907407</v>
      </c>
      <c r="C2461" s="56">
        <f t="shared" si="3"/>
        <v>24580</v>
      </c>
      <c r="D2461" s="56">
        <v>0.0</v>
      </c>
    </row>
    <row r="2462" ht="15.75" customHeight="1">
      <c r="B2462" s="370">
        <f t="shared" si="2"/>
        <v>0.2846064815</v>
      </c>
      <c r="C2462" s="56">
        <f t="shared" si="3"/>
        <v>24590</v>
      </c>
      <c r="D2462" s="56">
        <v>0.0</v>
      </c>
    </row>
    <row r="2463" ht="15.75" customHeight="1">
      <c r="B2463" s="370">
        <f t="shared" si="2"/>
        <v>0.2847222222</v>
      </c>
      <c r="C2463" s="56">
        <f t="shared" si="3"/>
        <v>24600</v>
      </c>
      <c r="D2463" s="56">
        <v>0.0</v>
      </c>
    </row>
    <row r="2464" ht="15.75" customHeight="1">
      <c r="B2464" s="370">
        <f t="shared" si="2"/>
        <v>0.284837963</v>
      </c>
      <c r="C2464" s="56">
        <f t="shared" si="3"/>
        <v>24610</v>
      </c>
      <c r="D2464" s="56">
        <v>0.0</v>
      </c>
    </row>
    <row r="2465" ht="15.75" customHeight="1">
      <c r="B2465" s="370">
        <f t="shared" si="2"/>
        <v>0.2849537037</v>
      </c>
      <c r="C2465" s="56">
        <f t="shared" si="3"/>
        <v>24620</v>
      </c>
      <c r="D2465" s="56">
        <v>0.0</v>
      </c>
    </row>
    <row r="2466" ht="15.75" customHeight="1">
      <c r="B2466" s="370">
        <f t="shared" si="2"/>
        <v>0.2850694444</v>
      </c>
      <c r="C2466" s="56">
        <f t="shared" si="3"/>
        <v>24630</v>
      </c>
      <c r="D2466" s="56">
        <v>0.0</v>
      </c>
    </row>
    <row r="2467" ht="15.75" customHeight="1">
      <c r="B2467" s="370">
        <f t="shared" si="2"/>
        <v>0.2851851852</v>
      </c>
      <c r="C2467" s="56">
        <f t="shared" si="3"/>
        <v>24640</v>
      </c>
      <c r="D2467" s="56">
        <v>0.0</v>
      </c>
    </row>
    <row r="2468" ht="15.75" customHeight="1">
      <c r="B2468" s="370">
        <f t="shared" si="2"/>
        <v>0.2853009259</v>
      </c>
      <c r="C2468" s="56">
        <f t="shared" si="3"/>
        <v>24650</v>
      </c>
      <c r="D2468" s="56">
        <v>0.0</v>
      </c>
    </row>
    <row r="2469" ht="15.75" customHeight="1">
      <c r="B2469" s="370">
        <f t="shared" si="2"/>
        <v>0.2854166667</v>
      </c>
      <c r="C2469" s="56">
        <f t="shared" si="3"/>
        <v>24660</v>
      </c>
      <c r="D2469" s="56">
        <v>0.0</v>
      </c>
    </row>
    <row r="2470" ht="15.75" customHeight="1">
      <c r="B2470" s="370">
        <f t="shared" si="2"/>
        <v>0.2855324074</v>
      </c>
      <c r="C2470" s="56">
        <f t="shared" si="3"/>
        <v>24670</v>
      </c>
      <c r="D2470" s="56">
        <v>0.0</v>
      </c>
    </row>
    <row r="2471" ht="15.75" customHeight="1">
      <c r="B2471" s="370">
        <f t="shared" si="2"/>
        <v>0.2856481481</v>
      </c>
      <c r="C2471" s="56">
        <f t="shared" si="3"/>
        <v>24680</v>
      </c>
      <c r="D2471" s="56">
        <v>0.0</v>
      </c>
    </row>
    <row r="2472" ht="15.75" customHeight="1">
      <c r="B2472" s="370">
        <f t="shared" si="2"/>
        <v>0.2857638889</v>
      </c>
      <c r="C2472" s="56">
        <f t="shared" si="3"/>
        <v>24690</v>
      </c>
      <c r="D2472" s="56">
        <v>0.0</v>
      </c>
    </row>
    <row r="2473" ht="15.75" customHeight="1">
      <c r="B2473" s="370">
        <f t="shared" si="2"/>
        <v>0.2858796296</v>
      </c>
      <c r="C2473" s="56">
        <f t="shared" si="3"/>
        <v>24700</v>
      </c>
      <c r="D2473" s="56">
        <v>0.0</v>
      </c>
    </row>
    <row r="2474" ht="15.75" customHeight="1">
      <c r="B2474" s="370">
        <f t="shared" si="2"/>
        <v>0.2859953704</v>
      </c>
      <c r="C2474" s="56">
        <f t="shared" si="3"/>
        <v>24710</v>
      </c>
      <c r="D2474" s="56">
        <v>0.0</v>
      </c>
    </row>
    <row r="2475" ht="15.75" customHeight="1">
      <c r="B2475" s="370">
        <f t="shared" si="2"/>
        <v>0.2861111111</v>
      </c>
      <c r="C2475" s="56">
        <f t="shared" si="3"/>
        <v>24720</v>
      </c>
      <c r="D2475" s="56">
        <v>0.0</v>
      </c>
    </row>
    <row r="2476" ht="15.75" customHeight="1">
      <c r="B2476" s="370">
        <f t="shared" si="2"/>
        <v>0.2862268519</v>
      </c>
      <c r="C2476" s="56">
        <f t="shared" si="3"/>
        <v>24730</v>
      </c>
      <c r="D2476" s="56">
        <v>0.0</v>
      </c>
    </row>
    <row r="2477" ht="15.75" customHeight="1">
      <c r="B2477" s="370">
        <f t="shared" si="2"/>
        <v>0.2863425926</v>
      </c>
      <c r="C2477" s="56">
        <f t="shared" si="3"/>
        <v>24740</v>
      </c>
      <c r="D2477" s="56">
        <v>0.0</v>
      </c>
    </row>
    <row r="2478" ht="15.75" customHeight="1">
      <c r="B2478" s="370">
        <f t="shared" si="2"/>
        <v>0.2864583333</v>
      </c>
      <c r="C2478" s="56">
        <f t="shared" si="3"/>
        <v>24750</v>
      </c>
      <c r="D2478" s="56">
        <v>0.0</v>
      </c>
    </row>
    <row r="2479" ht="15.75" customHeight="1">
      <c r="B2479" s="370">
        <f t="shared" si="2"/>
        <v>0.2865740741</v>
      </c>
      <c r="C2479" s="56">
        <f t="shared" si="3"/>
        <v>24760</v>
      </c>
      <c r="D2479" s="56">
        <v>0.0</v>
      </c>
    </row>
    <row r="2480" ht="15.75" customHeight="1">
      <c r="B2480" s="370">
        <f t="shared" si="2"/>
        <v>0.2866898148</v>
      </c>
      <c r="C2480" s="56">
        <f t="shared" si="3"/>
        <v>24770</v>
      </c>
      <c r="D2480" s="56">
        <v>0.0</v>
      </c>
    </row>
    <row r="2481" ht="15.75" customHeight="1">
      <c r="B2481" s="370">
        <f t="shared" si="2"/>
        <v>0.2868055556</v>
      </c>
      <c r="C2481" s="56">
        <f t="shared" si="3"/>
        <v>24780</v>
      </c>
      <c r="D2481" s="56">
        <v>0.0</v>
      </c>
    </row>
    <row r="2482" ht="15.75" customHeight="1">
      <c r="B2482" s="370">
        <f t="shared" si="2"/>
        <v>0.2869212963</v>
      </c>
      <c r="C2482" s="56">
        <f t="shared" si="3"/>
        <v>24790</v>
      </c>
      <c r="D2482" s="56">
        <v>0.0</v>
      </c>
    </row>
    <row r="2483" ht="15.75" customHeight="1">
      <c r="B2483" s="370">
        <f t="shared" si="2"/>
        <v>0.287037037</v>
      </c>
      <c r="C2483" s="56">
        <f t="shared" si="3"/>
        <v>24800</v>
      </c>
      <c r="D2483" s="56">
        <v>0.0</v>
      </c>
    </row>
    <row r="2484" ht="15.75" customHeight="1">
      <c r="B2484" s="370">
        <f t="shared" si="2"/>
        <v>0.2871527778</v>
      </c>
      <c r="C2484" s="56">
        <f t="shared" si="3"/>
        <v>24810</v>
      </c>
      <c r="D2484" s="56">
        <v>0.0</v>
      </c>
    </row>
    <row r="2485" ht="15.75" customHeight="1">
      <c r="B2485" s="370">
        <f t="shared" si="2"/>
        <v>0.2872685185</v>
      </c>
      <c r="C2485" s="56">
        <f t="shared" si="3"/>
        <v>24820</v>
      </c>
      <c r="D2485" s="56">
        <v>0.0</v>
      </c>
    </row>
    <row r="2486" ht="15.75" customHeight="1">
      <c r="B2486" s="370">
        <f t="shared" si="2"/>
        <v>0.2873842593</v>
      </c>
      <c r="C2486" s="56">
        <f t="shared" si="3"/>
        <v>24830</v>
      </c>
      <c r="D2486" s="56">
        <v>0.0</v>
      </c>
    </row>
    <row r="2487" ht="15.75" customHeight="1">
      <c r="B2487" s="370">
        <f t="shared" si="2"/>
        <v>0.2875</v>
      </c>
      <c r="C2487" s="56">
        <f t="shared" si="3"/>
        <v>24840</v>
      </c>
      <c r="D2487" s="56">
        <v>0.0</v>
      </c>
    </row>
    <row r="2488" ht="15.75" customHeight="1">
      <c r="B2488" s="370">
        <f t="shared" si="2"/>
        <v>0.2876157407</v>
      </c>
      <c r="C2488" s="56">
        <f t="shared" si="3"/>
        <v>24850</v>
      </c>
      <c r="D2488" s="56">
        <v>0.0</v>
      </c>
    </row>
    <row r="2489" ht="15.75" customHeight="1">
      <c r="B2489" s="370">
        <f t="shared" si="2"/>
        <v>0.2877314815</v>
      </c>
      <c r="C2489" s="56">
        <f t="shared" si="3"/>
        <v>24860</v>
      </c>
      <c r="D2489" s="56">
        <v>0.0</v>
      </c>
    </row>
    <row r="2490" ht="15.75" customHeight="1">
      <c r="B2490" s="370">
        <f t="shared" si="2"/>
        <v>0.2878472222</v>
      </c>
      <c r="C2490" s="56">
        <f t="shared" si="3"/>
        <v>24870</v>
      </c>
      <c r="D2490" s="56">
        <v>0.0</v>
      </c>
    </row>
    <row r="2491" ht="15.75" customHeight="1">
      <c r="B2491" s="370">
        <f t="shared" si="2"/>
        <v>0.287962963</v>
      </c>
      <c r="C2491" s="56">
        <f t="shared" si="3"/>
        <v>24880</v>
      </c>
      <c r="D2491" s="56">
        <v>0.0</v>
      </c>
    </row>
    <row r="2492" ht="15.75" customHeight="1">
      <c r="B2492" s="370">
        <f t="shared" si="2"/>
        <v>0.2880787037</v>
      </c>
      <c r="C2492" s="56">
        <f t="shared" si="3"/>
        <v>24890</v>
      </c>
      <c r="D2492" s="56">
        <v>0.0</v>
      </c>
    </row>
    <row r="2493" ht="15.75" customHeight="1">
      <c r="B2493" s="370">
        <f t="shared" si="2"/>
        <v>0.2881944444</v>
      </c>
      <c r="C2493" s="56">
        <f t="shared" si="3"/>
        <v>24900</v>
      </c>
      <c r="D2493" s="56">
        <v>0.0</v>
      </c>
    </row>
    <row r="2494" ht="15.75" customHeight="1">
      <c r="B2494" s="370">
        <f t="shared" si="2"/>
        <v>0.2883101852</v>
      </c>
      <c r="C2494" s="56">
        <f t="shared" si="3"/>
        <v>24910</v>
      </c>
      <c r="D2494" s="56">
        <v>0.0</v>
      </c>
    </row>
    <row r="2495" ht="15.75" customHeight="1">
      <c r="B2495" s="370">
        <f t="shared" si="2"/>
        <v>0.2884259259</v>
      </c>
      <c r="C2495" s="56">
        <f t="shared" si="3"/>
        <v>24920</v>
      </c>
      <c r="D2495" s="56">
        <v>0.0</v>
      </c>
    </row>
    <row r="2496" ht="15.75" customHeight="1">
      <c r="B2496" s="370">
        <f t="shared" si="2"/>
        <v>0.2885416667</v>
      </c>
      <c r="C2496" s="56">
        <f t="shared" si="3"/>
        <v>24930</v>
      </c>
      <c r="D2496" s="56">
        <v>0.0</v>
      </c>
    </row>
    <row r="2497" ht="15.75" customHeight="1">
      <c r="B2497" s="370">
        <f t="shared" si="2"/>
        <v>0.2886574074</v>
      </c>
      <c r="C2497" s="56">
        <f t="shared" si="3"/>
        <v>24940</v>
      </c>
      <c r="D2497" s="56">
        <v>0.0</v>
      </c>
    </row>
    <row r="2498" ht="15.75" customHeight="1">
      <c r="B2498" s="370">
        <f t="shared" si="2"/>
        <v>0.2887731481</v>
      </c>
      <c r="C2498" s="56">
        <f t="shared" si="3"/>
        <v>24950</v>
      </c>
      <c r="D2498" s="56">
        <v>0.0</v>
      </c>
    </row>
    <row r="2499" ht="15.75" customHeight="1">
      <c r="B2499" s="370">
        <f t="shared" si="2"/>
        <v>0.2888888889</v>
      </c>
      <c r="C2499" s="56">
        <f t="shared" si="3"/>
        <v>24960</v>
      </c>
      <c r="D2499" s="56">
        <v>0.0</v>
      </c>
    </row>
    <row r="2500" ht="15.75" customHeight="1">
      <c r="B2500" s="370">
        <f t="shared" si="2"/>
        <v>0.2890046296</v>
      </c>
      <c r="C2500" s="56">
        <f t="shared" si="3"/>
        <v>24970</v>
      </c>
      <c r="D2500" s="56">
        <v>0.0</v>
      </c>
    </row>
    <row r="2501" ht="15.75" customHeight="1">
      <c r="B2501" s="370">
        <f t="shared" si="2"/>
        <v>0.2891203704</v>
      </c>
      <c r="C2501" s="56">
        <f t="shared" si="3"/>
        <v>24980</v>
      </c>
      <c r="D2501" s="56">
        <v>0.0</v>
      </c>
    </row>
    <row r="2502" ht="15.75" customHeight="1">
      <c r="B2502" s="370">
        <f t="shared" si="2"/>
        <v>0.2892361111</v>
      </c>
      <c r="C2502" s="56">
        <f t="shared" si="3"/>
        <v>24990</v>
      </c>
      <c r="D2502" s="56">
        <v>0.0</v>
      </c>
    </row>
    <row r="2503" ht="15.75" customHeight="1">
      <c r="B2503" s="370">
        <f t="shared" si="2"/>
        <v>0.2893518519</v>
      </c>
      <c r="C2503" s="56">
        <f t="shared" si="3"/>
        <v>25000</v>
      </c>
      <c r="D2503" s="56">
        <v>0.0</v>
      </c>
    </row>
    <row r="2504" ht="15.75" customHeight="1">
      <c r="B2504" s="370">
        <f t="shared" si="2"/>
        <v>0.2894675926</v>
      </c>
      <c r="C2504" s="56">
        <f t="shared" si="3"/>
        <v>25010</v>
      </c>
      <c r="D2504" s="56">
        <v>0.0</v>
      </c>
    </row>
    <row r="2505" ht="15.75" customHeight="1">
      <c r="B2505" s="370">
        <f t="shared" si="2"/>
        <v>0.2895833333</v>
      </c>
      <c r="C2505" s="56">
        <f t="shared" si="3"/>
        <v>25020</v>
      </c>
      <c r="D2505" s="56">
        <v>0.0</v>
      </c>
    </row>
    <row r="2506" ht="15.75" customHeight="1">
      <c r="B2506" s="370">
        <f t="shared" si="2"/>
        <v>0.2896990741</v>
      </c>
      <c r="C2506" s="56">
        <f t="shared" si="3"/>
        <v>25030</v>
      </c>
      <c r="D2506" s="56">
        <v>0.0</v>
      </c>
    </row>
    <row r="2507" ht="15.75" customHeight="1">
      <c r="B2507" s="370">
        <f t="shared" si="2"/>
        <v>0.2898148148</v>
      </c>
      <c r="C2507" s="56">
        <f t="shared" si="3"/>
        <v>25040</v>
      </c>
      <c r="D2507" s="56">
        <v>0.0</v>
      </c>
    </row>
    <row r="2508" ht="15.75" customHeight="1">
      <c r="B2508" s="370">
        <f t="shared" si="2"/>
        <v>0.2899305556</v>
      </c>
      <c r="C2508" s="56">
        <f t="shared" si="3"/>
        <v>25050</v>
      </c>
      <c r="D2508" s="56">
        <v>0.0</v>
      </c>
    </row>
    <row r="2509" ht="15.75" customHeight="1">
      <c r="B2509" s="370">
        <f t="shared" si="2"/>
        <v>0.2900462963</v>
      </c>
      <c r="C2509" s="56">
        <f t="shared" si="3"/>
        <v>25060</v>
      </c>
      <c r="D2509" s="56">
        <v>0.0</v>
      </c>
    </row>
    <row r="2510" ht="15.75" customHeight="1">
      <c r="B2510" s="370">
        <f t="shared" si="2"/>
        <v>0.290162037</v>
      </c>
      <c r="C2510" s="56">
        <f t="shared" si="3"/>
        <v>25070</v>
      </c>
      <c r="D2510" s="56">
        <v>0.0</v>
      </c>
    </row>
    <row r="2511" ht="15.75" customHeight="1">
      <c r="B2511" s="370">
        <f t="shared" si="2"/>
        <v>0.2902777778</v>
      </c>
      <c r="C2511" s="56">
        <f t="shared" si="3"/>
        <v>25080</v>
      </c>
      <c r="D2511" s="56">
        <v>0.0</v>
      </c>
    </row>
    <row r="2512" ht="15.75" customHeight="1">
      <c r="B2512" s="370">
        <f t="shared" si="2"/>
        <v>0.2903935185</v>
      </c>
      <c r="C2512" s="56">
        <f t="shared" si="3"/>
        <v>25090</v>
      </c>
      <c r="D2512" s="56">
        <v>0.0</v>
      </c>
    </row>
    <row r="2513" ht="15.75" customHeight="1">
      <c r="B2513" s="370">
        <f t="shared" si="2"/>
        <v>0.2905092593</v>
      </c>
      <c r="C2513" s="56">
        <f t="shared" si="3"/>
        <v>25100</v>
      </c>
      <c r="D2513" s="56">
        <v>0.0</v>
      </c>
    </row>
    <row r="2514" ht="15.75" customHeight="1">
      <c r="B2514" s="370">
        <f t="shared" si="2"/>
        <v>0.290625</v>
      </c>
      <c r="C2514" s="56">
        <f t="shared" si="3"/>
        <v>25110</v>
      </c>
      <c r="D2514" s="56">
        <v>0.0</v>
      </c>
    </row>
    <row r="2515" ht="15.75" customHeight="1">
      <c r="B2515" s="370">
        <f t="shared" si="2"/>
        <v>0.2907407407</v>
      </c>
      <c r="C2515" s="56">
        <f t="shared" si="3"/>
        <v>25120</v>
      </c>
      <c r="D2515" s="56">
        <v>0.0</v>
      </c>
    </row>
    <row r="2516" ht="15.75" customHeight="1">
      <c r="B2516" s="370">
        <f t="shared" si="2"/>
        <v>0.2908564815</v>
      </c>
      <c r="C2516" s="56">
        <f t="shared" si="3"/>
        <v>25130</v>
      </c>
      <c r="D2516" s="56">
        <v>0.0</v>
      </c>
    </row>
    <row r="2517" ht="15.75" customHeight="1">
      <c r="B2517" s="370">
        <f t="shared" si="2"/>
        <v>0.2909722222</v>
      </c>
      <c r="C2517" s="56">
        <f t="shared" si="3"/>
        <v>25140</v>
      </c>
      <c r="D2517" s="56">
        <v>0.0</v>
      </c>
    </row>
    <row r="2518" ht="15.75" customHeight="1">
      <c r="B2518" s="370">
        <f t="shared" si="2"/>
        <v>0.291087963</v>
      </c>
      <c r="C2518" s="56">
        <f t="shared" si="3"/>
        <v>25150</v>
      </c>
      <c r="D2518" s="56">
        <v>0.0</v>
      </c>
    </row>
    <row r="2519" ht="15.75" customHeight="1">
      <c r="B2519" s="370">
        <f t="shared" si="2"/>
        <v>0.2912037037</v>
      </c>
      <c r="C2519" s="56">
        <f t="shared" si="3"/>
        <v>25160</v>
      </c>
      <c r="D2519" s="56">
        <v>0.0</v>
      </c>
    </row>
    <row r="2520" ht="15.75" customHeight="1">
      <c r="B2520" s="370">
        <f t="shared" si="2"/>
        <v>0.2913194444</v>
      </c>
      <c r="C2520" s="56">
        <f t="shared" si="3"/>
        <v>25170</v>
      </c>
      <c r="D2520" s="56">
        <v>0.0</v>
      </c>
    </row>
    <row r="2521" ht="15.75" customHeight="1">
      <c r="B2521" s="370">
        <f t="shared" si="2"/>
        <v>0.2914351852</v>
      </c>
      <c r="C2521" s="56">
        <f t="shared" si="3"/>
        <v>25180</v>
      </c>
      <c r="D2521" s="56">
        <v>0.0</v>
      </c>
    </row>
    <row r="2522" ht="15.75" customHeight="1">
      <c r="B2522" s="370">
        <f t="shared" si="2"/>
        <v>0.2915509259</v>
      </c>
      <c r="C2522" s="56">
        <f t="shared" si="3"/>
        <v>25190</v>
      </c>
      <c r="D2522" s="56">
        <v>0.0</v>
      </c>
    </row>
    <row r="2523" ht="15.75" customHeight="1">
      <c r="B2523" s="370">
        <f t="shared" si="2"/>
        <v>0.2916666667</v>
      </c>
      <c r="C2523" s="56">
        <f t="shared" si="3"/>
        <v>25200</v>
      </c>
      <c r="D2523" s="56">
        <v>0.0</v>
      </c>
    </row>
    <row r="2524" ht="15.75" customHeight="1">
      <c r="B2524" s="370">
        <f t="shared" si="2"/>
        <v>0.2917824074</v>
      </c>
      <c r="C2524" s="56">
        <f t="shared" si="3"/>
        <v>25210</v>
      </c>
      <c r="D2524" s="56">
        <v>0.0</v>
      </c>
    </row>
    <row r="2525" ht="15.75" customHeight="1">
      <c r="B2525" s="370">
        <f t="shared" si="2"/>
        <v>0.2918981481</v>
      </c>
      <c r="C2525" s="56">
        <f t="shared" si="3"/>
        <v>25220</v>
      </c>
      <c r="D2525" s="56">
        <v>0.0</v>
      </c>
    </row>
    <row r="2526" ht="15.75" customHeight="1">
      <c r="B2526" s="370">
        <f t="shared" si="2"/>
        <v>0.2920138889</v>
      </c>
      <c r="C2526" s="56">
        <f t="shared" si="3"/>
        <v>25230</v>
      </c>
      <c r="D2526" s="56">
        <v>0.0</v>
      </c>
    </row>
    <row r="2527" ht="15.75" customHeight="1">
      <c r="B2527" s="370">
        <f t="shared" si="2"/>
        <v>0.2921296296</v>
      </c>
      <c r="C2527" s="56">
        <f t="shared" si="3"/>
        <v>25240</v>
      </c>
      <c r="D2527" s="56">
        <v>0.0</v>
      </c>
    </row>
    <row r="2528" ht="15.75" customHeight="1">
      <c r="B2528" s="370">
        <f t="shared" si="2"/>
        <v>0.2922453704</v>
      </c>
      <c r="C2528" s="56">
        <f t="shared" si="3"/>
        <v>25250</v>
      </c>
      <c r="D2528" s="56">
        <v>0.0</v>
      </c>
    </row>
    <row r="2529" ht="15.75" customHeight="1">
      <c r="B2529" s="370">
        <f t="shared" si="2"/>
        <v>0.2923611111</v>
      </c>
      <c r="C2529" s="56">
        <f t="shared" si="3"/>
        <v>25260</v>
      </c>
      <c r="D2529" s="56">
        <v>0.0</v>
      </c>
    </row>
    <row r="2530" ht="15.75" customHeight="1">
      <c r="B2530" s="370">
        <f t="shared" si="2"/>
        <v>0.2924768519</v>
      </c>
      <c r="C2530" s="56">
        <f t="shared" si="3"/>
        <v>25270</v>
      </c>
      <c r="D2530" s="56">
        <v>0.0</v>
      </c>
    </row>
    <row r="2531" ht="15.75" customHeight="1">
      <c r="B2531" s="370">
        <f t="shared" si="2"/>
        <v>0.2925925926</v>
      </c>
      <c r="C2531" s="56">
        <f t="shared" si="3"/>
        <v>25280</v>
      </c>
      <c r="D2531" s="56">
        <v>0.0</v>
      </c>
    </row>
    <row r="2532" ht="15.75" customHeight="1">
      <c r="B2532" s="370">
        <f t="shared" si="2"/>
        <v>0.2927083333</v>
      </c>
      <c r="C2532" s="56">
        <f t="shared" si="3"/>
        <v>25290</v>
      </c>
      <c r="D2532" s="56">
        <v>0.0</v>
      </c>
    </row>
    <row r="2533" ht="15.75" customHeight="1">
      <c r="B2533" s="370">
        <f t="shared" si="2"/>
        <v>0.2928240741</v>
      </c>
      <c r="C2533" s="56">
        <f t="shared" si="3"/>
        <v>25300</v>
      </c>
      <c r="D2533" s="56">
        <v>0.0</v>
      </c>
    </row>
    <row r="2534" ht="15.75" customHeight="1">
      <c r="B2534" s="370">
        <f t="shared" si="2"/>
        <v>0.2929398148</v>
      </c>
      <c r="C2534" s="56">
        <f t="shared" si="3"/>
        <v>25310</v>
      </c>
      <c r="D2534" s="56">
        <v>0.0</v>
      </c>
    </row>
    <row r="2535" ht="15.75" customHeight="1">
      <c r="B2535" s="370">
        <f t="shared" si="2"/>
        <v>0.2930555556</v>
      </c>
      <c r="C2535" s="56">
        <f t="shared" si="3"/>
        <v>25320</v>
      </c>
      <c r="D2535" s="56">
        <v>0.0</v>
      </c>
    </row>
    <row r="2536" ht="15.75" customHeight="1">
      <c r="B2536" s="370">
        <f t="shared" si="2"/>
        <v>0.2931712963</v>
      </c>
      <c r="C2536" s="56">
        <f t="shared" si="3"/>
        <v>25330</v>
      </c>
      <c r="D2536" s="56">
        <v>0.0</v>
      </c>
    </row>
    <row r="2537" ht="15.75" customHeight="1">
      <c r="B2537" s="370">
        <f t="shared" si="2"/>
        <v>0.293287037</v>
      </c>
      <c r="C2537" s="56">
        <f t="shared" si="3"/>
        <v>25340</v>
      </c>
      <c r="D2537" s="56">
        <v>0.0</v>
      </c>
    </row>
    <row r="2538" ht="15.75" customHeight="1">
      <c r="B2538" s="370">
        <f t="shared" si="2"/>
        <v>0.2934027778</v>
      </c>
      <c r="C2538" s="56">
        <f t="shared" si="3"/>
        <v>25350</v>
      </c>
      <c r="D2538" s="56">
        <v>0.0</v>
      </c>
    </row>
    <row r="2539" ht="15.75" customHeight="1">
      <c r="B2539" s="370">
        <f t="shared" si="2"/>
        <v>0.2935185185</v>
      </c>
      <c r="C2539" s="56">
        <f t="shared" si="3"/>
        <v>25360</v>
      </c>
      <c r="D2539" s="56">
        <v>0.0</v>
      </c>
    </row>
    <row r="2540" ht="15.75" customHeight="1">
      <c r="B2540" s="370">
        <f t="shared" si="2"/>
        <v>0.2936342593</v>
      </c>
      <c r="C2540" s="56">
        <f t="shared" si="3"/>
        <v>25370</v>
      </c>
      <c r="D2540" s="56">
        <v>0.0</v>
      </c>
    </row>
    <row r="2541" ht="15.75" customHeight="1">
      <c r="B2541" s="370">
        <f t="shared" si="2"/>
        <v>0.29375</v>
      </c>
      <c r="C2541" s="56">
        <f t="shared" si="3"/>
        <v>25380</v>
      </c>
      <c r="D2541" s="56">
        <v>0.0</v>
      </c>
    </row>
    <row r="2542" ht="15.75" customHeight="1">
      <c r="B2542" s="370">
        <f t="shared" si="2"/>
        <v>0.2938657407</v>
      </c>
      <c r="C2542" s="56">
        <f t="shared" si="3"/>
        <v>25390</v>
      </c>
      <c r="D2542" s="56">
        <v>0.0</v>
      </c>
    </row>
    <row r="2543" ht="15.75" customHeight="1">
      <c r="B2543" s="370">
        <f t="shared" si="2"/>
        <v>0.2939814815</v>
      </c>
      <c r="C2543" s="56">
        <f t="shared" si="3"/>
        <v>25400</v>
      </c>
      <c r="D2543" s="56">
        <v>0.0</v>
      </c>
    </row>
    <row r="2544" ht="15.75" customHeight="1">
      <c r="B2544" s="370">
        <f t="shared" si="2"/>
        <v>0.2940972222</v>
      </c>
      <c r="C2544" s="56">
        <f t="shared" si="3"/>
        <v>25410</v>
      </c>
      <c r="D2544" s="56">
        <v>0.0</v>
      </c>
    </row>
    <row r="2545" ht="15.75" customHeight="1">
      <c r="B2545" s="370">
        <f t="shared" si="2"/>
        <v>0.294212963</v>
      </c>
      <c r="C2545" s="56">
        <f t="shared" si="3"/>
        <v>25420</v>
      </c>
      <c r="D2545" s="56">
        <v>0.0</v>
      </c>
    </row>
    <row r="2546" ht="15.75" customHeight="1">
      <c r="B2546" s="370">
        <f t="shared" si="2"/>
        <v>0.2943287037</v>
      </c>
      <c r="C2546" s="56">
        <f t="shared" si="3"/>
        <v>25430</v>
      </c>
      <c r="D2546" s="56">
        <v>0.0</v>
      </c>
    </row>
    <row r="2547" ht="15.75" customHeight="1">
      <c r="B2547" s="370">
        <f t="shared" si="2"/>
        <v>0.2944444444</v>
      </c>
      <c r="C2547" s="56">
        <f t="shared" si="3"/>
        <v>25440</v>
      </c>
      <c r="D2547" s="56">
        <v>0.0</v>
      </c>
    </row>
    <row r="2548" ht="15.75" customHeight="1">
      <c r="B2548" s="370">
        <f t="shared" si="2"/>
        <v>0.2945601852</v>
      </c>
      <c r="C2548" s="56">
        <f t="shared" si="3"/>
        <v>25450</v>
      </c>
      <c r="D2548" s="56">
        <v>0.0</v>
      </c>
    </row>
    <row r="2549" ht="15.75" customHeight="1">
      <c r="B2549" s="370">
        <f t="shared" si="2"/>
        <v>0.2946759259</v>
      </c>
      <c r="C2549" s="56">
        <f t="shared" si="3"/>
        <v>25460</v>
      </c>
      <c r="D2549" s="56">
        <v>0.0</v>
      </c>
    </row>
    <row r="2550" ht="15.75" customHeight="1">
      <c r="B2550" s="370">
        <f t="shared" si="2"/>
        <v>0.2947916667</v>
      </c>
      <c r="C2550" s="56">
        <f t="shared" si="3"/>
        <v>25470</v>
      </c>
      <c r="D2550" s="56">
        <v>0.0</v>
      </c>
    </row>
    <row r="2551" ht="15.75" customHeight="1">
      <c r="B2551" s="370">
        <f t="shared" si="2"/>
        <v>0.2949074074</v>
      </c>
      <c r="C2551" s="56">
        <f t="shared" si="3"/>
        <v>25480</v>
      </c>
      <c r="D2551" s="56">
        <v>0.0</v>
      </c>
    </row>
    <row r="2552" ht="15.75" customHeight="1">
      <c r="B2552" s="370">
        <f t="shared" si="2"/>
        <v>0.2950231481</v>
      </c>
      <c r="C2552" s="56">
        <f t="shared" si="3"/>
        <v>25490</v>
      </c>
      <c r="D2552" s="56">
        <v>0.0</v>
      </c>
    </row>
    <row r="2553" ht="15.75" customHeight="1">
      <c r="B2553" s="370">
        <f t="shared" si="2"/>
        <v>0.2951388889</v>
      </c>
      <c r="C2553" s="56">
        <f t="shared" si="3"/>
        <v>25500</v>
      </c>
      <c r="D2553" s="56">
        <v>0.0</v>
      </c>
    </row>
    <row r="2554" ht="15.75" customHeight="1">
      <c r="B2554" s="370">
        <f t="shared" si="2"/>
        <v>0.2952546296</v>
      </c>
      <c r="C2554" s="56">
        <f t="shared" si="3"/>
        <v>25510</v>
      </c>
      <c r="D2554" s="56">
        <v>0.0</v>
      </c>
    </row>
    <row r="2555" ht="15.75" customHeight="1">
      <c r="B2555" s="370">
        <f t="shared" si="2"/>
        <v>0.2953703704</v>
      </c>
      <c r="C2555" s="56">
        <f t="shared" si="3"/>
        <v>25520</v>
      </c>
      <c r="D2555" s="56">
        <v>0.0</v>
      </c>
    </row>
    <row r="2556" ht="15.75" customHeight="1">
      <c r="B2556" s="370">
        <f t="shared" si="2"/>
        <v>0.2954861111</v>
      </c>
      <c r="C2556" s="56">
        <f t="shared" si="3"/>
        <v>25530</v>
      </c>
      <c r="D2556" s="56">
        <v>0.0</v>
      </c>
    </row>
    <row r="2557" ht="15.75" customHeight="1">
      <c r="B2557" s="370">
        <f t="shared" si="2"/>
        <v>0.2956018519</v>
      </c>
      <c r="C2557" s="56">
        <f t="shared" si="3"/>
        <v>25540</v>
      </c>
      <c r="D2557" s="56">
        <v>0.0</v>
      </c>
    </row>
    <row r="2558" ht="15.75" customHeight="1">
      <c r="B2558" s="370">
        <f t="shared" si="2"/>
        <v>0.2957175926</v>
      </c>
      <c r="C2558" s="56">
        <f t="shared" si="3"/>
        <v>25550</v>
      </c>
      <c r="D2558" s="56">
        <v>0.0</v>
      </c>
    </row>
    <row r="2559" ht="15.75" customHeight="1">
      <c r="B2559" s="370">
        <f t="shared" si="2"/>
        <v>0.2958333333</v>
      </c>
      <c r="C2559" s="56">
        <f t="shared" si="3"/>
        <v>25560</v>
      </c>
      <c r="D2559" s="56">
        <v>0.0</v>
      </c>
    </row>
    <row r="2560" ht="15.75" customHeight="1">
      <c r="B2560" s="370">
        <f t="shared" si="2"/>
        <v>0.2959490741</v>
      </c>
      <c r="C2560" s="56">
        <f t="shared" si="3"/>
        <v>25570</v>
      </c>
      <c r="D2560" s="56">
        <v>0.0</v>
      </c>
    </row>
    <row r="2561" ht="15.75" customHeight="1">
      <c r="B2561" s="370">
        <f t="shared" si="2"/>
        <v>0.2960648148</v>
      </c>
      <c r="C2561" s="56">
        <f t="shared" si="3"/>
        <v>25580</v>
      </c>
      <c r="D2561" s="56">
        <v>0.0</v>
      </c>
    </row>
    <row r="2562" ht="15.75" customHeight="1">
      <c r="B2562" s="370">
        <f t="shared" si="2"/>
        <v>0.2961805556</v>
      </c>
      <c r="C2562" s="56">
        <f t="shared" si="3"/>
        <v>25590</v>
      </c>
      <c r="D2562" s="56">
        <v>0.0</v>
      </c>
    </row>
    <row r="2563" ht="15.75" customHeight="1">
      <c r="B2563" s="370">
        <f t="shared" si="2"/>
        <v>0.2962962963</v>
      </c>
      <c r="C2563" s="56">
        <f t="shared" si="3"/>
        <v>25600</v>
      </c>
      <c r="D2563" s="56">
        <v>0.0</v>
      </c>
    </row>
    <row r="2564" ht="15.75" customHeight="1">
      <c r="B2564" s="370">
        <f t="shared" si="2"/>
        <v>0.296412037</v>
      </c>
      <c r="C2564" s="56">
        <f t="shared" si="3"/>
        <v>25610</v>
      </c>
      <c r="D2564" s="56">
        <v>0.0</v>
      </c>
    </row>
    <row r="2565" ht="15.75" customHeight="1">
      <c r="B2565" s="370">
        <f t="shared" si="2"/>
        <v>0.2965277778</v>
      </c>
      <c r="C2565" s="56">
        <f t="shared" si="3"/>
        <v>25620</v>
      </c>
      <c r="D2565" s="56">
        <v>0.0</v>
      </c>
    </row>
    <row r="2566" ht="15.75" customHeight="1">
      <c r="B2566" s="370">
        <f t="shared" si="2"/>
        <v>0.2966435185</v>
      </c>
      <c r="C2566" s="56">
        <f t="shared" si="3"/>
        <v>25630</v>
      </c>
      <c r="D2566" s="56">
        <v>0.0</v>
      </c>
    </row>
    <row r="2567" ht="15.75" customHeight="1">
      <c r="B2567" s="370">
        <f t="shared" si="2"/>
        <v>0.2967592593</v>
      </c>
      <c r="C2567" s="56">
        <f t="shared" si="3"/>
        <v>25640</v>
      </c>
      <c r="D2567" s="56">
        <v>0.0</v>
      </c>
    </row>
    <row r="2568" ht="15.75" customHeight="1">
      <c r="B2568" s="370">
        <f t="shared" si="2"/>
        <v>0.296875</v>
      </c>
      <c r="C2568" s="56">
        <f t="shared" si="3"/>
        <v>25650</v>
      </c>
      <c r="D2568" s="56">
        <v>0.0</v>
      </c>
    </row>
    <row r="2569" ht="15.75" customHeight="1">
      <c r="B2569" s="370">
        <f t="shared" si="2"/>
        <v>0.2969907407</v>
      </c>
      <c r="C2569" s="56">
        <f t="shared" si="3"/>
        <v>25660</v>
      </c>
      <c r="D2569" s="56">
        <v>0.0</v>
      </c>
    </row>
    <row r="2570" ht="15.75" customHeight="1">
      <c r="B2570" s="370">
        <f t="shared" si="2"/>
        <v>0.2971064815</v>
      </c>
      <c r="C2570" s="56">
        <f t="shared" si="3"/>
        <v>25670</v>
      </c>
      <c r="D2570" s="56">
        <v>0.0</v>
      </c>
    </row>
    <row r="2571" ht="15.75" customHeight="1">
      <c r="B2571" s="370">
        <f t="shared" si="2"/>
        <v>0.2972222222</v>
      </c>
      <c r="C2571" s="56">
        <f t="shared" si="3"/>
        <v>25680</v>
      </c>
      <c r="D2571" s="56">
        <v>0.0</v>
      </c>
    </row>
    <row r="2572" ht="15.75" customHeight="1">
      <c r="B2572" s="370">
        <f t="shared" si="2"/>
        <v>0.297337963</v>
      </c>
      <c r="C2572" s="56">
        <f t="shared" si="3"/>
        <v>25690</v>
      </c>
      <c r="D2572" s="56">
        <v>0.0</v>
      </c>
    </row>
    <row r="2573" ht="15.75" customHeight="1">
      <c r="B2573" s="370">
        <f t="shared" si="2"/>
        <v>0.2974537037</v>
      </c>
      <c r="C2573" s="56">
        <f t="shared" si="3"/>
        <v>25700</v>
      </c>
      <c r="D2573" s="56">
        <v>0.0</v>
      </c>
    </row>
    <row r="2574" ht="15.75" customHeight="1">
      <c r="B2574" s="370">
        <f t="shared" si="2"/>
        <v>0.2975694444</v>
      </c>
      <c r="C2574" s="56">
        <f t="shared" si="3"/>
        <v>25710</v>
      </c>
      <c r="D2574" s="56">
        <v>0.0</v>
      </c>
    </row>
    <row r="2575" ht="15.75" customHeight="1">
      <c r="B2575" s="370">
        <f t="shared" si="2"/>
        <v>0.2976851852</v>
      </c>
      <c r="C2575" s="56">
        <f t="shared" si="3"/>
        <v>25720</v>
      </c>
      <c r="D2575" s="56">
        <v>0.0</v>
      </c>
    </row>
    <row r="2576" ht="15.75" customHeight="1">
      <c r="B2576" s="370">
        <f t="shared" si="2"/>
        <v>0.2978009259</v>
      </c>
      <c r="C2576" s="56">
        <f t="shared" si="3"/>
        <v>25730</v>
      </c>
      <c r="D2576" s="56">
        <v>0.0</v>
      </c>
    </row>
    <row r="2577" ht="15.75" customHeight="1">
      <c r="B2577" s="370">
        <f t="shared" si="2"/>
        <v>0.2979166667</v>
      </c>
      <c r="C2577" s="56">
        <f t="shared" si="3"/>
        <v>25740</v>
      </c>
      <c r="D2577" s="56">
        <v>0.0</v>
      </c>
    </row>
    <row r="2578" ht="15.75" customHeight="1">
      <c r="B2578" s="370">
        <f t="shared" si="2"/>
        <v>0.2980324074</v>
      </c>
      <c r="C2578" s="56">
        <f t="shared" si="3"/>
        <v>25750</v>
      </c>
      <c r="D2578" s="56">
        <v>0.0</v>
      </c>
    </row>
    <row r="2579" ht="15.75" customHeight="1">
      <c r="B2579" s="370">
        <f t="shared" si="2"/>
        <v>0.2981481481</v>
      </c>
      <c r="C2579" s="56">
        <f t="shared" si="3"/>
        <v>25760</v>
      </c>
      <c r="D2579" s="56">
        <v>0.0</v>
      </c>
    </row>
    <row r="2580" ht="15.75" customHeight="1">
      <c r="B2580" s="370">
        <f t="shared" si="2"/>
        <v>0.2982638889</v>
      </c>
      <c r="C2580" s="56">
        <f t="shared" si="3"/>
        <v>25770</v>
      </c>
      <c r="D2580" s="56">
        <v>0.0</v>
      </c>
    </row>
    <row r="2581" ht="15.75" customHeight="1">
      <c r="B2581" s="370">
        <f t="shared" si="2"/>
        <v>0.2983796296</v>
      </c>
      <c r="C2581" s="56">
        <f t="shared" si="3"/>
        <v>25780</v>
      </c>
      <c r="D2581" s="56">
        <v>0.0</v>
      </c>
    </row>
    <row r="2582" ht="15.75" customHeight="1">
      <c r="B2582" s="370">
        <f t="shared" si="2"/>
        <v>0.2984953704</v>
      </c>
      <c r="C2582" s="56">
        <f t="shared" si="3"/>
        <v>25790</v>
      </c>
      <c r="D2582" s="56">
        <v>0.0</v>
      </c>
    </row>
    <row r="2583" ht="15.75" customHeight="1">
      <c r="B2583" s="370">
        <f t="shared" si="2"/>
        <v>0.2986111111</v>
      </c>
      <c r="C2583" s="56">
        <f t="shared" si="3"/>
        <v>25800</v>
      </c>
      <c r="D2583" s="56">
        <v>0.0</v>
      </c>
    </row>
    <row r="2584" ht="15.75" customHeight="1">
      <c r="B2584" s="370">
        <f t="shared" si="2"/>
        <v>0.2987268519</v>
      </c>
      <c r="C2584" s="56">
        <f t="shared" si="3"/>
        <v>25810</v>
      </c>
      <c r="D2584" s="56">
        <v>0.0</v>
      </c>
    </row>
    <row r="2585" ht="15.75" customHeight="1">
      <c r="B2585" s="370">
        <f t="shared" si="2"/>
        <v>0.2988425926</v>
      </c>
      <c r="C2585" s="56">
        <f t="shared" si="3"/>
        <v>25820</v>
      </c>
      <c r="D2585" s="56">
        <v>0.0</v>
      </c>
    </row>
    <row r="2586" ht="15.75" customHeight="1">
      <c r="B2586" s="370">
        <f t="shared" si="2"/>
        <v>0.2989583333</v>
      </c>
      <c r="C2586" s="56">
        <f t="shared" si="3"/>
        <v>25830</v>
      </c>
      <c r="D2586" s="56">
        <v>0.0</v>
      </c>
    </row>
    <row r="2587" ht="15.75" customHeight="1">
      <c r="B2587" s="370">
        <f t="shared" si="2"/>
        <v>0.2990740741</v>
      </c>
      <c r="C2587" s="56">
        <f t="shared" si="3"/>
        <v>25840</v>
      </c>
      <c r="D2587" s="56">
        <v>0.0</v>
      </c>
    </row>
    <row r="2588" ht="15.75" customHeight="1">
      <c r="B2588" s="370">
        <f t="shared" si="2"/>
        <v>0.2991898148</v>
      </c>
      <c r="C2588" s="56">
        <f t="shared" si="3"/>
        <v>25850</v>
      </c>
      <c r="D2588" s="56">
        <v>0.0</v>
      </c>
    </row>
    <row r="2589" ht="15.75" customHeight="1">
      <c r="B2589" s="370">
        <f t="shared" si="2"/>
        <v>0.2993055556</v>
      </c>
      <c r="C2589" s="56">
        <f t="shared" si="3"/>
        <v>25860</v>
      </c>
      <c r="D2589" s="56">
        <v>0.0</v>
      </c>
    </row>
    <row r="2590" ht="15.75" customHeight="1">
      <c r="B2590" s="370">
        <f t="shared" si="2"/>
        <v>0.2994212963</v>
      </c>
      <c r="C2590" s="56">
        <f t="shared" si="3"/>
        <v>25870</v>
      </c>
      <c r="D2590" s="56">
        <v>0.0</v>
      </c>
    </row>
    <row r="2591" ht="15.75" customHeight="1">
      <c r="B2591" s="370">
        <f t="shared" si="2"/>
        <v>0.299537037</v>
      </c>
      <c r="C2591" s="56">
        <f t="shared" si="3"/>
        <v>25880</v>
      </c>
      <c r="D2591" s="56">
        <v>0.0</v>
      </c>
    </row>
    <row r="2592" ht="15.75" customHeight="1">
      <c r="B2592" s="370">
        <f t="shared" si="2"/>
        <v>0.2996527778</v>
      </c>
      <c r="C2592" s="56">
        <f t="shared" si="3"/>
        <v>25890</v>
      </c>
      <c r="D2592" s="56">
        <v>0.0</v>
      </c>
    </row>
    <row r="2593" ht="15.75" customHeight="1">
      <c r="B2593" s="370">
        <f t="shared" si="2"/>
        <v>0.2997685185</v>
      </c>
      <c r="C2593" s="56">
        <f t="shared" si="3"/>
        <v>25900</v>
      </c>
      <c r="D2593" s="56">
        <v>0.0</v>
      </c>
    </row>
    <row r="2594" ht="15.75" customHeight="1">
      <c r="B2594" s="370">
        <f t="shared" si="2"/>
        <v>0.2998842593</v>
      </c>
      <c r="C2594" s="56">
        <f t="shared" si="3"/>
        <v>25910</v>
      </c>
      <c r="D2594" s="56">
        <v>0.0</v>
      </c>
    </row>
    <row r="2595" ht="15.75" customHeight="1">
      <c r="B2595" s="370">
        <f t="shared" si="2"/>
        <v>0.3</v>
      </c>
      <c r="C2595" s="56">
        <f t="shared" si="3"/>
        <v>25920</v>
      </c>
      <c r="D2595" s="56">
        <v>0.0</v>
      </c>
    </row>
    <row r="2596" ht="15.75" customHeight="1">
      <c r="B2596" s="370">
        <f t="shared" si="2"/>
        <v>0.3001157407</v>
      </c>
      <c r="C2596" s="56">
        <f t="shared" si="3"/>
        <v>25930</v>
      </c>
      <c r="D2596" s="56">
        <v>0.0</v>
      </c>
    </row>
    <row r="2597" ht="15.75" customHeight="1">
      <c r="B2597" s="370">
        <f t="shared" si="2"/>
        <v>0.3002314815</v>
      </c>
      <c r="C2597" s="56">
        <f t="shared" si="3"/>
        <v>25940</v>
      </c>
      <c r="D2597" s="56">
        <v>0.0</v>
      </c>
    </row>
    <row r="2598" ht="15.75" customHeight="1">
      <c r="B2598" s="370">
        <f t="shared" si="2"/>
        <v>0.3003472222</v>
      </c>
      <c r="C2598" s="56">
        <f t="shared" si="3"/>
        <v>25950</v>
      </c>
      <c r="D2598" s="56">
        <v>0.0</v>
      </c>
    </row>
    <row r="2599" ht="15.75" customHeight="1">
      <c r="B2599" s="370">
        <f t="shared" si="2"/>
        <v>0.300462963</v>
      </c>
      <c r="C2599" s="56">
        <f t="shared" si="3"/>
        <v>25960</v>
      </c>
      <c r="D2599" s="56">
        <v>0.0</v>
      </c>
    </row>
    <row r="2600" ht="15.75" customHeight="1">
      <c r="B2600" s="370">
        <f t="shared" si="2"/>
        <v>0.3005787037</v>
      </c>
      <c r="C2600" s="56">
        <f t="shared" si="3"/>
        <v>25970</v>
      </c>
      <c r="D2600" s="56">
        <v>0.0</v>
      </c>
    </row>
    <row r="2601" ht="15.75" customHeight="1">
      <c r="B2601" s="370">
        <f t="shared" si="2"/>
        <v>0.3006944444</v>
      </c>
      <c r="C2601" s="56">
        <f t="shared" si="3"/>
        <v>25980</v>
      </c>
      <c r="D2601" s="56">
        <v>0.0</v>
      </c>
    </row>
    <row r="2602" ht="15.75" customHeight="1">
      <c r="B2602" s="370">
        <f t="shared" si="2"/>
        <v>0.3008101852</v>
      </c>
      <c r="C2602" s="56">
        <f t="shared" si="3"/>
        <v>25990</v>
      </c>
      <c r="D2602" s="56">
        <v>0.0</v>
      </c>
    </row>
    <row r="2603" ht="15.75" customHeight="1">
      <c r="B2603" s="370">
        <f t="shared" si="2"/>
        <v>0.3009259259</v>
      </c>
      <c r="C2603" s="56">
        <f t="shared" si="3"/>
        <v>26000</v>
      </c>
      <c r="D2603" s="56">
        <v>0.0</v>
      </c>
    </row>
    <row r="2604" ht="15.75" customHeight="1">
      <c r="B2604" s="370">
        <f t="shared" si="2"/>
        <v>0.3010416667</v>
      </c>
      <c r="C2604" s="56">
        <f t="shared" si="3"/>
        <v>26010</v>
      </c>
      <c r="D2604" s="56">
        <v>0.0</v>
      </c>
    </row>
    <row r="2605" ht="15.75" customHeight="1">
      <c r="B2605" s="370">
        <f t="shared" si="2"/>
        <v>0.3011574074</v>
      </c>
      <c r="C2605" s="56">
        <f t="shared" si="3"/>
        <v>26020</v>
      </c>
      <c r="D2605" s="56">
        <v>0.0</v>
      </c>
    </row>
    <row r="2606" ht="15.75" customHeight="1">
      <c r="B2606" s="370">
        <f t="shared" si="2"/>
        <v>0.3012731481</v>
      </c>
      <c r="C2606" s="56">
        <f t="shared" si="3"/>
        <v>26030</v>
      </c>
      <c r="D2606" s="56">
        <v>0.0</v>
      </c>
    </row>
    <row r="2607" ht="15.75" customHeight="1">
      <c r="B2607" s="370">
        <f t="shared" si="2"/>
        <v>0.3013888889</v>
      </c>
      <c r="C2607" s="56">
        <f t="shared" si="3"/>
        <v>26040</v>
      </c>
      <c r="D2607" s="56">
        <v>0.0</v>
      </c>
    </row>
    <row r="2608" ht="15.75" customHeight="1">
      <c r="B2608" s="370">
        <f t="shared" si="2"/>
        <v>0.3015046296</v>
      </c>
      <c r="C2608" s="56">
        <f t="shared" si="3"/>
        <v>26050</v>
      </c>
      <c r="D2608" s="56">
        <v>0.0</v>
      </c>
    </row>
    <row r="2609" ht="15.75" customHeight="1">
      <c r="B2609" s="370">
        <f t="shared" si="2"/>
        <v>0.3016203704</v>
      </c>
      <c r="C2609" s="56">
        <f t="shared" si="3"/>
        <v>26060</v>
      </c>
      <c r="D2609" s="56">
        <v>0.0</v>
      </c>
    </row>
    <row r="2610" ht="15.75" customHeight="1">
      <c r="B2610" s="370">
        <f t="shared" si="2"/>
        <v>0.3017361111</v>
      </c>
      <c r="C2610" s="56">
        <f t="shared" si="3"/>
        <v>26070</v>
      </c>
      <c r="D2610" s="56">
        <v>0.0</v>
      </c>
    </row>
    <row r="2611" ht="15.75" customHeight="1">
      <c r="B2611" s="370">
        <f t="shared" si="2"/>
        <v>0.3018518519</v>
      </c>
      <c r="C2611" s="56">
        <f t="shared" si="3"/>
        <v>26080</v>
      </c>
      <c r="D2611" s="56">
        <v>0.0</v>
      </c>
    </row>
    <row r="2612" ht="15.75" customHeight="1">
      <c r="B2612" s="370">
        <f t="shared" si="2"/>
        <v>0.3019675926</v>
      </c>
      <c r="C2612" s="56">
        <f t="shared" si="3"/>
        <v>26090</v>
      </c>
      <c r="D2612" s="56">
        <v>0.0</v>
      </c>
    </row>
    <row r="2613" ht="15.75" customHeight="1">
      <c r="B2613" s="370">
        <f t="shared" si="2"/>
        <v>0.3020833333</v>
      </c>
      <c r="C2613" s="56">
        <f t="shared" si="3"/>
        <v>26100</v>
      </c>
      <c r="D2613" s="56">
        <v>0.0</v>
      </c>
    </row>
    <row r="2614" ht="15.75" customHeight="1">
      <c r="B2614" s="370">
        <f t="shared" si="2"/>
        <v>0.3021990741</v>
      </c>
      <c r="C2614" s="56">
        <f t="shared" si="3"/>
        <v>26110</v>
      </c>
      <c r="D2614" s="56">
        <v>0.0</v>
      </c>
    </row>
    <row r="2615" ht="15.75" customHeight="1">
      <c r="B2615" s="370">
        <f t="shared" si="2"/>
        <v>0.3023148148</v>
      </c>
      <c r="C2615" s="56">
        <f t="shared" si="3"/>
        <v>26120</v>
      </c>
      <c r="D2615" s="56">
        <v>0.0</v>
      </c>
    </row>
    <row r="2616" ht="15.75" customHeight="1">
      <c r="B2616" s="370">
        <f t="shared" si="2"/>
        <v>0.3024305556</v>
      </c>
      <c r="C2616" s="56">
        <f t="shared" si="3"/>
        <v>26130</v>
      </c>
      <c r="D2616" s="56">
        <v>0.0</v>
      </c>
    </row>
    <row r="2617" ht="15.75" customHeight="1">
      <c r="B2617" s="370">
        <f t="shared" si="2"/>
        <v>0.3025462963</v>
      </c>
      <c r="C2617" s="56">
        <f t="shared" si="3"/>
        <v>26140</v>
      </c>
      <c r="D2617" s="56">
        <v>0.0</v>
      </c>
    </row>
    <row r="2618" ht="15.75" customHeight="1">
      <c r="B2618" s="370">
        <f t="shared" si="2"/>
        <v>0.302662037</v>
      </c>
      <c r="C2618" s="56">
        <f t="shared" si="3"/>
        <v>26150</v>
      </c>
      <c r="D2618" s="56">
        <v>0.0</v>
      </c>
    </row>
    <row r="2619" ht="15.75" customHeight="1">
      <c r="B2619" s="370">
        <f t="shared" si="2"/>
        <v>0.3027777778</v>
      </c>
      <c r="C2619" s="56">
        <f t="shared" si="3"/>
        <v>26160</v>
      </c>
      <c r="D2619" s="56">
        <v>0.0</v>
      </c>
    </row>
    <row r="2620" ht="15.75" customHeight="1">
      <c r="B2620" s="370">
        <f t="shared" si="2"/>
        <v>0.3028935185</v>
      </c>
      <c r="C2620" s="56">
        <f t="shared" si="3"/>
        <v>26170</v>
      </c>
      <c r="D2620" s="56">
        <v>0.0</v>
      </c>
    </row>
    <row r="2621" ht="15.75" customHeight="1">
      <c r="B2621" s="370">
        <f t="shared" si="2"/>
        <v>0.3030092593</v>
      </c>
      <c r="C2621" s="56">
        <f t="shared" si="3"/>
        <v>26180</v>
      </c>
      <c r="D2621" s="56">
        <v>0.0</v>
      </c>
    </row>
    <row r="2622" ht="15.75" customHeight="1">
      <c r="B2622" s="370">
        <f t="shared" si="2"/>
        <v>0.303125</v>
      </c>
      <c r="C2622" s="56">
        <f t="shared" si="3"/>
        <v>26190</v>
      </c>
      <c r="D2622" s="56">
        <v>0.0</v>
      </c>
    </row>
    <row r="2623" ht="15.75" customHeight="1">
      <c r="B2623" s="370">
        <f t="shared" si="2"/>
        <v>0.3032407407</v>
      </c>
      <c r="C2623" s="56">
        <f t="shared" si="3"/>
        <v>26200</v>
      </c>
      <c r="D2623" s="56">
        <v>0.0</v>
      </c>
    </row>
    <row r="2624" ht="15.75" customHeight="1">
      <c r="B2624" s="370">
        <f t="shared" si="2"/>
        <v>0.3033564815</v>
      </c>
      <c r="C2624" s="56">
        <f t="shared" si="3"/>
        <v>26210</v>
      </c>
      <c r="D2624" s="56">
        <v>0.0</v>
      </c>
    </row>
    <row r="2625" ht="15.75" customHeight="1">
      <c r="B2625" s="370">
        <f t="shared" si="2"/>
        <v>0.3034722222</v>
      </c>
      <c r="C2625" s="56">
        <f t="shared" si="3"/>
        <v>26220</v>
      </c>
      <c r="D2625" s="56">
        <v>0.0</v>
      </c>
    </row>
    <row r="2626" ht="15.75" customHeight="1">
      <c r="B2626" s="370">
        <f t="shared" si="2"/>
        <v>0.303587963</v>
      </c>
      <c r="C2626" s="56">
        <f t="shared" si="3"/>
        <v>26230</v>
      </c>
      <c r="D2626" s="56">
        <v>0.0</v>
      </c>
    </row>
    <row r="2627" ht="15.75" customHeight="1">
      <c r="B2627" s="370">
        <f t="shared" si="2"/>
        <v>0.3037037037</v>
      </c>
      <c r="C2627" s="56">
        <f t="shared" si="3"/>
        <v>26240</v>
      </c>
      <c r="D2627" s="56">
        <v>0.662</v>
      </c>
    </row>
    <row r="2628" ht="15.75" customHeight="1">
      <c r="B2628" s="370">
        <f t="shared" si="2"/>
        <v>0.3038194444</v>
      </c>
      <c r="C2628" s="56">
        <f t="shared" si="3"/>
        <v>26250</v>
      </c>
      <c r="D2628" s="56">
        <v>2.717</v>
      </c>
    </row>
    <row r="2629" ht="15.75" customHeight="1">
      <c r="B2629" s="370">
        <f t="shared" si="2"/>
        <v>0.3039351852</v>
      </c>
      <c r="C2629" s="56">
        <f t="shared" si="3"/>
        <v>26260</v>
      </c>
      <c r="D2629" s="56">
        <v>2.519</v>
      </c>
    </row>
    <row r="2630" ht="15.75" customHeight="1">
      <c r="B2630" s="370">
        <f t="shared" si="2"/>
        <v>0.3040509259</v>
      </c>
      <c r="C2630" s="56">
        <f t="shared" si="3"/>
        <v>26270</v>
      </c>
      <c r="D2630" s="56">
        <v>2.324</v>
      </c>
    </row>
    <row r="2631" ht="15.75" customHeight="1">
      <c r="B2631" s="370">
        <f t="shared" si="2"/>
        <v>0.3041666667</v>
      </c>
      <c r="C2631" s="56">
        <f t="shared" si="3"/>
        <v>26280</v>
      </c>
      <c r="D2631" s="56">
        <v>2.382</v>
      </c>
    </row>
    <row r="2632" ht="15.75" customHeight="1">
      <c r="B2632" s="370">
        <f t="shared" si="2"/>
        <v>0.3042824074</v>
      </c>
      <c r="C2632" s="56">
        <f t="shared" si="3"/>
        <v>26290</v>
      </c>
      <c r="D2632" s="56">
        <v>3.276</v>
      </c>
    </row>
    <row r="2633" ht="15.75" customHeight="1">
      <c r="B2633" s="370">
        <f t="shared" si="2"/>
        <v>0.3043981481</v>
      </c>
      <c r="C2633" s="56">
        <f t="shared" si="3"/>
        <v>26300</v>
      </c>
      <c r="D2633" s="56">
        <v>3.493</v>
      </c>
    </row>
    <row r="2634" ht="15.75" customHeight="1">
      <c r="B2634" s="370">
        <f t="shared" si="2"/>
        <v>0.3045138889</v>
      </c>
      <c r="C2634" s="56">
        <f t="shared" si="3"/>
        <v>26310</v>
      </c>
      <c r="D2634" s="56">
        <v>3.506</v>
      </c>
    </row>
    <row r="2635" ht="15.75" customHeight="1">
      <c r="B2635" s="370">
        <f t="shared" si="2"/>
        <v>0.3046296296</v>
      </c>
      <c r="C2635" s="56">
        <f t="shared" si="3"/>
        <v>26320</v>
      </c>
      <c r="D2635" s="56">
        <v>3.503</v>
      </c>
    </row>
    <row r="2636" ht="15.75" customHeight="1">
      <c r="B2636" s="370">
        <f t="shared" si="2"/>
        <v>0.3047453704</v>
      </c>
      <c r="C2636" s="56">
        <f t="shared" si="3"/>
        <v>26330</v>
      </c>
      <c r="D2636" s="56">
        <v>3.1</v>
      </c>
    </row>
    <row r="2637" ht="15.75" customHeight="1">
      <c r="B2637" s="370">
        <f t="shared" si="2"/>
        <v>0.3048611111</v>
      </c>
      <c r="C2637" s="56">
        <f t="shared" si="3"/>
        <v>26340</v>
      </c>
      <c r="D2637" s="56">
        <v>2.325</v>
      </c>
    </row>
    <row r="2638" ht="15.75" customHeight="1">
      <c r="B2638" s="370">
        <f t="shared" si="2"/>
        <v>0.3049768519</v>
      </c>
      <c r="C2638" s="56">
        <f t="shared" si="3"/>
        <v>26350</v>
      </c>
      <c r="D2638" s="56">
        <v>2.098</v>
      </c>
    </row>
    <row r="2639" ht="15.75" customHeight="1">
      <c r="B2639" s="370">
        <f t="shared" si="2"/>
        <v>0.3050925926</v>
      </c>
      <c r="C2639" s="56">
        <f t="shared" si="3"/>
        <v>26360</v>
      </c>
      <c r="D2639" s="56">
        <v>2.419</v>
      </c>
    </row>
    <row r="2640" ht="15.75" customHeight="1">
      <c r="B2640" s="370">
        <f t="shared" si="2"/>
        <v>0.3052083333</v>
      </c>
      <c r="C2640" s="56">
        <f t="shared" si="3"/>
        <v>26370</v>
      </c>
      <c r="D2640" s="56">
        <v>2.757</v>
      </c>
    </row>
    <row r="2641" ht="15.75" customHeight="1">
      <c r="B2641" s="370">
        <f t="shared" si="2"/>
        <v>0.3053240741</v>
      </c>
      <c r="C2641" s="56">
        <f t="shared" si="3"/>
        <v>26380</v>
      </c>
      <c r="D2641" s="56">
        <v>3.05</v>
      </c>
    </row>
    <row r="2642" ht="15.75" customHeight="1">
      <c r="B2642" s="370">
        <f t="shared" si="2"/>
        <v>0.3054398148</v>
      </c>
      <c r="C2642" s="56">
        <f t="shared" si="3"/>
        <v>26390</v>
      </c>
      <c r="D2642" s="56">
        <v>3.263</v>
      </c>
    </row>
    <row r="2643" ht="15.75" customHeight="1">
      <c r="B2643" s="370">
        <f t="shared" si="2"/>
        <v>0.3055555556</v>
      </c>
      <c r="C2643" s="56">
        <f t="shared" si="3"/>
        <v>26400</v>
      </c>
      <c r="D2643" s="56">
        <v>3.117</v>
      </c>
    </row>
    <row r="2644" ht="15.75" customHeight="1">
      <c r="B2644" s="370">
        <f t="shared" si="2"/>
        <v>0.3056712963</v>
      </c>
      <c r="C2644" s="56">
        <f t="shared" si="3"/>
        <v>26410</v>
      </c>
      <c r="D2644" s="56">
        <v>3.084</v>
      </c>
    </row>
    <row r="2645" ht="15.75" customHeight="1">
      <c r="B2645" s="370">
        <f t="shared" si="2"/>
        <v>0.305787037</v>
      </c>
      <c r="C2645" s="56">
        <f t="shared" si="3"/>
        <v>26420</v>
      </c>
      <c r="D2645" s="56">
        <v>2.777</v>
      </c>
    </row>
    <row r="2646" ht="15.75" customHeight="1">
      <c r="B2646" s="370">
        <f t="shared" si="2"/>
        <v>0.3059027778</v>
      </c>
      <c r="C2646" s="56">
        <f t="shared" si="3"/>
        <v>26430</v>
      </c>
      <c r="D2646" s="56">
        <v>2.847</v>
      </c>
    </row>
    <row r="2647" ht="15.75" customHeight="1">
      <c r="B2647" s="370">
        <f t="shared" si="2"/>
        <v>0.3060185185</v>
      </c>
      <c r="C2647" s="56">
        <f t="shared" si="3"/>
        <v>26440</v>
      </c>
      <c r="D2647" s="56">
        <v>2.804</v>
      </c>
    </row>
    <row r="2648" ht="15.75" customHeight="1">
      <c r="B2648" s="370">
        <f t="shared" si="2"/>
        <v>0.3061342593</v>
      </c>
      <c r="C2648" s="56">
        <f t="shared" si="3"/>
        <v>26450</v>
      </c>
      <c r="D2648" s="56">
        <v>2.75</v>
      </c>
    </row>
    <row r="2649" ht="15.75" customHeight="1">
      <c r="B2649" s="370">
        <f t="shared" si="2"/>
        <v>0.30625</v>
      </c>
      <c r="C2649" s="56">
        <f t="shared" si="3"/>
        <v>26460</v>
      </c>
      <c r="D2649" s="56">
        <v>2.631</v>
      </c>
    </row>
    <row r="2650" ht="15.75" customHeight="1">
      <c r="B2650" s="370">
        <f t="shared" si="2"/>
        <v>0.3063657407</v>
      </c>
      <c r="C2650" s="56">
        <f t="shared" si="3"/>
        <v>26470</v>
      </c>
      <c r="D2650" s="56">
        <v>2.496</v>
      </c>
    </row>
    <row r="2651" ht="15.75" customHeight="1">
      <c r="B2651" s="370">
        <f t="shared" si="2"/>
        <v>0.3064814815</v>
      </c>
      <c r="C2651" s="56">
        <f t="shared" si="3"/>
        <v>26480</v>
      </c>
      <c r="D2651" s="56">
        <v>2.253</v>
      </c>
    </row>
    <row r="2652" ht="15.75" customHeight="1">
      <c r="B2652" s="370">
        <f t="shared" si="2"/>
        <v>0.3065972222</v>
      </c>
      <c r="C2652" s="56">
        <f t="shared" si="3"/>
        <v>26490</v>
      </c>
      <c r="D2652" s="56">
        <v>3.164</v>
      </c>
    </row>
    <row r="2653" ht="15.75" customHeight="1">
      <c r="B2653" s="370">
        <f t="shared" si="2"/>
        <v>0.306712963</v>
      </c>
      <c r="C2653" s="56">
        <f t="shared" si="3"/>
        <v>26500</v>
      </c>
      <c r="D2653" s="56">
        <v>3.435</v>
      </c>
    </row>
    <row r="2654" ht="15.75" customHeight="1">
      <c r="B2654" s="370">
        <f t="shared" si="2"/>
        <v>0.3068287037</v>
      </c>
      <c r="C2654" s="56">
        <f t="shared" si="3"/>
        <v>26510</v>
      </c>
      <c r="D2654" s="56">
        <v>3.468</v>
      </c>
    </row>
    <row r="2655" ht="15.75" customHeight="1">
      <c r="B2655" s="370">
        <f t="shared" si="2"/>
        <v>0.3069444444</v>
      </c>
      <c r="C2655" s="56">
        <f t="shared" si="3"/>
        <v>26520</v>
      </c>
      <c r="D2655" s="56">
        <v>3.494</v>
      </c>
    </row>
    <row r="2656" ht="15.75" customHeight="1">
      <c r="B2656" s="370">
        <f t="shared" si="2"/>
        <v>0.3070601852</v>
      </c>
      <c r="C2656" s="56">
        <f t="shared" si="3"/>
        <v>26530</v>
      </c>
      <c r="D2656" s="56">
        <v>3.176</v>
      </c>
    </row>
    <row r="2657" ht="15.75" customHeight="1">
      <c r="B2657" s="370">
        <f t="shared" si="2"/>
        <v>0.3071759259</v>
      </c>
      <c r="C2657" s="56">
        <f t="shared" si="3"/>
        <v>26540</v>
      </c>
      <c r="D2657" s="56">
        <v>2.447</v>
      </c>
    </row>
    <row r="2658" ht="15.75" customHeight="1">
      <c r="B2658" s="370">
        <f t="shared" si="2"/>
        <v>0.3072916667</v>
      </c>
      <c r="C2658" s="56">
        <f t="shared" si="3"/>
        <v>26550</v>
      </c>
      <c r="D2658" s="56">
        <v>1.961</v>
      </c>
    </row>
    <row r="2659" ht="15.75" customHeight="1">
      <c r="B2659" s="370">
        <f t="shared" si="2"/>
        <v>0.3074074074</v>
      </c>
      <c r="C2659" s="56">
        <f t="shared" si="3"/>
        <v>26560</v>
      </c>
      <c r="D2659" s="56">
        <v>2.216</v>
      </c>
    </row>
    <row r="2660" ht="15.75" customHeight="1">
      <c r="B2660" s="370">
        <f t="shared" si="2"/>
        <v>0.3075231481</v>
      </c>
      <c r="C2660" s="56">
        <f t="shared" si="3"/>
        <v>26570</v>
      </c>
      <c r="D2660" s="56">
        <v>2.664</v>
      </c>
    </row>
    <row r="2661" ht="15.75" customHeight="1">
      <c r="B2661" s="370">
        <f t="shared" si="2"/>
        <v>0.3076388889</v>
      </c>
      <c r="C2661" s="56">
        <f t="shared" si="3"/>
        <v>26580</v>
      </c>
      <c r="D2661" s="56">
        <v>3.054</v>
      </c>
    </row>
    <row r="2662" ht="15.75" customHeight="1">
      <c r="B2662" s="370">
        <f t="shared" si="2"/>
        <v>0.3077546296</v>
      </c>
      <c r="C2662" s="56">
        <f t="shared" si="3"/>
        <v>26590</v>
      </c>
      <c r="D2662" s="56">
        <v>3.362</v>
      </c>
    </row>
    <row r="2663" ht="15.75" customHeight="1">
      <c r="B2663" s="370">
        <f t="shared" si="2"/>
        <v>0.3078703704</v>
      </c>
      <c r="C2663" s="56">
        <f t="shared" si="3"/>
        <v>26600</v>
      </c>
      <c r="D2663" s="56">
        <v>3.293</v>
      </c>
    </row>
    <row r="2664" ht="15.75" customHeight="1">
      <c r="B2664" s="370">
        <f t="shared" si="2"/>
        <v>0.3079861111</v>
      </c>
      <c r="C2664" s="56">
        <f t="shared" si="3"/>
        <v>26610</v>
      </c>
      <c r="D2664" s="56">
        <v>3.221</v>
      </c>
    </row>
    <row r="2665" ht="15.75" customHeight="1">
      <c r="B2665" s="370">
        <f t="shared" si="2"/>
        <v>0.3081018519</v>
      </c>
      <c r="C2665" s="56">
        <f t="shared" si="3"/>
        <v>26620</v>
      </c>
      <c r="D2665" s="56">
        <v>2.981</v>
      </c>
    </row>
    <row r="2666" ht="15.75" customHeight="1">
      <c r="B2666" s="370">
        <f t="shared" si="2"/>
        <v>0.3082175926</v>
      </c>
      <c r="C2666" s="56">
        <f t="shared" si="3"/>
        <v>26630</v>
      </c>
      <c r="D2666" s="56">
        <v>2.646</v>
      </c>
    </row>
    <row r="2667" ht="15.75" customHeight="1">
      <c r="B2667" s="370">
        <f t="shared" si="2"/>
        <v>0.3083333333</v>
      </c>
      <c r="C2667" s="56">
        <f t="shared" si="3"/>
        <v>26640</v>
      </c>
      <c r="D2667" s="56">
        <v>2.717</v>
      </c>
    </row>
    <row r="2668" ht="15.75" customHeight="1">
      <c r="B2668" s="370">
        <f t="shared" si="2"/>
        <v>0.3084490741</v>
      </c>
      <c r="C2668" s="56">
        <f t="shared" si="3"/>
        <v>26650</v>
      </c>
      <c r="D2668" s="56">
        <v>2.747</v>
      </c>
    </row>
    <row r="2669" ht="15.75" customHeight="1">
      <c r="B2669" s="370">
        <f t="shared" si="2"/>
        <v>0.3085648148</v>
      </c>
      <c r="C2669" s="56">
        <f t="shared" si="3"/>
        <v>26660</v>
      </c>
      <c r="D2669" s="56">
        <v>2.693</v>
      </c>
    </row>
    <row r="2670" ht="15.75" customHeight="1">
      <c r="B2670" s="370">
        <f t="shared" si="2"/>
        <v>0.3086805556</v>
      </c>
      <c r="C2670" s="56">
        <f t="shared" si="3"/>
        <v>26670</v>
      </c>
      <c r="D2670" s="56">
        <v>2.631</v>
      </c>
    </row>
    <row r="2671" ht="15.75" customHeight="1">
      <c r="B2671" s="370">
        <f t="shared" si="2"/>
        <v>0.3087962963</v>
      </c>
      <c r="C2671" s="56">
        <f t="shared" si="3"/>
        <v>26680</v>
      </c>
      <c r="D2671" s="56">
        <v>2.324</v>
      </c>
    </row>
    <row r="2672" ht="15.75" customHeight="1">
      <c r="B2672" s="370">
        <f t="shared" si="2"/>
        <v>0.308912037</v>
      </c>
      <c r="C2672" s="56">
        <f t="shared" si="3"/>
        <v>26690</v>
      </c>
      <c r="D2672" s="56">
        <v>3.008</v>
      </c>
    </row>
    <row r="2673" ht="15.75" customHeight="1">
      <c r="B2673" s="370">
        <f t="shared" si="2"/>
        <v>0.3090277778</v>
      </c>
      <c r="C2673" s="56">
        <f t="shared" si="3"/>
        <v>26700</v>
      </c>
      <c r="D2673" s="56">
        <v>3.351</v>
      </c>
    </row>
    <row r="2674" ht="15.75" customHeight="1">
      <c r="B2674" s="370">
        <f t="shared" si="2"/>
        <v>0.3091435185</v>
      </c>
      <c r="C2674" s="56">
        <f t="shared" si="3"/>
        <v>26710</v>
      </c>
      <c r="D2674" s="56">
        <v>3.395</v>
      </c>
    </row>
    <row r="2675" ht="15.75" customHeight="1">
      <c r="B2675" s="370">
        <f t="shared" si="2"/>
        <v>0.3092592593</v>
      </c>
      <c r="C2675" s="56">
        <f t="shared" si="3"/>
        <v>26720</v>
      </c>
      <c r="D2675" s="56">
        <v>3.459</v>
      </c>
    </row>
    <row r="2676" ht="15.75" customHeight="1">
      <c r="B2676" s="370">
        <f t="shared" si="2"/>
        <v>0.309375</v>
      </c>
      <c r="C2676" s="56">
        <f t="shared" si="3"/>
        <v>26730</v>
      </c>
      <c r="D2676" s="56">
        <v>3.226</v>
      </c>
    </row>
    <row r="2677" ht="15.75" customHeight="1">
      <c r="B2677" s="370">
        <f t="shared" si="2"/>
        <v>0.3094907407</v>
      </c>
      <c r="C2677" s="56">
        <f t="shared" si="3"/>
        <v>26740</v>
      </c>
      <c r="D2677" s="56">
        <v>2.644</v>
      </c>
    </row>
    <row r="2678" ht="15.75" customHeight="1">
      <c r="B2678" s="370">
        <f t="shared" si="2"/>
        <v>0.3096064815</v>
      </c>
      <c r="C2678" s="56">
        <f t="shared" si="3"/>
        <v>26750</v>
      </c>
      <c r="D2678" s="56">
        <v>2.14</v>
      </c>
    </row>
    <row r="2679" ht="15.75" customHeight="1">
      <c r="B2679" s="370">
        <f t="shared" si="2"/>
        <v>0.3097222222</v>
      </c>
      <c r="C2679" s="56">
        <f t="shared" si="3"/>
        <v>26760</v>
      </c>
      <c r="D2679" s="56">
        <v>2.074</v>
      </c>
    </row>
    <row r="2680" ht="15.75" customHeight="1">
      <c r="B2680" s="370">
        <f t="shared" si="2"/>
        <v>0.309837963</v>
      </c>
      <c r="C2680" s="56">
        <f t="shared" si="3"/>
        <v>26770</v>
      </c>
      <c r="D2680" s="56">
        <v>2.54</v>
      </c>
    </row>
    <row r="2681" ht="15.75" customHeight="1">
      <c r="B2681" s="370">
        <f t="shared" si="2"/>
        <v>0.3099537037</v>
      </c>
      <c r="C2681" s="56">
        <f t="shared" si="3"/>
        <v>26780</v>
      </c>
      <c r="D2681" s="56">
        <v>3.022</v>
      </c>
    </row>
    <row r="2682" ht="15.75" customHeight="1">
      <c r="B2682" s="370">
        <f t="shared" si="2"/>
        <v>0.3100694444</v>
      </c>
      <c r="C2682" s="56">
        <f t="shared" si="3"/>
        <v>26790</v>
      </c>
      <c r="D2682" s="56">
        <v>3.418</v>
      </c>
    </row>
    <row r="2683" ht="15.75" customHeight="1">
      <c r="B2683" s="370">
        <f t="shared" si="2"/>
        <v>0.3101851852</v>
      </c>
      <c r="C2683" s="56">
        <f t="shared" si="3"/>
        <v>26800</v>
      </c>
      <c r="D2683" s="56">
        <v>3.394</v>
      </c>
    </row>
    <row r="2684" ht="15.75" customHeight="1">
      <c r="B2684" s="370">
        <f t="shared" si="2"/>
        <v>0.3103009259</v>
      </c>
      <c r="C2684" s="56">
        <f t="shared" si="3"/>
        <v>26810</v>
      </c>
      <c r="D2684" s="56">
        <v>3.332</v>
      </c>
    </row>
    <row r="2685" ht="15.75" customHeight="1">
      <c r="B2685" s="370">
        <f t="shared" si="2"/>
        <v>0.3104166667</v>
      </c>
      <c r="C2685" s="56">
        <f t="shared" si="3"/>
        <v>26820</v>
      </c>
      <c r="D2685" s="56">
        <v>3.097</v>
      </c>
    </row>
    <row r="2686" ht="15.75" customHeight="1">
      <c r="B2686" s="370">
        <f t="shared" si="2"/>
        <v>0.3105324074</v>
      </c>
      <c r="C2686" s="56">
        <f t="shared" si="3"/>
        <v>26830</v>
      </c>
      <c r="D2686" s="56">
        <v>2.472</v>
      </c>
    </row>
    <row r="2687" ht="15.75" customHeight="1">
      <c r="B2687" s="370">
        <f t="shared" si="2"/>
        <v>0.3106481481</v>
      </c>
      <c r="C2687" s="56">
        <f t="shared" si="3"/>
        <v>26840</v>
      </c>
      <c r="D2687" s="56">
        <v>2.581</v>
      </c>
    </row>
    <row r="2688" ht="15.75" customHeight="1">
      <c r="B2688" s="370">
        <f t="shared" si="2"/>
        <v>0.3107638889</v>
      </c>
      <c r="C2688" s="56">
        <f t="shared" si="3"/>
        <v>26850</v>
      </c>
      <c r="D2688" s="56">
        <v>2.708</v>
      </c>
    </row>
    <row r="2689" ht="15.75" customHeight="1">
      <c r="B2689" s="370">
        <f t="shared" si="2"/>
        <v>0.3108796296</v>
      </c>
      <c r="C2689" s="56">
        <f t="shared" si="3"/>
        <v>26860</v>
      </c>
      <c r="D2689" s="56">
        <v>2.719</v>
      </c>
    </row>
    <row r="2690" ht="15.75" customHeight="1">
      <c r="B2690" s="370">
        <f t="shared" si="2"/>
        <v>0.3109953704</v>
      </c>
      <c r="C2690" s="56">
        <f t="shared" si="3"/>
        <v>26870</v>
      </c>
      <c r="D2690" s="56">
        <v>2.732</v>
      </c>
    </row>
    <row r="2691" ht="15.75" customHeight="1">
      <c r="B2691" s="370">
        <f t="shared" si="2"/>
        <v>0.3111111111</v>
      </c>
      <c r="C2691" s="56">
        <f t="shared" si="3"/>
        <v>26880</v>
      </c>
      <c r="D2691" s="56">
        <v>2.601</v>
      </c>
    </row>
    <row r="2692" ht="15.75" customHeight="1">
      <c r="B2692" s="370">
        <f t="shared" si="2"/>
        <v>0.3112268519</v>
      </c>
      <c r="C2692" s="56">
        <f t="shared" si="3"/>
        <v>26890</v>
      </c>
      <c r="D2692" s="56">
        <v>2.755</v>
      </c>
    </row>
    <row r="2693" ht="15.75" customHeight="1">
      <c r="B2693" s="370">
        <f t="shared" si="2"/>
        <v>0.3113425926</v>
      </c>
      <c r="C2693" s="56">
        <f t="shared" si="3"/>
        <v>26900</v>
      </c>
      <c r="D2693" s="56">
        <v>3.232</v>
      </c>
    </row>
    <row r="2694" ht="15.75" customHeight="1">
      <c r="B2694" s="370">
        <f t="shared" si="2"/>
        <v>0.3114583333</v>
      </c>
      <c r="C2694" s="56">
        <f t="shared" si="3"/>
        <v>26910</v>
      </c>
      <c r="D2694" s="56">
        <v>3.304</v>
      </c>
    </row>
    <row r="2695" ht="15.75" customHeight="1">
      <c r="B2695" s="370">
        <f t="shared" si="2"/>
        <v>0.3115740741</v>
      </c>
      <c r="C2695" s="56">
        <f t="shared" si="3"/>
        <v>26920</v>
      </c>
      <c r="D2695" s="56">
        <v>3.39</v>
      </c>
    </row>
    <row r="2696" ht="15.75" customHeight="1">
      <c r="B2696" s="370">
        <f t="shared" si="2"/>
        <v>0.3116898148</v>
      </c>
      <c r="C2696" s="56">
        <f t="shared" si="3"/>
        <v>26930</v>
      </c>
      <c r="D2696" s="56">
        <v>3.233</v>
      </c>
    </row>
    <row r="2697" ht="15.75" customHeight="1">
      <c r="B2697" s="370">
        <f t="shared" si="2"/>
        <v>0.3118055556</v>
      </c>
      <c r="C2697" s="56">
        <f t="shared" si="3"/>
        <v>26940</v>
      </c>
      <c r="D2697" s="56">
        <v>2.752</v>
      </c>
    </row>
    <row r="2698" ht="15.75" customHeight="1">
      <c r="B2698" s="370">
        <f t="shared" si="2"/>
        <v>0.3119212963</v>
      </c>
      <c r="C2698" s="56">
        <f t="shared" si="3"/>
        <v>26950</v>
      </c>
      <c r="D2698" s="56">
        <v>2.338</v>
      </c>
    </row>
    <row r="2699" ht="15.75" customHeight="1">
      <c r="B2699" s="370">
        <f t="shared" si="2"/>
        <v>0.312037037</v>
      </c>
      <c r="C2699" s="56">
        <f t="shared" si="3"/>
        <v>26960</v>
      </c>
      <c r="D2699" s="56">
        <v>1.932</v>
      </c>
    </row>
    <row r="2700" ht="15.75" customHeight="1">
      <c r="B2700" s="370">
        <f t="shared" si="2"/>
        <v>0.3121527778</v>
      </c>
      <c r="C2700" s="56">
        <f t="shared" si="3"/>
        <v>26970</v>
      </c>
      <c r="D2700" s="56">
        <v>2.379</v>
      </c>
    </row>
    <row r="2701" ht="15.75" customHeight="1">
      <c r="B2701" s="370">
        <f t="shared" si="2"/>
        <v>0.3122685185</v>
      </c>
      <c r="C2701" s="56">
        <f t="shared" si="3"/>
        <v>26980</v>
      </c>
      <c r="D2701" s="56">
        <v>2.956</v>
      </c>
    </row>
    <row r="2702" ht="15.75" customHeight="1">
      <c r="B2702" s="370">
        <f t="shared" si="2"/>
        <v>0.3123842593</v>
      </c>
      <c r="C2702" s="56">
        <f t="shared" si="3"/>
        <v>26990</v>
      </c>
      <c r="D2702" s="56">
        <v>3.445</v>
      </c>
    </row>
    <row r="2703" ht="15.75" customHeight="1">
      <c r="B2703" s="370">
        <f t="shared" si="2"/>
        <v>0.3125</v>
      </c>
      <c r="C2703" s="56">
        <f t="shared" si="3"/>
        <v>27000</v>
      </c>
      <c r="D2703" s="56">
        <v>3.464</v>
      </c>
    </row>
    <row r="2704" ht="15.75" customHeight="1">
      <c r="B2704" s="370">
        <f t="shared" si="2"/>
        <v>0.3126157407</v>
      </c>
      <c r="C2704" s="56">
        <f t="shared" si="3"/>
        <v>27010</v>
      </c>
      <c r="D2704" s="56">
        <v>3.421</v>
      </c>
    </row>
    <row r="2705" ht="15.75" customHeight="1">
      <c r="B2705" s="370">
        <f t="shared" si="2"/>
        <v>0.3127314815</v>
      </c>
      <c r="C2705" s="56">
        <f t="shared" si="3"/>
        <v>27020</v>
      </c>
      <c r="D2705" s="56">
        <v>3.277</v>
      </c>
    </row>
    <row r="2706" ht="15.75" customHeight="1">
      <c r="B2706" s="370">
        <f t="shared" si="2"/>
        <v>0.3128472222</v>
      </c>
      <c r="C2706" s="56">
        <f t="shared" si="3"/>
        <v>27030</v>
      </c>
      <c r="D2706" s="56">
        <v>2.533</v>
      </c>
    </row>
    <row r="2707" ht="15.75" customHeight="1">
      <c r="B2707" s="370">
        <f t="shared" si="2"/>
        <v>0.312962963</v>
      </c>
      <c r="C2707" s="56">
        <f t="shared" si="3"/>
        <v>27040</v>
      </c>
      <c r="D2707" s="56">
        <v>2.439</v>
      </c>
    </row>
    <row r="2708" ht="15.75" customHeight="1">
      <c r="B2708" s="370">
        <f t="shared" si="2"/>
        <v>0.3130787037</v>
      </c>
      <c r="C2708" s="56">
        <f t="shared" si="3"/>
        <v>27050</v>
      </c>
      <c r="D2708" s="56">
        <v>2.639</v>
      </c>
    </row>
    <row r="2709" ht="15.75" customHeight="1">
      <c r="B2709" s="370">
        <f t="shared" si="2"/>
        <v>0.3131944444</v>
      </c>
      <c r="C2709" s="56">
        <f t="shared" si="3"/>
        <v>27060</v>
      </c>
      <c r="D2709" s="56">
        <v>2.712</v>
      </c>
    </row>
    <row r="2710" ht="15.75" customHeight="1">
      <c r="B2710" s="370">
        <f t="shared" si="2"/>
        <v>0.3133101852</v>
      </c>
      <c r="C2710" s="56">
        <f t="shared" si="3"/>
        <v>27070</v>
      </c>
      <c r="D2710" s="56">
        <v>2.801</v>
      </c>
    </row>
    <row r="2711" ht="15.75" customHeight="1">
      <c r="B2711" s="370">
        <f t="shared" si="2"/>
        <v>0.3134259259</v>
      </c>
      <c r="C2711" s="56">
        <f t="shared" si="3"/>
        <v>27080</v>
      </c>
      <c r="D2711" s="56">
        <v>2.762</v>
      </c>
    </row>
    <row r="2712" ht="15.75" customHeight="1">
      <c r="B2712" s="370">
        <f t="shared" si="2"/>
        <v>0.3135416667</v>
      </c>
      <c r="C2712" s="56">
        <f t="shared" si="3"/>
        <v>27090</v>
      </c>
      <c r="D2712" s="56">
        <v>2.717</v>
      </c>
    </row>
    <row r="2713" ht="15.75" customHeight="1">
      <c r="B2713" s="370">
        <f t="shared" si="2"/>
        <v>0.3136574074</v>
      </c>
      <c r="C2713" s="56">
        <f t="shared" si="3"/>
        <v>27100</v>
      </c>
      <c r="D2713" s="56">
        <v>3.072</v>
      </c>
    </row>
    <row r="2714" ht="15.75" customHeight="1">
      <c r="B2714" s="370">
        <f t="shared" si="2"/>
        <v>0.3137731481</v>
      </c>
      <c r="C2714" s="56">
        <f t="shared" si="3"/>
        <v>27110</v>
      </c>
      <c r="D2714" s="56">
        <v>3.182</v>
      </c>
    </row>
    <row r="2715" ht="15.75" customHeight="1">
      <c r="B2715" s="370">
        <f t="shared" si="2"/>
        <v>0.3138888889</v>
      </c>
      <c r="C2715" s="56">
        <f t="shared" si="3"/>
        <v>27120</v>
      </c>
      <c r="D2715" s="56">
        <v>3.288</v>
      </c>
    </row>
    <row r="2716" ht="15.75" customHeight="1">
      <c r="B2716" s="370">
        <f t="shared" si="2"/>
        <v>0.3140046296</v>
      </c>
      <c r="C2716" s="56">
        <f t="shared" si="3"/>
        <v>27130</v>
      </c>
      <c r="D2716" s="56">
        <v>3.205</v>
      </c>
    </row>
    <row r="2717" ht="15.75" customHeight="1">
      <c r="B2717" s="370">
        <f t="shared" si="2"/>
        <v>0.3141203704</v>
      </c>
      <c r="C2717" s="56">
        <f t="shared" si="3"/>
        <v>27140</v>
      </c>
      <c r="D2717" s="56">
        <v>2.827</v>
      </c>
    </row>
    <row r="2718" ht="15.75" customHeight="1">
      <c r="B2718" s="370">
        <f t="shared" si="2"/>
        <v>0.3142361111</v>
      </c>
      <c r="C2718" s="56">
        <f t="shared" si="3"/>
        <v>27150</v>
      </c>
      <c r="D2718" s="56">
        <v>2.459</v>
      </c>
    </row>
    <row r="2719" ht="15.75" customHeight="1">
      <c r="B2719" s="370">
        <f t="shared" si="2"/>
        <v>0.3143518519</v>
      </c>
      <c r="C2719" s="56">
        <f t="shared" si="3"/>
        <v>27160</v>
      </c>
      <c r="D2719" s="56">
        <v>2.164</v>
      </c>
    </row>
    <row r="2720" ht="15.75" customHeight="1">
      <c r="B2720" s="370">
        <f t="shared" si="2"/>
        <v>0.3144675926</v>
      </c>
      <c r="C2720" s="56">
        <f t="shared" si="3"/>
        <v>27170</v>
      </c>
      <c r="D2720" s="56">
        <v>2.114</v>
      </c>
    </row>
    <row r="2721" ht="15.75" customHeight="1">
      <c r="B2721" s="370">
        <f t="shared" si="2"/>
        <v>0.3145833333</v>
      </c>
      <c r="C2721" s="56">
        <f t="shared" si="3"/>
        <v>27180</v>
      </c>
      <c r="D2721" s="56">
        <v>2.85</v>
      </c>
    </row>
    <row r="2722" ht="15.75" customHeight="1">
      <c r="B2722" s="370">
        <f t="shared" si="2"/>
        <v>0.3146990741</v>
      </c>
      <c r="C2722" s="56">
        <f t="shared" si="3"/>
        <v>27190</v>
      </c>
      <c r="D2722" s="56">
        <v>3.439</v>
      </c>
    </row>
    <row r="2723" ht="15.75" customHeight="1">
      <c r="B2723" s="370">
        <f t="shared" si="2"/>
        <v>0.3148148148</v>
      </c>
      <c r="C2723" s="56">
        <f t="shared" si="3"/>
        <v>27200</v>
      </c>
      <c r="D2723" s="56">
        <v>3.511</v>
      </c>
    </row>
    <row r="2724" ht="15.75" customHeight="1">
      <c r="B2724" s="370">
        <f t="shared" si="2"/>
        <v>0.3149305556</v>
      </c>
      <c r="C2724" s="56">
        <f t="shared" si="3"/>
        <v>27210</v>
      </c>
      <c r="D2724" s="56">
        <v>3.482</v>
      </c>
    </row>
    <row r="2725" ht="15.75" customHeight="1">
      <c r="B2725" s="370">
        <f t="shared" si="2"/>
        <v>0.3150462963</v>
      </c>
      <c r="C2725" s="56">
        <f t="shared" si="3"/>
        <v>27220</v>
      </c>
      <c r="D2725" s="56">
        <v>3.383</v>
      </c>
    </row>
    <row r="2726" ht="15.75" customHeight="1">
      <c r="B2726" s="370">
        <f t="shared" si="2"/>
        <v>0.315162037</v>
      </c>
      <c r="C2726" s="56">
        <f t="shared" si="3"/>
        <v>27230</v>
      </c>
      <c r="D2726" s="56">
        <v>2.759</v>
      </c>
    </row>
    <row r="2727" ht="15.75" customHeight="1">
      <c r="B2727" s="370">
        <f t="shared" si="2"/>
        <v>0.3152777778</v>
      </c>
      <c r="C2727" s="56">
        <f t="shared" si="3"/>
        <v>27240</v>
      </c>
      <c r="D2727" s="56">
        <v>2.22</v>
      </c>
    </row>
    <row r="2728" ht="15.75" customHeight="1">
      <c r="B2728" s="370">
        <f t="shared" si="2"/>
        <v>0.3153935185</v>
      </c>
      <c r="C2728" s="56">
        <f t="shared" si="3"/>
        <v>27250</v>
      </c>
      <c r="D2728" s="56">
        <v>2.532</v>
      </c>
    </row>
    <row r="2729" ht="15.75" customHeight="1">
      <c r="B2729" s="370">
        <f t="shared" si="2"/>
        <v>0.3155092593</v>
      </c>
      <c r="C2729" s="56">
        <f t="shared" si="3"/>
        <v>27260</v>
      </c>
      <c r="D2729" s="56">
        <v>2.671</v>
      </c>
    </row>
    <row r="2730" ht="15.75" customHeight="1">
      <c r="B2730" s="370">
        <f t="shared" si="2"/>
        <v>0.315625</v>
      </c>
      <c r="C2730" s="56">
        <f t="shared" si="3"/>
        <v>27270</v>
      </c>
      <c r="D2730" s="56">
        <v>2.833</v>
      </c>
    </row>
    <row r="2731" ht="15.75" customHeight="1">
      <c r="B2731" s="370">
        <f t="shared" si="2"/>
        <v>0.3157407407</v>
      </c>
      <c r="C2731" s="56">
        <f t="shared" si="3"/>
        <v>27280</v>
      </c>
      <c r="D2731" s="56">
        <v>2.886</v>
      </c>
    </row>
    <row r="2732" ht="15.75" customHeight="1">
      <c r="B2732" s="370">
        <f t="shared" si="2"/>
        <v>0.3158564815</v>
      </c>
      <c r="C2732" s="56">
        <f t="shared" si="3"/>
        <v>27290</v>
      </c>
      <c r="D2732" s="56">
        <v>2.837</v>
      </c>
    </row>
    <row r="2733" ht="15.75" customHeight="1">
      <c r="B2733" s="370">
        <f t="shared" si="2"/>
        <v>0.3159722222</v>
      </c>
      <c r="C2733" s="56">
        <f t="shared" si="3"/>
        <v>27300</v>
      </c>
      <c r="D2733" s="56">
        <v>2.934</v>
      </c>
    </row>
    <row r="2734" ht="15.75" customHeight="1">
      <c r="B2734" s="370">
        <f t="shared" si="2"/>
        <v>0.316087963</v>
      </c>
      <c r="C2734" s="56">
        <f t="shared" si="3"/>
        <v>27310</v>
      </c>
      <c r="D2734" s="56">
        <v>2.963</v>
      </c>
    </row>
    <row r="2735" ht="15.75" customHeight="1">
      <c r="B2735" s="370">
        <f t="shared" si="2"/>
        <v>0.3162037037</v>
      </c>
      <c r="C2735" s="56">
        <f t="shared" si="3"/>
        <v>27320</v>
      </c>
      <c r="D2735" s="56">
        <v>3.155</v>
      </c>
    </row>
    <row r="2736" ht="15.75" customHeight="1">
      <c r="B2736" s="370">
        <f t="shared" si="2"/>
        <v>0.3163194444</v>
      </c>
      <c r="C2736" s="56">
        <f t="shared" si="3"/>
        <v>27330</v>
      </c>
      <c r="D2736" s="56">
        <v>3.146</v>
      </c>
    </row>
    <row r="2737" ht="15.75" customHeight="1">
      <c r="B2737" s="370">
        <f t="shared" si="2"/>
        <v>0.3164351852</v>
      </c>
      <c r="C2737" s="56">
        <f t="shared" si="3"/>
        <v>27340</v>
      </c>
      <c r="D2737" s="56">
        <v>2.865</v>
      </c>
    </row>
    <row r="2738" ht="15.75" customHeight="1">
      <c r="B2738" s="370">
        <f t="shared" si="2"/>
        <v>0.3165509259</v>
      </c>
      <c r="C2738" s="56">
        <f t="shared" si="3"/>
        <v>27350</v>
      </c>
      <c r="D2738" s="56">
        <v>2.606</v>
      </c>
    </row>
    <row r="2739" ht="15.75" customHeight="1">
      <c r="B2739" s="370">
        <f t="shared" si="2"/>
        <v>0.3166666667</v>
      </c>
      <c r="C2739" s="56">
        <f t="shared" si="3"/>
        <v>27360</v>
      </c>
      <c r="D2739" s="56">
        <v>2.342</v>
      </c>
    </row>
    <row r="2740" ht="15.75" customHeight="1">
      <c r="B2740" s="370">
        <f t="shared" si="2"/>
        <v>0.3167824074</v>
      </c>
      <c r="C2740" s="56">
        <f t="shared" si="3"/>
        <v>27370</v>
      </c>
      <c r="D2740" s="56">
        <v>2.03</v>
      </c>
    </row>
    <row r="2741" ht="15.75" customHeight="1">
      <c r="B2741" s="370">
        <f t="shared" si="2"/>
        <v>0.3168981481</v>
      </c>
      <c r="C2741" s="56">
        <f t="shared" si="3"/>
        <v>27380</v>
      </c>
      <c r="D2741" s="56">
        <v>2.713</v>
      </c>
    </row>
    <row r="2742" ht="15.75" customHeight="1">
      <c r="B2742" s="370">
        <f t="shared" si="2"/>
        <v>0.3170138889</v>
      </c>
      <c r="C2742" s="56">
        <f t="shared" si="3"/>
        <v>27390</v>
      </c>
      <c r="D2742" s="56">
        <v>3.401</v>
      </c>
    </row>
    <row r="2743" ht="15.75" customHeight="1">
      <c r="B2743" s="370">
        <f t="shared" si="2"/>
        <v>0.3171296296</v>
      </c>
      <c r="C2743" s="56">
        <f t="shared" si="3"/>
        <v>27400</v>
      </c>
      <c r="D2743" s="56">
        <v>3.525</v>
      </c>
    </row>
    <row r="2744" ht="15.75" customHeight="1">
      <c r="B2744" s="370">
        <f t="shared" si="2"/>
        <v>0.3172453704</v>
      </c>
      <c r="C2744" s="56">
        <f t="shared" si="3"/>
        <v>27410</v>
      </c>
      <c r="D2744" s="56">
        <v>3.511</v>
      </c>
    </row>
    <row r="2745" ht="15.75" customHeight="1">
      <c r="B2745" s="370">
        <f t="shared" si="2"/>
        <v>0.3173611111</v>
      </c>
      <c r="C2745" s="56">
        <f t="shared" si="3"/>
        <v>27420</v>
      </c>
      <c r="D2745" s="56">
        <v>3.451</v>
      </c>
    </row>
    <row r="2746" ht="15.75" customHeight="1">
      <c r="B2746" s="370">
        <f t="shared" si="2"/>
        <v>0.3174768519</v>
      </c>
      <c r="C2746" s="56">
        <f t="shared" si="3"/>
        <v>27430</v>
      </c>
      <c r="D2746" s="56">
        <v>2.881</v>
      </c>
    </row>
    <row r="2747" ht="15.75" customHeight="1">
      <c r="B2747" s="370">
        <f t="shared" si="2"/>
        <v>0.3175925926</v>
      </c>
      <c r="C2747" s="56">
        <f t="shared" si="3"/>
        <v>27440</v>
      </c>
      <c r="D2747" s="56">
        <v>2.04</v>
      </c>
    </row>
    <row r="2748" ht="15.75" customHeight="1">
      <c r="B2748" s="370">
        <f t="shared" si="2"/>
        <v>0.3177083333</v>
      </c>
      <c r="C2748" s="56">
        <f t="shared" si="3"/>
        <v>27450</v>
      </c>
      <c r="D2748" s="56">
        <v>2.363</v>
      </c>
    </row>
    <row r="2749" ht="15.75" customHeight="1">
      <c r="B2749" s="370">
        <f t="shared" si="2"/>
        <v>0.3178240741</v>
      </c>
      <c r="C2749" s="56">
        <f t="shared" si="3"/>
        <v>27460</v>
      </c>
      <c r="D2749" s="56">
        <v>2.589</v>
      </c>
    </row>
    <row r="2750" ht="15.75" customHeight="1">
      <c r="B2750" s="370">
        <f t="shared" si="2"/>
        <v>0.3179398148</v>
      </c>
      <c r="C2750" s="56">
        <f t="shared" si="3"/>
        <v>27470</v>
      </c>
      <c r="D2750" s="56">
        <v>2.829</v>
      </c>
    </row>
    <row r="2751" ht="15.75" customHeight="1">
      <c r="B2751" s="370">
        <f t="shared" si="2"/>
        <v>0.3180555556</v>
      </c>
      <c r="C2751" s="56">
        <f t="shared" si="3"/>
        <v>27480</v>
      </c>
      <c r="D2751" s="56">
        <v>2.981</v>
      </c>
    </row>
    <row r="2752" ht="15.75" customHeight="1">
      <c r="B2752" s="370">
        <f t="shared" si="2"/>
        <v>0.3181712963</v>
      </c>
      <c r="C2752" s="56">
        <f t="shared" si="3"/>
        <v>27490</v>
      </c>
      <c r="D2752" s="56">
        <v>3.074</v>
      </c>
    </row>
    <row r="2753" ht="15.75" customHeight="1">
      <c r="B2753" s="370">
        <f t="shared" si="2"/>
        <v>0.318287037</v>
      </c>
      <c r="C2753" s="56">
        <f t="shared" si="3"/>
        <v>27500</v>
      </c>
      <c r="D2753" s="56">
        <v>2.888</v>
      </c>
    </row>
    <row r="2754" ht="15.75" customHeight="1">
      <c r="B2754" s="370">
        <f t="shared" si="2"/>
        <v>0.3184027778</v>
      </c>
      <c r="C2754" s="56">
        <f t="shared" si="3"/>
        <v>27510</v>
      </c>
      <c r="D2754" s="56">
        <v>2.879</v>
      </c>
    </row>
    <row r="2755" ht="15.75" customHeight="1">
      <c r="B2755" s="370">
        <f t="shared" si="2"/>
        <v>0.3185185185</v>
      </c>
      <c r="C2755" s="56">
        <f t="shared" si="3"/>
        <v>27520</v>
      </c>
      <c r="D2755" s="56">
        <v>2.973</v>
      </c>
    </row>
    <row r="2756" ht="15.75" customHeight="1">
      <c r="B2756" s="370">
        <f t="shared" si="2"/>
        <v>0.3186342593</v>
      </c>
      <c r="C2756" s="56">
        <f t="shared" si="3"/>
        <v>27530</v>
      </c>
      <c r="D2756" s="56">
        <v>3.05</v>
      </c>
    </row>
    <row r="2757" ht="15.75" customHeight="1">
      <c r="B2757" s="370">
        <f t="shared" si="2"/>
        <v>0.31875</v>
      </c>
      <c r="C2757" s="56">
        <f t="shared" si="3"/>
        <v>27540</v>
      </c>
      <c r="D2757" s="56">
        <v>2.867</v>
      </c>
    </row>
    <row r="2758" ht="15.75" customHeight="1">
      <c r="B2758" s="370">
        <f t="shared" si="2"/>
        <v>0.3188657407</v>
      </c>
      <c r="C2758" s="56">
        <f t="shared" si="3"/>
        <v>27550</v>
      </c>
      <c r="D2758" s="56">
        <v>2.692</v>
      </c>
    </row>
    <row r="2759" ht="15.75" customHeight="1">
      <c r="B2759" s="370">
        <f t="shared" si="2"/>
        <v>0.3189814815</v>
      </c>
      <c r="C2759" s="56">
        <f t="shared" si="3"/>
        <v>27560</v>
      </c>
      <c r="D2759" s="56">
        <v>2.479</v>
      </c>
    </row>
    <row r="2760" ht="15.75" customHeight="1">
      <c r="B2760" s="370">
        <f t="shared" si="2"/>
        <v>0.3190972222</v>
      </c>
      <c r="C2760" s="56">
        <f t="shared" si="3"/>
        <v>27570</v>
      </c>
      <c r="D2760" s="56">
        <v>2.159</v>
      </c>
    </row>
    <row r="2761" ht="15.75" customHeight="1">
      <c r="B2761" s="370">
        <f t="shared" si="2"/>
        <v>0.319212963</v>
      </c>
      <c r="C2761" s="56">
        <f t="shared" si="3"/>
        <v>27580</v>
      </c>
      <c r="D2761" s="56">
        <v>2.546</v>
      </c>
    </row>
    <row r="2762" ht="15.75" customHeight="1">
      <c r="B2762" s="370">
        <f t="shared" si="2"/>
        <v>0.3193287037</v>
      </c>
      <c r="C2762" s="56">
        <f t="shared" si="3"/>
        <v>27590</v>
      </c>
      <c r="D2762" s="56">
        <v>3.328</v>
      </c>
    </row>
    <row r="2763" ht="15.75" customHeight="1">
      <c r="B2763" s="370">
        <f t="shared" si="2"/>
        <v>0.3194444444</v>
      </c>
      <c r="C2763" s="56">
        <f t="shared" si="3"/>
        <v>27600</v>
      </c>
      <c r="D2763" s="56">
        <v>3.506</v>
      </c>
    </row>
    <row r="2764" ht="15.75" customHeight="1">
      <c r="B2764" s="370">
        <f t="shared" si="2"/>
        <v>0.3195601852</v>
      </c>
      <c r="C2764" s="56">
        <f t="shared" si="3"/>
        <v>27610</v>
      </c>
      <c r="D2764" s="56">
        <v>3.514</v>
      </c>
    </row>
    <row r="2765" ht="15.75" customHeight="1">
      <c r="B2765" s="370">
        <f t="shared" si="2"/>
        <v>0.3196759259</v>
      </c>
      <c r="C2765" s="56">
        <f t="shared" si="3"/>
        <v>27620</v>
      </c>
      <c r="D2765" s="56">
        <v>3.497</v>
      </c>
    </row>
    <row r="2766" ht="15.75" customHeight="1">
      <c r="B2766" s="370">
        <f t="shared" si="2"/>
        <v>0.3197916667</v>
      </c>
      <c r="C2766" s="56">
        <f t="shared" si="3"/>
        <v>27630</v>
      </c>
      <c r="D2766" s="56">
        <v>3.052</v>
      </c>
    </row>
    <row r="2767" ht="15.75" customHeight="1">
      <c r="B2767" s="370">
        <f t="shared" si="2"/>
        <v>0.3199074074</v>
      </c>
      <c r="C2767" s="56">
        <f t="shared" si="3"/>
        <v>27640</v>
      </c>
      <c r="D2767" s="56">
        <v>2.205</v>
      </c>
    </row>
    <row r="2768" ht="15.75" customHeight="1">
      <c r="B2768" s="370">
        <f t="shared" si="2"/>
        <v>0.3200231481</v>
      </c>
      <c r="C2768" s="56">
        <f t="shared" si="3"/>
        <v>27650</v>
      </c>
      <c r="D2768" s="56">
        <v>2.219</v>
      </c>
    </row>
    <row r="2769" ht="15.75" customHeight="1">
      <c r="B2769" s="370">
        <f t="shared" si="2"/>
        <v>0.3201388889</v>
      </c>
      <c r="C2769" s="56">
        <f t="shared" si="3"/>
        <v>27660</v>
      </c>
      <c r="D2769" s="56">
        <v>2.484</v>
      </c>
    </row>
    <row r="2770" ht="15.75" customHeight="1">
      <c r="B2770" s="370">
        <f t="shared" si="2"/>
        <v>0.3202546296</v>
      </c>
      <c r="C2770" s="56">
        <f t="shared" si="3"/>
        <v>27670</v>
      </c>
      <c r="D2770" s="56">
        <v>2.788</v>
      </c>
    </row>
    <row r="2771" ht="15.75" customHeight="1">
      <c r="B2771" s="370">
        <f t="shared" si="2"/>
        <v>0.3203703704</v>
      </c>
      <c r="C2771" s="56">
        <f t="shared" si="3"/>
        <v>27680</v>
      </c>
      <c r="D2771" s="56">
        <v>3.036</v>
      </c>
    </row>
    <row r="2772" ht="15.75" customHeight="1">
      <c r="B2772" s="370">
        <f t="shared" si="2"/>
        <v>0.3204861111</v>
      </c>
      <c r="C2772" s="56">
        <f t="shared" si="3"/>
        <v>27690</v>
      </c>
      <c r="D2772" s="56">
        <v>3.217</v>
      </c>
    </row>
    <row r="2773" ht="15.75" customHeight="1">
      <c r="B2773" s="370">
        <f t="shared" si="2"/>
        <v>0.3206018519</v>
      </c>
      <c r="C2773" s="56">
        <f t="shared" si="3"/>
        <v>27700</v>
      </c>
      <c r="D2773" s="56">
        <v>3.094</v>
      </c>
    </row>
    <row r="2774" ht="15.75" customHeight="1">
      <c r="B2774" s="370">
        <f t="shared" si="2"/>
        <v>0.3207175926</v>
      </c>
      <c r="C2774" s="56">
        <f t="shared" si="3"/>
        <v>27710</v>
      </c>
      <c r="D2774" s="56">
        <v>2.935</v>
      </c>
    </row>
    <row r="2775" ht="15.75" customHeight="1">
      <c r="B2775" s="370">
        <f t="shared" si="2"/>
        <v>0.3208333333</v>
      </c>
      <c r="C2775" s="56">
        <f t="shared" si="3"/>
        <v>27720</v>
      </c>
      <c r="D2775" s="56">
        <v>2.821</v>
      </c>
    </row>
    <row r="2776" ht="15.75" customHeight="1">
      <c r="B2776" s="370">
        <f t="shared" si="2"/>
        <v>0.3209490741</v>
      </c>
      <c r="C2776" s="56">
        <f t="shared" si="3"/>
        <v>27730</v>
      </c>
      <c r="D2776" s="56">
        <v>2.896</v>
      </c>
    </row>
    <row r="2777" ht="15.75" customHeight="1">
      <c r="B2777" s="370">
        <f t="shared" si="2"/>
        <v>0.3210648148</v>
      </c>
      <c r="C2777" s="56">
        <f t="shared" si="3"/>
        <v>27740</v>
      </c>
      <c r="D2777" s="56">
        <v>2.832</v>
      </c>
    </row>
    <row r="2778" ht="15.75" customHeight="1">
      <c r="B2778" s="370">
        <f t="shared" si="2"/>
        <v>0.3211805556</v>
      </c>
      <c r="C2778" s="56">
        <f t="shared" si="3"/>
        <v>27750</v>
      </c>
      <c r="D2778" s="56">
        <v>2.738</v>
      </c>
    </row>
    <row r="2779" ht="15.75" customHeight="1">
      <c r="B2779" s="370">
        <f t="shared" si="2"/>
        <v>0.3212962963</v>
      </c>
      <c r="C2779" s="56">
        <f t="shared" si="3"/>
        <v>27760</v>
      </c>
      <c r="D2779" s="56">
        <v>2.585</v>
      </c>
    </row>
    <row r="2780" ht="15.75" customHeight="1">
      <c r="B2780" s="370">
        <f t="shared" si="2"/>
        <v>0.321412037</v>
      </c>
      <c r="C2780" s="56">
        <f t="shared" si="3"/>
        <v>27770</v>
      </c>
      <c r="D2780" s="56">
        <v>2.42</v>
      </c>
    </row>
    <row r="2781" ht="15.75" customHeight="1">
      <c r="B2781" s="370">
        <f t="shared" si="2"/>
        <v>0.3215277778</v>
      </c>
      <c r="C2781" s="56">
        <f t="shared" si="3"/>
        <v>27780</v>
      </c>
      <c r="D2781" s="56">
        <v>2.26</v>
      </c>
    </row>
    <row r="2782" ht="15.75" customHeight="1">
      <c r="B2782" s="370">
        <f t="shared" si="2"/>
        <v>0.3216435185</v>
      </c>
      <c r="C2782" s="56">
        <f t="shared" si="3"/>
        <v>27790</v>
      </c>
      <c r="D2782" s="56">
        <v>3.215</v>
      </c>
    </row>
    <row r="2783" ht="15.75" customHeight="1">
      <c r="B2783" s="370">
        <f t="shared" si="2"/>
        <v>0.3217592593</v>
      </c>
      <c r="C2783" s="56">
        <f t="shared" si="3"/>
        <v>27800</v>
      </c>
      <c r="D2783" s="56">
        <v>3.467</v>
      </c>
    </row>
    <row r="2784" ht="15.75" customHeight="1">
      <c r="B2784" s="370">
        <f t="shared" si="2"/>
        <v>0.321875</v>
      </c>
      <c r="C2784" s="56">
        <f t="shared" si="3"/>
        <v>27810</v>
      </c>
      <c r="D2784" s="56">
        <v>3.489</v>
      </c>
    </row>
    <row r="2785" ht="15.75" customHeight="1">
      <c r="B2785" s="370">
        <f t="shared" si="2"/>
        <v>0.3219907407</v>
      </c>
      <c r="C2785" s="56">
        <f t="shared" si="3"/>
        <v>27820</v>
      </c>
      <c r="D2785" s="56">
        <v>3.505</v>
      </c>
    </row>
    <row r="2786" ht="15.75" customHeight="1">
      <c r="B2786" s="370">
        <f t="shared" si="2"/>
        <v>0.3221064815</v>
      </c>
      <c r="C2786" s="56">
        <f t="shared" si="3"/>
        <v>27830</v>
      </c>
      <c r="D2786" s="56">
        <v>3.147</v>
      </c>
    </row>
    <row r="2787" ht="15.75" customHeight="1">
      <c r="B2787" s="370">
        <f t="shared" si="2"/>
        <v>0.3222222222</v>
      </c>
      <c r="C2787" s="56">
        <f t="shared" si="3"/>
        <v>27840</v>
      </c>
      <c r="D2787" s="56">
        <v>2.424</v>
      </c>
    </row>
    <row r="2788" ht="15.75" customHeight="1">
      <c r="B2788" s="370">
        <f t="shared" si="2"/>
        <v>0.322337963</v>
      </c>
      <c r="C2788" s="56">
        <f t="shared" si="3"/>
        <v>27850</v>
      </c>
      <c r="D2788" s="56">
        <v>1.981</v>
      </c>
    </row>
    <row r="2789" ht="15.75" customHeight="1">
      <c r="B2789" s="370">
        <f t="shared" si="2"/>
        <v>0.3224537037</v>
      </c>
      <c r="C2789" s="56">
        <f t="shared" si="3"/>
        <v>27860</v>
      </c>
      <c r="D2789" s="56">
        <v>2.339</v>
      </c>
    </row>
    <row r="2790" ht="15.75" customHeight="1">
      <c r="B2790" s="370">
        <f t="shared" si="2"/>
        <v>0.3225694444</v>
      </c>
      <c r="C2790" s="56">
        <f t="shared" si="3"/>
        <v>27870</v>
      </c>
      <c r="D2790" s="56">
        <v>2.712</v>
      </c>
    </row>
    <row r="2791" ht="15.75" customHeight="1">
      <c r="B2791" s="370">
        <f t="shared" si="2"/>
        <v>0.3226851852</v>
      </c>
      <c r="C2791" s="56">
        <f t="shared" si="3"/>
        <v>27880</v>
      </c>
      <c r="D2791" s="56">
        <v>3.057</v>
      </c>
    </row>
    <row r="2792" ht="15.75" customHeight="1">
      <c r="B2792" s="370">
        <f t="shared" si="2"/>
        <v>0.3228009259</v>
      </c>
      <c r="C2792" s="56">
        <f t="shared" si="3"/>
        <v>27890</v>
      </c>
      <c r="D2792" s="56">
        <v>3.317</v>
      </c>
    </row>
    <row r="2793" ht="15.75" customHeight="1">
      <c r="B2793" s="370">
        <f t="shared" si="2"/>
        <v>0.3229166667</v>
      </c>
      <c r="C2793" s="56">
        <f t="shared" si="3"/>
        <v>27900</v>
      </c>
      <c r="D2793" s="56">
        <v>3.201</v>
      </c>
    </row>
    <row r="2794" ht="15.75" customHeight="1">
      <c r="B2794" s="370">
        <f t="shared" si="2"/>
        <v>0.3230324074</v>
      </c>
      <c r="C2794" s="56">
        <f t="shared" si="3"/>
        <v>27910</v>
      </c>
      <c r="D2794" s="56">
        <v>3.165</v>
      </c>
    </row>
    <row r="2795" ht="15.75" customHeight="1">
      <c r="B2795" s="370">
        <f t="shared" si="2"/>
        <v>0.3231481481</v>
      </c>
      <c r="C2795" s="56">
        <f t="shared" si="3"/>
        <v>27920</v>
      </c>
      <c r="D2795" s="56">
        <v>2.861</v>
      </c>
    </row>
    <row r="2796" ht="15.75" customHeight="1">
      <c r="B2796" s="370">
        <f t="shared" si="2"/>
        <v>0.3232638889</v>
      </c>
      <c r="C2796" s="56">
        <f t="shared" si="3"/>
        <v>27930</v>
      </c>
      <c r="D2796" s="56">
        <v>2.756</v>
      </c>
    </row>
    <row r="2797" ht="15.75" customHeight="1">
      <c r="B2797" s="370">
        <f t="shared" si="2"/>
        <v>0.3233796296</v>
      </c>
      <c r="C2797" s="56">
        <f t="shared" si="3"/>
        <v>27940</v>
      </c>
      <c r="D2797" s="56">
        <v>2.762</v>
      </c>
    </row>
    <row r="2798" ht="15.75" customHeight="1">
      <c r="B2798" s="370">
        <f t="shared" si="2"/>
        <v>0.3234953704</v>
      </c>
      <c r="C2798" s="56">
        <f t="shared" si="3"/>
        <v>27950</v>
      </c>
      <c r="D2798" s="56">
        <v>2.755</v>
      </c>
    </row>
    <row r="2799" ht="15.75" customHeight="1">
      <c r="B2799" s="370">
        <f t="shared" si="2"/>
        <v>0.3236111111</v>
      </c>
      <c r="C2799" s="56">
        <f t="shared" si="3"/>
        <v>27960</v>
      </c>
      <c r="D2799" s="56">
        <v>2.669</v>
      </c>
    </row>
    <row r="2800" ht="15.75" customHeight="1">
      <c r="B2800" s="370">
        <f t="shared" si="2"/>
        <v>0.3237268519</v>
      </c>
      <c r="C2800" s="56">
        <f t="shared" si="3"/>
        <v>27970</v>
      </c>
      <c r="D2800" s="56">
        <v>2.574</v>
      </c>
    </row>
    <row r="2801" ht="15.75" customHeight="1">
      <c r="B2801" s="370">
        <f t="shared" si="2"/>
        <v>0.3238425926</v>
      </c>
      <c r="C2801" s="56">
        <f t="shared" si="3"/>
        <v>27980</v>
      </c>
      <c r="D2801" s="56">
        <v>2.317</v>
      </c>
    </row>
    <row r="2802" ht="15.75" customHeight="1">
      <c r="B2802" s="370">
        <f t="shared" si="2"/>
        <v>0.3239583333</v>
      </c>
      <c r="C2802" s="56">
        <f t="shared" si="3"/>
        <v>27990</v>
      </c>
      <c r="D2802" s="56">
        <v>3.078</v>
      </c>
    </row>
    <row r="2803" ht="15.75" customHeight="1">
      <c r="B2803" s="370">
        <f t="shared" si="2"/>
        <v>0.3240740741</v>
      </c>
      <c r="C2803" s="56">
        <f t="shared" si="3"/>
        <v>28000</v>
      </c>
      <c r="D2803" s="56">
        <v>3.392</v>
      </c>
    </row>
    <row r="2804" ht="15.75" customHeight="1">
      <c r="B2804" s="370">
        <f t="shared" si="2"/>
        <v>0.3241898148</v>
      </c>
      <c r="C2804" s="56">
        <f t="shared" si="3"/>
        <v>28010</v>
      </c>
      <c r="D2804" s="56">
        <v>3.435</v>
      </c>
    </row>
    <row r="2805" ht="15.75" customHeight="1">
      <c r="B2805" s="370">
        <f t="shared" si="2"/>
        <v>0.3243055556</v>
      </c>
      <c r="C2805" s="56">
        <f t="shared" si="3"/>
        <v>28020</v>
      </c>
      <c r="D2805" s="56">
        <v>3.471</v>
      </c>
    </row>
    <row r="2806" ht="15.75" customHeight="1">
      <c r="B2806" s="370">
        <f t="shared" si="2"/>
        <v>0.3244212963</v>
      </c>
      <c r="C2806" s="56">
        <f t="shared" si="3"/>
        <v>28030</v>
      </c>
      <c r="D2806" s="56">
        <v>3.207</v>
      </c>
    </row>
    <row r="2807" ht="15.75" customHeight="1">
      <c r="B2807" s="370">
        <f t="shared" si="2"/>
        <v>0.324537037</v>
      </c>
      <c r="C2807" s="56">
        <f t="shared" si="3"/>
        <v>28040</v>
      </c>
      <c r="D2807" s="56">
        <v>2.541</v>
      </c>
    </row>
    <row r="2808" ht="15.75" customHeight="1">
      <c r="B2808" s="370">
        <f t="shared" si="2"/>
        <v>0.3246527778</v>
      </c>
      <c r="C2808" s="56">
        <f t="shared" si="3"/>
        <v>28050</v>
      </c>
      <c r="D2808" s="56">
        <v>2.069</v>
      </c>
    </row>
    <row r="2809" ht="15.75" customHeight="1">
      <c r="B2809" s="370">
        <f t="shared" si="2"/>
        <v>0.3247685185</v>
      </c>
      <c r="C2809" s="56">
        <f t="shared" si="3"/>
        <v>28060</v>
      </c>
      <c r="D2809" s="56">
        <v>2.105</v>
      </c>
    </row>
    <row r="2810" ht="15.75" customHeight="1">
      <c r="B2810" s="370">
        <f t="shared" si="2"/>
        <v>0.3248842593</v>
      </c>
      <c r="C2810" s="56">
        <f t="shared" si="3"/>
        <v>28070</v>
      </c>
      <c r="D2810" s="56">
        <v>2.6</v>
      </c>
    </row>
    <row r="2811" ht="15.75" customHeight="1">
      <c r="B2811" s="370">
        <f t="shared" si="2"/>
        <v>0.325</v>
      </c>
      <c r="C2811" s="56">
        <f t="shared" si="3"/>
        <v>28080</v>
      </c>
      <c r="D2811" s="56">
        <v>3.042</v>
      </c>
    </row>
    <row r="2812" ht="15.75" customHeight="1">
      <c r="B2812" s="370">
        <f t="shared" si="2"/>
        <v>0.3251157407</v>
      </c>
      <c r="C2812" s="56">
        <f t="shared" si="3"/>
        <v>28090</v>
      </c>
      <c r="D2812" s="56">
        <v>3.4</v>
      </c>
    </row>
    <row r="2813" ht="15.75" customHeight="1">
      <c r="B2813" s="370">
        <f t="shared" si="2"/>
        <v>0.3252314815</v>
      </c>
      <c r="C2813" s="56">
        <f t="shared" si="3"/>
        <v>28100</v>
      </c>
      <c r="D2813" s="56">
        <v>3.349</v>
      </c>
    </row>
    <row r="2814" ht="15.75" customHeight="1">
      <c r="B2814" s="370">
        <f t="shared" si="2"/>
        <v>0.3253472222</v>
      </c>
      <c r="C2814" s="56">
        <f t="shared" si="3"/>
        <v>28110</v>
      </c>
      <c r="D2814" s="56">
        <v>3.287</v>
      </c>
    </row>
    <row r="2815" ht="15.75" customHeight="1">
      <c r="B2815" s="370">
        <f t="shared" si="2"/>
        <v>0.325462963</v>
      </c>
      <c r="C2815" s="56">
        <f t="shared" si="3"/>
        <v>28120</v>
      </c>
      <c r="D2815" s="56">
        <v>3.07</v>
      </c>
    </row>
    <row r="2816" ht="15.75" customHeight="1">
      <c r="B2816" s="370">
        <f t="shared" si="2"/>
        <v>0.3255787037</v>
      </c>
      <c r="C2816" s="56">
        <f t="shared" si="3"/>
        <v>28130</v>
      </c>
      <c r="D2816" s="56">
        <v>2.524</v>
      </c>
    </row>
    <row r="2817" ht="15.75" customHeight="1">
      <c r="B2817" s="370">
        <f t="shared" si="2"/>
        <v>0.3256944444</v>
      </c>
      <c r="C2817" s="56">
        <f t="shared" si="3"/>
        <v>28140</v>
      </c>
      <c r="D2817" s="56">
        <v>2.656</v>
      </c>
    </row>
    <row r="2818" ht="15.75" customHeight="1">
      <c r="B2818" s="370">
        <f t="shared" si="2"/>
        <v>0.3258101852</v>
      </c>
      <c r="C2818" s="56">
        <f t="shared" si="3"/>
        <v>28150</v>
      </c>
      <c r="D2818" s="56">
        <v>2.732</v>
      </c>
    </row>
    <row r="2819" ht="15.75" customHeight="1">
      <c r="B2819" s="370">
        <f t="shared" si="2"/>
        <v>0.3259259259</v>
      </c>
      <c r="C2819" s="56">
        <f t="shared" si="3"/>
        <v>28160</v>
      </c>
      <c r="D2819" s="56">
        <v>2.712</v>
      </c>
    </row>
    <row r="2820" ht="15.75" customHeight="1">
      <c r="B2820" s="370">
        <f t="shared" si="2"/>
        <v>0.3260416667</v>
      </c>
      <c r="C2820" s="56">
        <f t="shared" si="3"/>
        <v>28170</v>
      </c>
      <c r="D2820" s="56">
        <v>2.689</v>
      </c>
    </row>
    <row r="2821" ht="15.75" customHeight="1">
      <c r="B2821" s="370">
        <f t="shared" si="2"/>
        <v>0.3261574074</v>
      </c>
      <c r="C2821" s="56">
        <f t="shared" si="3"/>
        <v>28180</v>
      </c>
      <c r="D2821" s="56">
        <v>2.44</v>
      </c>
    </row>
    <row r="2822" ht="15.75" customHeight="1">
      <c r="B2822" s="370">
        <f t="shared" si="2"/>
        <v>0.3262731481</v>
      </c>
      <c r="C2822" s="56">
        <f t="shared" si="3"/>
        <v>28190</v>
      </c>
      <c r="D2822" s="56">
        <v>2.915</v>
      </c>
    </row>
    <row r="2823" ht="15.75" customHeight="1">
      <c r="B2823" s="370">
        <f t="shared" si="2"/>
        <v>0.3263888889</v>
      </c>
      <c r="C2823" s="56">
        <f t="shared" si="3"/>
        <v>28200</v>
      </c>
      <c r="D2823" s="56">
        <v>3.28</v>
      </c>
    </row>
    <row r="2824" ht="15.75" customHeight="1">
      <c r="B2824" s="370">
        <f t="shared" si="2"/>
        <v>0.3265046296</v>
      </c>
      <c r="C2824" s="56">
        <f t="shared" si="3"/>
        <v>28210</v>
      </c>
      <c r="D2824" s="56">
        <v>3.347</v>
      </c>
    </row>
    <row r="2825" ht="15.75" customHeight="1">
      <c r="B2825" s="370">
        <f t="shared" si="2"/>
        <v>0.3266203704</v>
      </c>
      <c r="C2825" s="56">
        <f t="shared" si="3"/>
        <v>28220</v>
      </c>
      <c r="D2825" s="56">
        <v>3.428</v>
      </c>
    </row>
    <row r="2826" ht="15.75" customHeight="1">
      <c r="B2826" s="370">
        <f t="shared" si="2"/>
        <v>0.3267361111</v>
      </c>
      <c r="C2826" s="56">
        <f t="shared" si="3"/>
        <v>28230</v>
      </c>
      <c r="D2826" s="56">
        <v>3.235</v>
      </c>
    </row>
    <row r="2827" ht="15.75" customHeight="1">
      <c r="B2827" s="370">
        <f t="shared" si="2"/>
        <v>0.3268518519</v>
      </c>
      <c r="C2827" s="56">
        <f t="shared" si="3"/>
        <v>28240</v>
      </c>
      <c r="D2827" s="56">
        <v>2.707</v>
      </c>
    </row>
    <row r="2828" ht="15.75" customHeight="1">
      <c r="B2828" s="370">
        <f t="shared" si="2"/>
        <v>0.3269675926</v>
      </c>
      <c r="C2828" s="56">
        <f t="shared" si="3"/>
        <v>28250</v>
      </c>
      <c r="D2828" s="56">
        <v>2.256</v>
      </c>
    </row>
    <row r="2829" ht="15.75" customHeight="1">
      <c r="B2829" s="370">
        <f t="shared" si="2"/>
        <v>0.3270833333</v>
      </c>
      <c r="C2829" s="56">
        <f t="shared" si="3"/>
        <v>28260</v>
      </c>
      <c r="D2829" s="56">
        <v>1.969</v>
      </c>
    </row>
    <row r="2830" ht="15.75" customHeight="1">
      <c r="B2830" s="370">
        <f t="shared" si="2"/>
        <v>0.3271990741</v>
      </c>
      <c r="C2830" s="56">
        <f t="shared" si="3"/>
        <v>28270</v>
      </c>
      <c r="D2830" s="56">
        <v>2.453</v>
      </c>
    </row>
    <row r="2831" ht="15.75" customHeight="1">
      <c r="B2831" s="370">
        <f t="shared" si="2"/>
        <v>0.3273148148</v>
      </c>
      <c r="C2831" s="56">
        <f t="shared" si="3"/>
        <v>28280</v>
      </c>
      <c r="D2831" s="56">
        <v>2.99</v>
      </c>
    </row>
    <row r="2832" ht="15.75" customHeight="1">
      <c r="B2832" s="370">
        <f t="shared" si="2"/>
        <v>0.3274305556</v>
      </c>
      <c r="C2832" s="56">
        <f t="shared" si="3"/>
        <v>28290</v>
      </c>
      <c r="D2832" s="56">
        <v>3.439</v>
      </c>
    </row>
    <row r="2833" ht="15.75" customHeight="1">
      <c r="B2833" s="370">
        <f t="shared" si="2"/>
        <v>0.3275462963</v>
      </c>
      <c r="C2833" s="56">
        <f t="shared" si="3"/>
        <v>28300</v>
      </c>
      <c r="D2833" s="56">
        <v>3.439</v>
      </c>
    </row>
    <row r="2834" ht="15.75" customHeight="1">
      <c r="B2834" s="370">
        <f t="shared" si="2"/>
        <v>0.327662037</v>
      </c>
      <c r="C2834" s="56">
        <f t="shared" si="3"/>
        <v>28310</v>
      </c>
      <c r="D2834" s="56">
        <v>3.382</v>
      </c>
    </row>
    <row r="2835" ht="15.75" customHeight="1">
      <c r="B2835" s="370">
        <f t="shared" si="2"/>
        <v>0.3277777778</v>
      </c>
      <c r="C2835" s="56">
        <f t="shared" si="3"/>
        <v>28320</v>
      </c>
      <c r="D2835" s="56">
        <v>3.185</v>
      </c>
    </row>
    <row r="2836" ht="15.75" customHeight="1">
      <c r="B2836" s="370">
        <f t="shared" si="2"/>
        <v>0.3278935185</v>
      </c>
      <c r="C2836" s="56">
        <f t="shared" si="3"/>
        <v>28330</v>
      </c>
      <c r="D2836" s="56">
        <v>2.475</v>
      </c>
    </row>
    <row r="2837" ht="15.75" customHeight="1">
      <c r="B2837" s="370">
        <f t="shared" si="2"/>
        <v>0.3280092593</v>
      </c>
      <c r="C2837" s="56">
        <f t="shared" si="3"/>
        <v>28340</v>
      </c>
      <c r="D2837" s="56">
        <v>2.484</v>
      </c>
    </row>
    <row r="2838" ht="15.75" customHeight="1">
      <c r="B2838" s="370">
        <f t="shared" si="2"/>
        <v>0.328125</v>
      </c>
      <c r="C2838" s="56">
        <f t="shared" si="3"/>
        <v>28350</v>
      </c>
      <c r="D2838" s="56">
        <v>2.674</v>
      </c>
    </row>
    <row r="2839" ht="15.75" customHeight="1">
      <c r="B2839" s="370">
        <f t="shared" si="2"/>
        <v>0.3282407407</v>
      </c>
      <c r="C2839" s="56">
        <f t="shared" si="3"/>
        <v>28360</v>
      </c>
      <c r="D2839" s="56">
        <v>2.72</v>
      </c>
    </row>
    <row r="2840" ht="15.75" customHeight="1">
      <c r="B2840" s="370">
        <f t="shared" si="2"/>
        <v>0.3283564815</v>
      </c>
      <c r="C2840" s="56">
        <f t="shared" si="3"/>
        <v>28370</v>
      </c>
      <c r="D2840" s="56">
        <v>2.774</v>
      </c>
    </row>
    <row r="2841" ht="15.75" customHeight="1">
      <c r="B2841" s="370">
        <f t="shared" si="2"/>
        <v>0.3284722222</v>
      </c>
      <c r="C2841" s="56">
        <f t="shared" si="3"/>
        <v>28380</v>
      </c>
      <c r="D2841" s="56">
        <v>2.691</v>
      </c>
    </row>
    <row r="2842" ht="15.75" customHeight="1">
      <c r="B2842" s="370">
        <f t="shared" si="2"/>
        <v>0.328587963</v>
      </c>
      <c r="C2842" s="56">
        <f t="shared" si="3"/>
        <v>28390</v>
      </c>
      <c r="D2842" s="56">
        <v>2.686</v>
      </c>
    </row>
    <row r="2843" ht="15.75" customHeight="1">
      <c r="B2843" s="370">
        <f t="shared" si="2"/>
        <v>0.3287037037</v>
      </c>
      <c r="C2843" s="56">
        <f t="shared" si="3"/>
        <v>28400</v>
      </c>
      <c r="D2843" s="56">
        <v>3.161</v>
      </c>
    </row>
    <row r="2844" ht="15.75" customHeight="1">
      <c r="B2844" s="370">
        <f t="shared" si="2"/>
        <v>0.3288194444</v>
      </c>
      <c r="C2844" s="56">
        <f t="shared" si="3"/>
        <v>28410</v>
      </c>
      <c r="D2844" s="56">
        <v>3.239</v>
      </c>
    </row>
    <row r="2845" ht="15.75" customHeight="1">
      <c r="B2845" s="370">
        <f t="shared" si="2"/>
        <v>0.3289351852</v>
      </c>
      <c r="C2845" s="56">
        <f t="shared" si="3"/>
        <v>28420</v>
      </c>
      <c r="D2845" s="56">
        <v>3.339</v>
      </c>
    </row>
    <row r="2846" ht="15.75" customHeight="1">
      <c r="B2846" s="370">
        <f t="shared" si="2"/>
        <v>0.3290509259</v>
      </c>
      <c r="C2846" s="56">
        <f t="shared" si="3"/>
        <v>28430</v>
      </c>
      <c r="D2846" s="56">
        <v>3.225</v>
      </c>
    </row>
    <row r="2847" ht="15.75" customHeight="1">
      <c r="B2847" s="370">
        <f t="shared" si="2"/>
        <v>0.3291666667</v>
      </c>
      <c r="C2847" s="56">
        <f t="shared" si="3"/>
        <v>28440</v>
      </c>
      <c r="D2847" s="56">
        <v>2.797</v>
      </c>
    </row>
    <row r="2848" ht="15.75" customHeight="1">
      <c r="B2848" s="370">
        <f t="shared" si="2"/>
        <v>0.3292824074</v>
      </c>
      <c r="C2848" s="56">
        <f t="shared" si="3"/>
        <v>28450</v>
      </c>
      <c r="D2848" s="56">
        <v>2.425</v>
      </c>
    </row>
    <row r="2849" ht="15.75" customHeight="1">
      <c r="B2849" s="370">
        <f t="shared" si="2"/>
        <v>0.3293981481</v>
      </c>
      <c r="C2849" s="56">
        <f t="shared" si="3"/>
        <v>28460</v>
      </c>
      <c r="D2849" s="56">
        <v>1.998</v>
      </c>
    </row>
    <row r="2850" ht="15.75" customHeight="1">
      <c r="B2850" s="370">
        <f t="shared" si="2"/>
        <v>0.3295138889</v>
      </c>
      <c r="C2850" s="56">
        <f t="shared" si="3"/>
        <v>28470</v>
      </c>
      <c r="D2850" s="56">
        <v>2.28</v>
      </c>
    </row>
    <row r="2851" ht="15.75" customHeight="1">
      <c r="B2851" s="370">
        <f t="shared" si="2"/>
        <v>0.3296296296</v>
      </c>
      <c r="C2851" s="56">
        <f t="shared" si="3"/>
        <v>28480</v>
      </c>
      <c r="D2851" s="56">
        <v>2.904</v>
      </c>
    </row>
    <row r="2852" ht="15.75" customHeight="1">
      <c r="B2852" s="370">
        <f t="shared" si="2"/>
        <v>0.3297453704</v>
      </c>
      <c r="C2852" s="56">
        <f t="shared" si="3"/>
        <v>28490</v>
      </c>
      <c r="D2852" s="56">
        <v>3.445</v>
      </c>
    </row>
    <row r="2853" ht="15.75" customHeight="1">
      <c r="B2853" s="370">
        <f t="shared" si="2"/>
        <v>0.3298611111</v>
      </c>
      <c r="C2853" s="56">
        <f t="shared" si="3"/>
        <v>28500</v>
      </c>
      <c r="D2853" s="56">
        <v>3.489</v>
      </c>
    </row>
    <row r="2854" ht="15.75" customHeight="1">
      <c r="B2854" s="370">
        <f t="shared" si="2"/>
        <v>0.3299768519</v>
      </c>
      <c r="C2854" s="56">
        <f t="shared" si="3"/>
        <v>28510</v>
      </c>
      <c r="D2854" s="56">
        <v>3.463</v>
      </c>
    </row>
    <row r="2855" ht="15.75" customHeight="1">
      <c r="B2855" s="370">
        <f t="shared" si="2"/>
        <v>0.3300925926</v>
      </c>
      <c r="C2855" s="56">
        <f t="shared" si="3"/>
        <v>28520</v>
      </c>
      <c r="D2855" s="56">
        <v>3.337</v>
      </c>
    </row>
    <row r="2856" ht="15.75" customHeight="1">
      <c r="B2856" s="370">
        <f t="shared" si="2"/>
        <v>0.3302083333</v>
      </c>
      <c r="C2856" s="56">
        <f t="shared" si="3"/>
        <v>28530</v>
      </c>
      <c r="D2856" s="56">
        <v>2.66</v>
      </c>
    </row>
    <row r="2857" ht="15.75" customHeight="1">
      <c r="B2857" s="370">
        <f t="shared" si="2"/>
        <v>0.3303240741</v>
      </c>
      <c r="C2857" s="56">
        <f t="shared" si="3"/>
        <v>28540</v>
      </c>
      <c r="D2857" s="56">
        <v>2.343</v>
      </c>
    </row>
    <row r="2858" ht="15.75" customHeight="1">
      <c r="B2858" s="370">
        <f t="shared" si="2"/>
        <v>0.3304398148</v>
      </c>
      <c r="C2858" s="56">
        <f t="shared" si="3"/>
        <v>28550</v>
      </c>
      <c r="D2858" s="56">
        <v>2.59</v>
      </c>
    </row>
    <row r="2859" ht="15.75" customHeight="1">
      <c r="B2859" s="370">
        <f t="shared" si="2"/>
        <v>0.3305555556</v>
      </c>
      <c r="C2859" s="56">
        <f t="shared" si="3"/>
        <v>28560</v>
      </c>
      <c r="D2859" s="56">
        <v>2.694</v>
      </c>
    </row>
    <row r="2860" ht="15.75" customHeight="1">
      <c r="B2860" s="370">
        <f t="shared" si="2"/>
        <v>0.3306712963</v>
      </c>
      <c r="C2860" s="56">
        <f t="shared" si="3"/>
        <v>28570</v>
      </c>
      <c r="D2860" s="56">
        <v>2.822</v>
      </c>
    </row>
    <row r="2861" ht="15.75" customHeight="1">
      <c r="B2861" s="370">
        <f t="shared" si="2"/>
        <v>0.330787037</v>
      </c>
      <c r="C2861" s="56">
        <f t="shared" si="3"/>
        <v>28580</v>
      </c>
      <c r="D2861" s="56">
        <v>2.833</v>
      </c>
    </row>
    <row r="2862" ht="15.75" customHeight="1">
      <c r="B2862" s="370">
        <f t="shared" si="2"/>
        <v>0.3309027778</v>
      </c>
      <c r="C2862" s="56">
        <f t="shared" si="3"/>
        <v>28590</v>
      </c>
      <c r="D2862" s="56">
        <v>2.818</v>
      </c>
    </row>
    <row r="2863" ht="15.75" customHeight="1">
      <c r="B2863" s="370">
        <f t="shared" si="2"/>
        <v>0.3310185185</v>
      </c>
      <c r="C2863" s="56">
        <f t="shared" si="3"/>
        <v>28600</v>
      </c>
      <c r="D2863" s="56">
        <v>2.976</v>
      </c>
    </row>
    <row r="2864" ht="15.75" customHeight="1">
      <c r="B2864" s="370">
        <f t="shared" si="2"/>
        <v>0.3311342593</v>
      </c>
      <c r="C2864" s="56">
        <f t="shared" si="3"/>
        <v>28610</v>
      </c>
      <c r="D2864" s="56">
        <v>3.107</v>
      </c>
    </row>
    <row r="2865" ht="15.75" customHeight="1">
      <c r="B2865" s="370">
        <f t="shared" si="2"/>
        <v>0.33125</v>
      </c>
      <c r="C2865" s="56">
        <f t="shared" si="3"/>
        <v>28620</v>
      </c>
      <c r="D2865" s="56">
        <v>3.206</v>
      </c>
    </row>
    <row r="2866" ht="15.75" customHeight="1">
      <c r="B2866" s="370">
        <f t="shared" si="2"/>
        <v>0.3313657407</v>
      </c>
      <c r="C2866" s="56">
        <f t="shared" si="3"/>
        <v>28630</v>
      </c>
      <c r="D2866" s="56">
        <v>3.177</v>
      </c>
    </row>
    <row r="2867" ht="15.75" customHeight="1">
      <c r="B2867" s="370">
        <f t="shared" si="2"/>
        <v>0.3314814815</v>
      </c>
      <c r="C2867" s="56">
        <f t="shared" si="3"/>
        <v>28640</v>
      </c>
      <c r="D2867" s="56">
        <v>2.852</v>
      </c>
    </row>
    <row r="2868" ht="15.75" customHeight="1">
      <c r="B2868" s="370">
        <f t="shared" si="2"/>
        <v>0.3315972222</v>
      </c>
      <c r="C2868" s="56">
        <f t="shared" si="3"/>
        <v>28650</v>
      </c>
      <c r="D2868" s="56">
        <v>2.537</v>
      </c>
    </row>
    <row r="2869" ht="15.75" customHeight="1">
      <c r="B2869" s="370">
        <f t="shared" si="2"/>
        <v>0.331712963</v>
      </c>
      <c r="C2869" s="56">
        <f t="shared" si="3"/>
        <v>28660</v>
      </c>
      <c r="D2869" s="56">
        <v>2.261</v>
      </c>
    </row>
    <row r="2870" ht="15.75" customHeight="1">
      <c r="B2870" s="370">
        <f t="shared" si="2"/>
        <v>0.3318287037</v>
      </c>
      <c r="C2870" s="56">
        <f t="shared" si="3"/>
        <v>28670</v>
      </c>
      <c r="D2870" s="56">
        <v>2.014</v>
      </c>
    </row>
    <row r="2871" ht="15.75" customHeight="1">
      <c r="B2871" s="370">
        <f t="shared" si="2"/>
        <v>0.3319444444</v>
      </c>
      <c r="C2871" s="56">
        <f t="shared" si="3"/>
        <v>28680</v>
      </c>
      <c r="D2871" s="56">
        <v>2.781</v>
      </c>
    </row>
    <row r="2872" ht="15.75" customHeight="1">
      <c r="B2872" s="370">
        <f t="shared" si="2"/>
        <v>0.3320601852</v>
      </c>
      <c r="C2872" s="56">
        <f t="shared" si="3"/>
        <v>28690</v>
      </c>
      <c r="D2872" s="56">
        <v>3.422</v>
      </c>
    </row>
    <row r="2873" ht="15.75" customHeight="1">
      <c r="B2873" s="370">
        <f t="shared" si="2"/>
        <v>0.3321759259</v>
      </c>
      <c r="C2873" s="56">
        <f t="shared" si="3"/>
        <v>28700</v>
      </c>
      <c r="D2873" s="56">
        <v>3.523</v>
      </c>
    </row>
    <row r="2874" ht="15.75" customHeight="1">
      <c r="B2874" s="370">
        <f t="shared" si="2"/>
        <v>0.3322916667</v>
      </c>
      <c r="C2874" s="56">
        <f t="shared" si="3"/>
        <v>28710</v>
      </c>
      <c r="D2874" s="56">
        <v>3.5</v>
      </c>
    </row>
    <row r="2875" ht="15.75" customHeight="1">
      <c r="B2875" s="370">
        <f t="shared" si="2"/>
        <v>0.3324074074</v>
      </c>
      <c r="C2875" s="56">
        <f t="shared" si="3"/>
        <v>28720</v>
      </c>
      <c r="D2875" s="56">
        <v>3.426</v>
      </c>
    </row>
    <row r="2876" ht="15.75" customHeight="1">
      <c r="B2876" s="370">
        <f t="shared" si="2"/>
        <v>0.3325231481</v>
      </c>
      <c r="C2876" s="56">
        <f t="shared" si="3"/>
        <v>28730</v>
      </c>
      <c r="D2876" s="56">
        <v>2.849</v>
      </c>
    </row>
    <row r="2877" ht="15.75" customHeight="1">
      <c r="B2877" s="370">
        <f t="shared" si="2"/>
        <v>0.3326388889</v>
      </c>
      <c r="C2877" s="56">
        <f t="shared" si="3"/>
        <v>28740</v>
      </c>
      <c r="D2877" s="56">
        <v>2.096</v>
      </c>
    </row>
    <row r="2878" ht="15.75" customHeight="1">
      <c r="B2878" s="370">
        <f t="shared" si="2"/>
        <v>0.3327546296</v>
      </c>
      <c r="C2878" s="56">
        <f t="shared" si="3"/>
        <v>28750</v>
      </c>
      <c r="D2878" s="56">
        <v>2.46</v>
      </c>
    </row>
    <row r="2879" ht="15.75" customHeight="1">
      <c r="B2879" s="370">
        <f t="shared" si="2"/>
        <v>0.3328703704</v>
      </c>
      <c r="C2879" s="56">
        <f t="shared" si="3"/>
        <v>28760</v>
      </c>
      <c r="D2879" s="56">
        <v>2.633</v>
      </c>
    </row>
    <row r="2880" ht="15.75" customHeight="1">
      <c r="B2880" s="370">
        <f t="shared" si="2"/>
        <v>0.3329861111</v>
      </c>
      <c r="C2880" s="56">
        <f t="shared" si="3"/>
        <v>28770</v>
      </c>
      <c r="D2880" s="56">
        <v>2.835</v>
      </c>
    </row>
    <row r="2881" ht="15.75" customHeight="1">
      <c r="B2881" s="370">
        <f t="shared" si="2"/>
        <v>0.3331018519</v>
      </c>
      <c r="C2881" s="56">
        <f t="shared" si="3"/>
        <v>28780</v>
      </c>
      <c r="D2881" s="56">
        <v>2.94</v>
      </c>
    </row>
    <row r="2882" ht="15.75" customHeight="1">
      <c r="B2882" s="370">
        <f t="shared" si="2"/>
        <v>0.3332175926</v>
      </c>
      <c r="C2882" s="56">
        <f t="shared" si="3"/>
        <v>28790</v>
      </c>
      <c r="D2882" s="56">
        <v>2.942</v>
      </c>
    </row>
    <row r="2883" ht="15.75" customHeight="1">
      <c r="B2883" s="370">
        <f t="shared" si="2"/>
        <v>0.3333333333</v>
      </c>
      <c r="C2883" s="56">
        <f t="shared" si="3"/>
        <v>28800</v>
      </c>
      <c r="D2883" s="56">
        <v>2.86</v>
      </c>
    </row>
    <row r="2884" ht="15.75" customHeight="1">
      <c r="B2884" s="370">
        <f t="shared" si="2"/>
        <v>0.3334490741</v>
      </c>
      <c r="C2884" s="56">
        <f t="shared" si="3"/>
        <v>28810</v>
      </c>
      <c r="D2884" s="56">
        <v>2.888</v>
      </c>
    </row>
    <row r="2885" ht="15.75" customHeight="1">
      <c r="B2885" s="370">
        <f t="shared" si="2"/>
        <v>0.3335648148</v>
      </c>
      <c r="C2885" s="56">
        <f t="shared" si="3"/>
        <v>28820</v>
      </c>
      <c r="D2885" s="56">
        <v>3.074</v>
      </c>
    </row>
    <row r="2886" ht="15.75" customHeight="1">
      <c r="B2886" s="370">
        <f t="shared" si="2"/>
        <v>0.3336805556</v>
      </c>
      <c r="C2886" s="56">
        <f t="shared" si="3"/>
        <v>28830</v>
      </c>
      <c r="D2886" s="56">
        <v>3.1</v>
      </c>
    </row>
    <row r="2887" ht="15.75" customHeight="1">
      <c r="B2887" s="370">
        <f t="shared" si="2"/>
        <v>0.3337962963</v>
      </c>
      <c r="C2887" s="56">
        <f t="shared" si="3"/>
        <v>28840</v>
      </c>
      <c r="D2887" s="56">
        <v>2.87</v>
      </c>
    </row>
    <row r="2888" ht="15.75" customHeight="1">
      <c r="B2888" s="370">
        <f t="shared" si="2"/>
        <v>0.333912037</v>
      </c>
      <c r="C2888" s="56">
        <f t="shared" si="3"/>
        <v>28850</v>
      </c>
      <c r="D2888" s="56">
        <v>2.657</v>
      </c>
    </row>
    <row r="2889" ht="15.75" customHeight="1">
      <c r="B2889" s="370">
        <f t="shared" si="2"/>
        <v>0.3340277778</v>
      </c>
      <c r="C2889" s="56">
        <f t="shared" si="3"/>
        <v>28860</v>
      </c>
      <c r="D2889" s="56">
        <v>2.428</v>
      </c>
    </row>
    <row r="2890" ht="15.75" customHeight="1">
      <c r="B2890" s="370">
        <f t="shared" si="2"/>
        <v>0.3341435185</v>
      </c>
      <c r="C2890" s="56">
        <f t="shared" si="3"/>
        <v>28870</v>
      </c>
      <c r="D2890" s="56">
        <v>2.142</v>
      </c>
    </row>
    <row r="2891" ht="15.75" customHeight="1">
      <c r="B2891" s="370">
        <f t="shared" si="2"/>
        <v>0.3342592593</v>
      </c>
      <c r="C2891" s="56">
        <f t="shared" si="3"/>
        <v>28880</v>
      </c>
      <c r="D2891" s="56">
        <v>2.616</v>
      </c>
    </row>
    <row r="2892" ht="15.75" customHeight="1">
      <c r="B2892" s="370">
        <f t="shared" si="2"/>
        <v>0.334375</v>
      </c>
      <c r="C2892" s="56">
        <f t="shared" si="3"/>
        <v>28890</v>
      </c>
      <c r="D2892" s="56">
        <v>3.364</v>
      </c>
    </row>
    <row r="2893" ht="15.75" customHeight="1">
      <c r="B2893" s="370">
        <f t="shared" si="2"/>
        <v>0.3344907407</v>
      </c>
      <c r="C2893" s="56">
        <f t="shared" si="3"/>
        <v>28900</v>
      </c>
      <c r="D2893" s="56">
        <v>3.522</v>
      </c>
    </row>
    <row r="2894" ht="15.75" customHeight="1">
      <c r="B2894" s="370">
        <f t="shared" si="2"/>
        <v>0.3346064815</v>
      </c>
      <c r="C2894" s="56">
        <f t="shared" si="3"/>
        <v>28910</v>
      </c>
      <c r="D2894" s="56">
        <v>3.515</v>
      </c>
    </row>
    <row r="2895" ht="15.75" customHeight="1">
      <c r="B2895" s="370">
        <f t="shared" si="2"/>
        <v>0.3347222222</v>
      </c>
      <c r="C2895" s="56">
        <f t="shared" si="3"/>
        <v>28920</v>
      </c>
      <c r="D2895" s="56">
        <v>3.476</v>
      </c>
    </row>
    <row r="2896" ht="15.75" customHeight="1">
      <c r="B2896" s="370">
        <f t="shared" si="2"/>
        <v>0.334837963</v>
      </c>
      <c r="C2896" s="56">
        <f t="shared" si="3"/>
        <v>28930</v>
      </c>
      <c r="D2896" s="56">
        <v>2.966</v>
      </c>
    </row>
    <row r="2897" ht="15.75" customHeight="1">
      <c r="B2897" s="370">
        <f t="shared" si="2"/>
        <v>0.3349537037</v>
      </c>
      <c r="C2897" s="56">
        <f t="shared" si="3"/>
        <v>28940</v>
      </c>
      <c r="D2897" s="56">
        <v>2.135</v>
      </c>
    </row>
    <row r="2898" ht="15.75" customHeight="1">
      <c r="B2898" s="370">
        <f t="shared" si="2"/>
        <v>0.3350694444</v>
      </c>
      <c r="C2898" s="56">
        <f t="shared" si="3"/>
        <v>28950</v>
      </c>
      <c r="D2898" s="56">
        <v>2.26</v>
      </c>
    </row>
    <row r="2899" ht="15.75" customHeight="1">
      <c r="B2899" s="370">
        <f t="shared" si="2"/>
        <v>0.3351851852</v>
      </c>
      <c r="C2899" s="56">
        <f t="shared" si="3"/>
        <v>28960</v>
      </c>
      <c r="D2899" s="56">
        <v>2.534</v>
      </c>
    </row>
    <row r="2900" ht="15.75" customHeight="1">
      <c r="B2900" s="370">
        <f t="shared" si="2"/>
        <v>0.3353009259</v>
      </c>
      <c r="C2900" s="56">
        <f t="shared" si="3"/>
        <v>28970</v>
      </c>
      <c r="D2900" s="56">
        <v>2.811</v>
      </c>
    </row>
    <row r="2901" ht="15.75" customHeight="1">
      <c r="B2901" s="370">
        <f t="shared" si="2"/>
        <v>0.3354166667</v>
      </c>
      <c r="C2901" s="56">
        <f t="shared" si="3"/>
        <v>28980</v>
      </c>
      <c r="D2901" s="56">
        <v>3.015</v>
      </c>
    </row>
    <row r="2902" ht="15.75" customHeight="1">
      <c r="B2902" s="370">
        <f t="shared" si="2"/>
        <v>0.3355324074</v>
      </c>
      <c r="C2902" s="56">
        <f t="shared" si="3"/>
        <v>28990</v>
      </c>
      <c r="D2902" s="56">
        <v>3.154</v>
      </c>
    </row>
    <row r="2903" ht="15.75" customHeight="1">
      <c r="B2903" s="370">
        <f t="shared" si="2"/>
        <v>0.3356481481</v>
      </c>
      <c r="C2903" s="56">
        <f t="shared" si="3"/>
        <v>29000</v>
      </c>
      <c r="D2903" s="56">
        <v>2.996</v>
      </c>
    </row>
    <row r="2904" ht="15.75" customHeight="1">
      <c r="B2904" s="370">
        <f t="shared" si="2"/>
        <v>0.3357638889</v>
      </c>
      <c r="C2904" s="56">
        <f t="shared" si="3"/>
        <v>29010</v>
      </c>
      <c r="D2904" s="56">
        <v>2.938</v>
      </c>
    </row>
    <row r="2905" ht="15.75" customHeight="1">
      <c r="B2905" s="370">
        <f t="shared" si="2"/>
        <v>0.3358796296</v>
      </c>
      <c r="C2905" s="56">
        <f t="shared" si="3"/>
        <v>29020</v>
      </c>
      <c r="D2905" s="56">
        <v>2.863</v>
      </c>
    </row>
    <row r="2906" ht="15.75" customHeight="1">
      <c r="B2906" s="370">
        <f t="shared" si="2"/>
        <v>0.3359953704</v>
      </c>
      <c r="C2906" s="56">
        <f t="shared" si="3"/>
        <v>29030</v>
      </c>
      <c r="D2906" s="56">
        <v>2.984</v>
      </c>
    </row>
    <row r="2907" ht="15.75" customHeight="1">
      <c r="B2907" s="370">
        <f t="shared" si="2"/>
        <v>0.3361111111</v>
      </c>
      <c r="C2907" s="56">
        <f t="shared" si="3"/>
        <v>29040</v>
      </c>
      <c r="D2907" s="56">
        <v>2.851</v>
      </c>
    </row>
    <row r="2908" ht="15.75" customHeight="1">
      <c r="B2908" s="370">
        <f t="shared" si="2"/>
        <v>0.3362268519</v>
      </c>
      <c r="C2908" s="56">
        <f t="shared" si="3"/>
        <v>29050</v>
      </c>
      <c r="D2908" s="56">
        <v>2.722</v>
      </c>
    </row>
    <row r="2909" ht="15.75" customHeight="1">
      <c r="B2909" s="370">
        <f t="shared" si="2"/>
        <v>0.3363425926</v>
      </c>
      <c r="C2909" s="56">
        <f t="shared" si="3"/>
        <v>29060</v>
      </c>
      <c r="D2909" s="56">
        <v>2.544</v>
      </c>
    </row>
    <row r="2910" ht="15.75" customHeight="1">
      <c r="B2910" s="370">
        <f t="shared" si="2"/>
        <v>0.3364583333</v>
      </c>
      <c r="C2910" s="56">
        <f t="shared" si="3"/>
        <v>29070</v>
      </c>
      <c r="D2910" s="56">
        <v>2.272</v>
      </c>
    </row>
    <row r="2911" ht="15.75" customHeight="1">
      <c r="B2911" s="370">
        <f t="shared" si="2"/>
        <v>0.3365740741</v>
      </c>
      <c r="C2911" s="56">
        <f t="shared" si="3"/>
        <v>29080</v>
      </c>
      <c r="D2911" s="56">
        <v>2.443</v>
      </c>
    </row>
    <row r="2912" ht="15.75" customHeight="1">
      <c r="B2912" s="370">
        <f t="shared" si="2"/>
        <v>0.3366898148</v>
      </c>
      <c r="C2912" s="56">
        <f t="shared" si="3"/>
        <v>29090</v>
      </c>
      <c r="D2912" s="56">
        <v>3.275</v>
      </c>
    </row>
    <row r="2913" ht="15.75" customHeight="1">
      <c r="B2913" s="370">
        <f t="shared" si="2"/>
        <v>0.3368055556</v>
      </c>
      <c r="C2913" s="56">
        <f t="shared" si="3"/>
        <v>29100</v>
      </c>
      <c r="D2913" s="56">
        <v>3.485</v>
      </c>
    </row>
    <row r="2914" ht="15.75" customHeight="1">
      <c r="B2914" s="370">
        <f t="shared" si="2"/>
        <v>0.3369212963</v>
      </c>
      <c r="C2914" s="56">
        <f t="shared" si="3"/>
        <v>29110</v>
      </c>
      <c r="D2914" s="56">
        <v>3.505</v>
      </c>
    </row>
    <row r="2915" ht="15.75" customHeight="1">
      <c r="B2915" s="370">
        <f t="shared" si="2"/>
        <v>0.337037037</v>
      </c>
      <c r="C2915" s="56">
        <f t="shared" si="3"/>
        <v>29120</v>
      </c>
      <c r="D2915" s="56">
        <v>3.507</v>
      </c>
    </row>
    <row r="2916" ht="15.75" customHeight="1">
      <c r="B2916" s="370">
        <f t="shared" si="2"/>
        <v>0.3371527778</v>
      </c>
      <c r="C2916" s="56">
        <f t="shared" si="3"/>
        <v>29130</v>
      </c>
      <c r="D2916" s="56">
        <v>3.107</v>
      </c>
    </row>
    <row r="2917" ht="15.75" customHeight="1">
      <c r="B2917" s="370">
        <f t="shared" si="2"/>
        <v>0.3372685185</v>
      </c>
      <c r="C2917" s="56">
        <f t="shared" si="3"/>
        <v>29140</v>
      </c>
      <c r="D2917" s="56">
        <v>2.326</v>
      </c>
    </row>
    <row r="2918" ht="15.75" customHeight="1">
      <c r="B2918" s="370">
        <f t="shared" si="2"/>
        <v>0.3373842593</v>
      </c>
      <c r="C2918" s="56">
        <f t="shared" si="3"/>
        <v>29150</v>
      </c>
      <c r="D2918" s="56">
        <v>2.115</v>
      </c>
    </row>
    <row r="2919" ht="15.75" customHeight="1">
      <c r="B2919" s="370">
        <f t="shared" si="2"/>
        <v>0.3375</v>
      </c>
      <c r="C2919" s="56">
        <f t="shared" si="3"/>
        <v>29160</v>
      </c>
      <c r="D2919" s="56">
        <v>2.412</v>
      </c>
    </row>
    <row r="2920" ht="15.75" customHeight="1">
      <c r="B2920" s="370">
        <f t="shared" si="2"/>
        <v>0.3376157407</v>
      </c>
      <c r="C2920" s="56">
        <f t="shared" si="3"/>
        <v>29170</v>
      </c>
      <c r="D2920" s="56">
        <v>2.752</v>
      </c>
    </row>
    <row r="2921" ht="15.75" customHeight="1">
      <c r="B2921" s="370">
        <f t="shared" si="2"/>
        <v>0.3377314815</v>
      </c>
      <c r="C2921" s="56">
        <f t="shared" si="3"/>
        <v>29180</v>
      </c>
      <c r="D2921" s="56">
        <v>3.052</v>
      </c>
    </row>
    <row r="2922" ht="15.75" customHeight="1">
      <c r="B2922" s="370">
        <f t="shared" si="2"/>
        <v>0.3378472222</v>
      </c>
      <c r="C2922" s="56">
        <f t="shared" si="3"/>
        <v>29190</v>
      </c>
      <c r="D2922" s="56">
        <v>3.277</v>
      </c>
    </row>
    <row r="2923" ht="15.75" customHeight="1">
      <c r="B2923" s="370">
        <f t="shared" si="2"/>
        <v>0.337962963</v>
      </c>
      <c r="C2923" s="56">
        <f t="shared" si="3"/>
        <v>29200</v>
      </c>
      <c r="D2923" s="56">
        <v>3.171</v>
      </c>
    </row>
    <row r="2924" ht="15.75" customHeight="1">
      <c r="B2924" s="370">
        <f t="shared" si="2"/>
        <v>0.3380787037</v>
      </c>
      <c r="C2924" s="56">
        <f t="shared" si="3"/>
        <v>29210</v>
      </c>
      <c r="D2924" s="56">
        <v>3.028</v>
      </c>
    </row>
    <row r="2925" ht="15.75" customHeight="1">
      <c r="B2925" s="370">
        <f t="shared" si="2"/>
        <v>0.3381944444</v>
      </c>
      <c r="C2925" s="56">
        <f t="shared" si="3"/>
        <v>29220</v>
      </c>
      <c r="D2925" s="56">
        <v>2.816</v>
      </c>
    </row>
    <row r="2926" ht="15.75" customHeight="1">
      <c r="B2926" s="370">
        <f t="shared" si="2"/>
        <v>0.3383101852</v>
      </c>
      <c r="C2926" s="56">
        <f t="shared" si="3"/>
        <v>29230</v>
      </c>
      <c r="D2926" s="56">
        <v>2.796</v>
      </c>
    </row>
    <row r="2927" ht="15.75" customHeight="1">
      <c r="B2927" s="370">
        <f t="shared" si="2"/>
        <v>0.3384259259</v>
      </c>
      <c r="C2927" s="56">
        <f t="shared" si="3"/>
        <v>29240</v>
      </c>
      <c r="D2927" s="56">
        <v>2.799</v>
      </c>
    </row>
    <row r="2928" ht="15.75" customHeight="1">
      <c r="B2928" s="370">
        <f t="shared" si="2"/>
        <v>0.3385416667</v>
      </c>
      <c r="C2928" s="56">
        <f t="shared" si="3"/>
        <v>29250</v>
      </c>
      <c r="D2928" s="56">
        <v>2.751</v>
      </c>
    </row>
    <row r="2929" ht="15.75" customHeight="1">
      <c r="B2929" s="370">
        <f t="shared" si="2"/>
        <v>0.3386574074</v>
      </c>
      <c r="C2929" s="56">
        <f t="shared" si="3"/>
        <v>29260</v>
      </c>
      <c r="D2929" s="56">
        <v>2.639</v>
      </c>
    </row>
    <row r="2930" ht="15.75" customHeight="1">
      <c r="B2930" s="370">
        <f t="shared" si="2"/>
        <v>0.3387731481</v>
      </c>
      <c r="C2930" s="56">
        <f t="shared" si="3"/>
        <v>29270</v>
      </c>
      <c r="D2930" s="56">
        <v>2.505</v>
      </c>
    </row>
    <row r="2931" ht="15.75" customHeight="1">
      <c r="B2931" s="370">
        <f t="shared" si="2"/>
        <v>0.3388888889</v>
      </c>
      <c r="C2931" s="56">
        <f t="shared" si="3"/>
        <v>29280</v>
      </c>
      <c r="D2931" s="56">
        <v>2.223</v>
      </c>
    </row>
    <row r="2932" ht="15.75" customHeight="1">
      <c r="B2932" s="370">
        <f t="shared" si="2"/>
        <v>0.3390046296</v>
      </c>
      <c r="C2932" s="56">
        <f t="shared" si="3"/>
        <v>29290</v>
      </c>
      <c r="D2932" s="56">
        <v>3.145</v>
      </c>
    </row>
    <row r="2933" ht="15.75" customHeight="1">
      <c r="B2933" s="370">
        <f t="shared" si="2"/>
        <v>0.3391203704</v>
      </c>
      <c r="C2933" s="56">
        <f t="shared" si="3"/>
        <v>29300</v>
      </c>
      <c r="D2933" s="56">
        <v>3.433</v>
      </c>
    </row>
    <row r="2934" ht="15.75" customHeight="1">
      <c r="B2934" s="370">
        <f t="shared" si="2"/>
        <v>0.3392361111</v>
      </c>
      <c r="C2934" s="56">
        <f t="shared" si="3"/>
        <v>29310</v>
      </c>
      <c r="D2934" s="56">
        <v>3.461</v>
      </c>
    </row>
    <row r="2935" ht="15.75" customHeight="1">
      <c r="B2935" s="370">
        <f t="shared" si="2"/>
        <v>0.3393518519</v>
      </c>
      <c r="C2935" s="56">
        <f t="shared" si="3"/>
        <v>29320</v>
      </c>
      <c r="D2935" s="56">
        <v>3.496</v>
      </c>
    </row>
    <row r="2936" ht="15.75" customHeight="1">
      <c r="B2936" s="370">
        <f t="shared" si="2"/>
        <v>0.3394675926</v>
      </c>
      <c r="C2936" s="56">
        <f t="shared" si="3"/>
        <v>29330</v>
      </c>
      <c r="D2936" s="56">
        <v>3.184</v>
      </c>
    </row>
    <row r="2937" ht="15.75" customHeight="1">
      <c r="B2937" s="370">
        <f t="shared" si="2"/>
        <v>0.3395833333</v>
      </c>
      <c r="C2937" s="56">
        <f t="shared" si="3"/>
        <v>29340</v>
      </c>
      <c r="D2937" s="56">
        <v>2.512</v>
      </c>
    </row>
    <row r="2938" ht="15.75" customHeight="1">
      <c r="B2938" s="370">
        <f t="shared" si="2"/>
        <v>0.3396990741</v>
      </c>
      <c r="C2938" s="56">
        <f t="shared" si="3"/>
        <v>29350</v>
      </c>
      <c r="D2938" s="56">
        <v>1.953</v>
      </c>
    </row>
    <row r="2939" ht="15.75" customHeight="1">
      <c r="B2939" s="370">
        <f t="shared" si="2"/>
        <v>0.3398148148</v>
      </c>
      <c r="C2939" s="56">
        <f t="shared" si="3"/>
        <v>29360</v>
      </c>
      <c r="D2939" s="56">
        <v>2.248</v>
      </c>
    </row>
    <row r="2940" ht="15.75" customHeight="1">
      <c r="B2940" s="370">
        <f t="shared" si="2"/>
        <v>0.3399305556</v>
      </c>
      <c r="C2940" s="56">
        <f t="shared" si="3"/>
        <v>29370</v>
      </c>
      <c r="D2940" s="56">
        <v>2.658</v>
      </c>
    </row>
    <row r="2941" ht="15.75" customHeight="1">
      <c r="B2941" s="370">
        <f t="shared" si="2"/>
        <v>0.3400462963</v>
      </c>
      <c r="C2941" s="56">
        <f t="shared" si="3"/>
        <v>29380</v>
      </c>
      <c r="D2941" s="56">
        <v>3.053</v>
      </c>
    </row>
    <row r="2942" ht="15.75" customHeight="1">
      <c r="B2942" s="370">
        <f t="shared" si="2"/>
        <v>0.340162037</v>
      </c>
      <c r="C2942" s="56">
        <f t="shared" si="3"/>
        <v>29390</v>
      </c>
      <c r="D2942" s="56">
        <v>3.362</v>
      </c>
    </row>
    <row r="2943" ht="15.75" customHeight="1">
      <c r="B2943" s="370">
        <f t="shared" si="2"/>
        <v>0.3402777778</v>
      </c>
      <c r="C2943" s="56">
        <f t="shared" si="3"/>
        <v>29400</v>
      </c>
      <c r="D2943" s="56">
        <v>3.275</v>
      </c>
    </row>
    <row r="2944" ht="15.75" customHeight="1">
      <c r="B2944" s="370">
        <f t="shared" si="2"/>
        <v>0.3403935185</v>
      </c>
      <c r="C2944" s="56">
        <f t="shared" si="3"/>
        <v>29410</v>
      </c>
      <c r="D2944" s="56">
        <v>3.232</v>
      </c>
    </row>
    <row r="2945" ht="15.75" customHeight="1">
      <c r="B2945" s="370">
        <f t="shared" si="2"/>
        <v>0.3405092593</v>
      </c>
      <c r="C2945" s="56">
        <f t="shared" si="3"/>
        <v>29420</v>
      </c>
      <c r="D2945" s="56">
        <v>2.975</v>
      </c>
    </row>
    <row r="2946" ht="15.75" customHeight="1">
      <c r="B2946" s="370">
        <f t="shared" si="2"/>
        <v>0.340625</v>
      </c>
      <c r="C2946" s="56">
        <f t="shared" si="3"/>
        <v>29430</v>
      </c>
      <c r="D2946" s="56">
        <v>2.655</v>
      </c>
    </row>
    <row r="2947" ht="15.75" customHeight="1">
      <c r="B2947" s="370">
        <f t="shared" si="2"/>
        <v>0.3407407407</v>
      </c>
      <c r="C2947" s="56">
        <f t="shared" si="3"/>
        <v>29440</v>
      </c>
      <c r="D2947" s="56">
        <v>2.709</v>
      </c>
    </row>
    <row r="2948" ht="15.75" customHeight="1">
      <c r="B2948" s="370">
        <f t="shared" si="2"/>
        <v>0.3408564815</v>
      </c>
      <c r="C2948" s="56">
        <f t="shared" si="3"/>
        <v>29450</v>
      </c>
      <c r="D2948" s="56">
        <v>2.746</v>
      </c>
    </row>
    <row r="2949" ht="15.75" customHeight="1">
      <c r="B2949" s="370">
        <f t="shared" si="2"/>
        <v>0.3409722222</v>
      </c>
      <c r="C2949" s="56">
        <f t="shared" si="3"/>
        <v>29460</v>
      </c>
      <c r="D2949" s="56">
        <v>2.696</v>
      </c>
    </row>
    <row r="2950" ht="15.75" customHeight="1">
      <c r="B2950" s="370">
        <f t="shared" si="2"/>
        <v>0.341087963</v>
      </c>
      <c r="C2950" s="56">
        <f t="shared" si="3"/>
        <v>29470</v>
      </c>
      <c r="D2950" s="56">
        <v>2.641</v>
      </c>
    </row>
    <row r="2951" ht="15.75" customHeight="1">
      <c r="B2951" s="370">
        <f t="shared" si="2"/>
        <v>0.3412037037</v>
      </c>
      <c r="C2951" s="56">
        <f t="shared" si="3"/>
        <v>29480</v>
      </c>
      <c r="D2951" s="56">
        <v>2.427</v>
      </c>
    </row>
    <row r="2952" ht="15.75" customHeight="1">
      <c r="B2952" s="370">
        <f t="shared" si="2"/>
        <v>0.3413194444</v>
      </c>
      <c r="C2952" s="56">
        <f t="shared" si="3"/>
        <v>29490</v>
      </c>
      <c r="D2952" s="56">
        <v>2.982</v>
      </c>
    </row>
    <row r="2953" ht="15.75" customHeight="1">
      <c r="B2953" s="370">
        <f t="shared" si="2"/>
        <v>0.3414351852</v>
      </c>
      <c r="C2953" s="56">
        <f t="shared" si="3"/>
        <v>29500</v>
      </c>
      <c r="D2953" s="56">
        <v>3.341</v>
      </c>
    </row>
    <row r="2954" ht="15.75" customHeight="1">
      <c r="B2954" s="370">
        <f t="shared" si="2"/>
        <v>0.3415509259</v>
      </c>
      <c r="C2954" s="56">
        <f t="shared" si="3"/>
        <v>29510</v>
      </c>
      <c r="D2954" s="56">
        <v>3.391</v>
      </c>
    </row>
    <row r="2955" ht="15.75" customHeight="1">
      <c r="B2955" s="370">
        <f t="shared" si="2"/>
        <v>0.3416666667</v>
      </c>
      <c r="C2955" s="56">
        <f t="shared" si="3"/>
        <v>29520</v>
      </c>
      <c r="D2955" s="56">
        <v>3.45</v>
      </c>
    </row>
    <row r="2956" ht="15.75" customHeight="1">
      <c r="B2956" s="370">
        <f t="shared" si="2"/>
        <v>0.3417824074</v>
      </c>
      <c r="C2956" s="56">
        <f t="shared" si="3"/>
        <v>29530</v>
      </c>
      <c r="D2956" s="56">
        <v>3.226</v>
      </c>
    </row>
    <row r="2957" ht="15.75" customHeight="1">
      <c r="B2957" s="370">
        <f t="shared" si="2"/>
        <v>0.3418981481</v>
      </c>
      <c r="C2957" s="56">
        <f t="shared" si="3"/>
        <v>29540</v>
      </c>
      <c r="D2957" s="56">
        <v>2.626</v>
      </c>
    </row>
    <row r="2958" ht="15.75" customHeight="1">
      <c r="B2958" s="370">
        <f t="shared" si="2"/>
        <v>0.3420138889</v>
      </c>
      <c r="C2958" s="56">
        <f t="shared" si="3"/>
        <v>29550</v>
      </c>
      <c r="D2958" s="56">
        <v>2.174</v>
      </c>
    </row>
    <row r="2959" ht="15.75" customHeight="1">
      <c r="B2959" s="370">
        <f t="shared" si="2"/>
        <v>0.3421296296</v>
      </c>
      <c r="C2959" s="56">
        <f t="shared" si="3"/>
        <v>29560</v>
      </c>
      <c r="D2959" s="56">
        <v>1.986</v>
      </c>
    </row>
    <row r="2960" ht="15.75" customHeight="1">
      <c r="B2960" s="370">
        <f t="shared" si="2"/>
        <v>0.3422453704</v>
      </c>
      <c r="C2960" s="56">
        <f t="shared" si="3"/>
        <v>29570</v>
      </c>
      <c r="D2960" s="56">
        <v>2.527</v>
      </c>
    </row>
    <row r="2961" ht="15.75" customHeight="1">
      <c r="B2961" s="370">
        <f t="shared" si="2"/>
        <v>0.3423611111</v>
      </c>
      <c r="C2961" s="56">
        <f t="shared" si="3"/>
        <v>29580</v>
      </c>
      <c r="D2961" s="56">
        <v>3.019</v>
      </c>
    </row>
    <row r="2962" ht="15.75" customHeight="1">
      <c r="B2962" s="370">
        <f t="shared" si="2"/>
        <v>0.3424768519</v>
      </c>
      <c r="C2962" s="56">
        <f t="shared" si="3"/>
        <v>29590</v>
      </c>
      <c r="D2962" s="56">
        <v>3.428</v>
      </c>
    </row>
    <row r="2963" ht="15.75" customHeight="1">
      <c r="B2963" s="370">
        <f t="shared" si="2"/>
        <v>0.3425925926</v>
      </c>
      <c r="C2963" s="56">
        <f t="shared" si="3"/>
        <v>29600</v>
      </c>
      <c r="D2963" s="56">
        <v>3.399</v>
      </c>
    </row>
    <row r="2964" ht="15.75" customHeight="1">
      <c r="B2964" s="370">
        <f t="shared" si="2"/>
        <v>0.3427083333</v>
      </c>
      <c r="C2964" s="56">
        <f t="shared" si="3"/>
        <v>29610</v>
      </c>
      <c r="D2964" s="56">
        <v>3.344</v>
      </c>
    </row>
    <row r="2965" ht="15.75" customHeight="1">
      <c r="B2965" s="370">
        <f t="shared" si="2"/>
        <v>0.3428240741</v>
      </c>
      <c r="C2965" s="56">
        <f t="shared" si="3"/>
        <v>29620</v>
      </c>
      <c r="D2965" s="56">
        <v>3.151</v>
      </c>
    </row>
    <row r="2966" ht="15.75" customHeight="1">
      <c r="B2966" s="370">
        <f t="shared" si="2"/>
        <v>0.3429398148</v>
      </c>
      <c r="C2966" s="56">
        <f t="shared" si="3"/>
        <v>29630</v>
      </c>
      <c r="D2966" s="56">
        <v>2.419</v>
      </c>
    </row>
    <row r="2967" ht="15.75" customHeight="1">
      <c r="B2967" s="370">
        <f t="shared" si="2"/>
        <v>0.3430555556</v>
      </c>
      <c r="C2967" s="56">
        <f t="shared" si="3"/>
        <v>29640</v>
      </c>
      <c r="D2967" s="56">
        <v>2.583</v>
      </c>
    </row>
    <row r="2968" ht="15.75" customHeight="1">
      <c r="B2968" s="370">
        <f t="shared" si="2"/>
        <v>0.3431712963</v>
      </c>
      <c r="C2968" s="56">
        <f t="shared" si="3"/>
        <v>29650</v>
      </c>
      <c r="D2968" s="56">
        <v>2.706</v>
      </c>
    </row>
    <row r="2969" ht="15.75" customHeight="1">
      <c r="B2969" s="370">
        <f t="shared" si="2"/>
        <v>0.343287037</v>
      </c>
      <c r="C2969" s="56">
        <f t="shared" si="3"/>
        <v>29660</v>
      </c>
      <c r="D2969" s="56">
        <v>2.72</v>
      </c>
    </row>
    <row r="2970" ht="15.75" customHeight="1">
      <c r="B2970" s="370">
        <f t="shared" si="2"/>
        <v>0.3434027778</v>
      </c>
      <c r="C2970" s="56">
        <f t="shared" si="3"/>
        <v>29670</v>
      </c>
      <c r="D2970" s="56">
        <v>2.739</v>
      </c>
    </row>
    <row r="2971" ht="15.75" customHeight="1">
      <c r="B2971" s="370">
        <f t="shared" si="2"/>
        <v>0.3435185185</v>
      </c>
      <c r="C2971" s="56">
        <f t="shared" si="3"/>
        <v>29680</v>
      </c>
      <c r="D2971" s="56">
        <v>2.551</v>
      </c>
    </row>
    <row r="2972" ht="15.75" customHeight="1">
      <c r="B2972" s="370">
        <f t="shared" si="2"/>
        <v>0.3436342593</v>
      </c>
      <c r="C2972" s="56">
        <f t="shared" si="3"/>
        <v>29690</v>
      </c>
      <c r="D2972" s="56">
        <v>2.814</v>
      </c>
    </row>
    <row r="2973" ht="15.75" customHeight="1">
      <c r="B2973" s="370">
        <f t="shared" si="2"/>
        <v>0.34375</v>
      </c>
      <c r="C2973" s="56">
        <f t="shared" si="3"/>
        <v>29700</v>
      </c>
      <c r="D2973" s="56">
        <v>3.2</v>
      </c>
    </row>
    <row r="2974" ht="15.75" customHeight="1">
      <c r="B2974" s="370">
        <f t="shared" si="2"/>
        <v>0.3438657407</v>
      </c>
      <c r="C2974" s="56">
        <f t="shared" si="3"/>
        <v>29710</v>
      </c>
      <c r="D2974" s="56">
        <v>3.292</v>
      </c>
    </row>
    <row r="2975" ht="15.75" customHeight="1">
      <c r="B2975" s="370">
        <f t="shared" si="2"/>
        <v>0.3439814815</v>
      </c>
      <c r="C2975" s="56">
        <f t="shared" si="3"/>
        <v>29720</v>
      </c>
      <c r="D2975" s="56">
        <v>3.385</v>
      </c>
    </row>
    <row r="2976" ht="15.75" customHeight="1">
      <c r="B2976" s="370">
        <f t="shared" si="2"/>
        <v>0.3440972222</v>
      </c>
      <c r="C2976" s="56">
        <f t="shared" si="3"/>
        <v>29730</v>
      </c>
      <c r="D2976" s="56">
        <v>2.471</v>
      </c>
    </row>
    <row r="2977" ht="15.75" customHeight="1">
      <c r="B2977" s="370">
        <f t="shared" si="2"/>
        <v>0.344212963</v>
      </c>
      <c r="C2977" s="56">
        <f t="shared" si="3"/>
        <v>29740</v>
      </c>
      <c r="D2977" s="56">
        <v>0.0</v>
      </c>
    </row>
    <row r="2978" ht="15.75" customHeight="1">
      <c r="B2978" s="370">
        <f t="shared" si="2"/>
        <v>0.3443287037</v>
      </c>
      <c r="C2978" s="56">
        <f t="shared" si="3"/>
        <v>29750</v>
      </c>
      <c r="D2978" s="56">
        <v>0.0</v>
      </c>
    </row>
    <row r="2979" ht="15.75" customHeight="1">
      <c r="B2979" s="370">
        <f t="shared" si="2"/>
        <v>0.3444444444</v>
      </c>
      <c r="C2979" s="56">
        <f t="shared" si="3"/>
        <v>29760</v>
      </c>
      <c r="D2979" s="56">
        <v>0.0</v>
      </c>
    </row>
    <row r="2980" ht="15.75" customHeight="1">
      <c r="B2980" s="370">
        <f t="shared" si="2"/>
        <v>0.3445601852</v>
      </c>
      <c r="C2980" s="56">
        <f t="shared" si="3"/>
        <v>29770</v>
      </c>
      <c r="D2980" s="56">
        <v>0.0</v>
      </c>
    </row>
    <row r="2981" ht="15.75" customHeight="1">
      <c r="B2981" s="370">
        <f t="shared" si="2"/>
        <v>0.3446759259</v>
      </c>
      <c r="C2981" s="56">
        <f t="shared" si="3"/>
        <v>29780</v>
      </c>
      <c r="D2981" s="56">
        <v>0.0</v>
      </c>
    </row>
    <row r="2982" ht="15.75" customHeight="1">
      <c r="B2982" s="370">
        <f t="shared" si="2"/>
        <v>0.3447916667</v>
      </c>
      <c r="C2982" s="56">
        <f t="shared" si="3"/>
        <v>29790</v>
      </c>
      <c r="D2982" s="56">
        <v>0.0</v>
      </c>
    </row>
    <row r="2983" ht="15.75" customHeight="1">
      <c r="B2983" s="370">
        <f t="shared" si="2"/>
        <v>0.3449074074</v>
      </c>
      <c r="C2983" s="56">
        <f t="shared" si="3"/>
        <v>29800</v>
      </c>
      <c r="D2983" s="56">
        <v>0.0</v>
      </c>
    </row>
    <row r="2984" ht="15.75" customHeight="1">
      <c r="B2984" s="370">
        <f t="shared" si="2"/>
        <v>0.3450231481</v>
      </c>
      <c r="C2984" s="56">
        <f t="shared" si="3"/>
        <v>29810</v>
      </c>
      <c r="D2984" s="56">
        <v>0.0</v>
      </c>
    </row>
    <row r="2985" ht="15.75" customHeight="1">
      <c r="B2985" s="370">
        <f t="shared" si="2"/>
        <v>0.3451388889</v>
      </c>
      <c r="C2985" s="56">
        <f t="shared" si="3"/>
        <v>29820</v>
      </c>
      <c r="D2985" s="56">
        <v>0.0</v>
      </c>
    </row>
    <row r="2986" ht="15.75" customHeight="1">
      <c r="B2986" s="370">
        <f t="shared" si="2"/>
        <v>0.3452546296</v>
      </c>
      <c r="C2986" s="56">
        <f t="shared" si="3"/>
        <v>29830</v>
      </c>
      <c r="D2986" s="56">
        <v>0.0</v>
      </c>
    </row>
    <row r="2987" ht="15.75" customHeight="1">
      <c r="B2987" s="370">
        <f t="shared" si="2"/>
        <v>0.3453703704</v>
      </c>
      <c r="C2987" s="56">
        <f t="shared" si="3"/>
        <v>29840</v>
      </c>
      <c r="D2987" s="56">
        <v>0.0</v>
      </c>
    </row>
    <row r="2988" ht="15.75" customHeight="1">
      <c r="B2988" s="370">
        <f t="shared" si="2"/>
        <v>0.3454861111</v>
      </c>
      <c r="C2988" s="56">
        <f t="shared" si="3"/>
        <v>29850</v>
      </c>
      <c r="D2988" s="56">
        <v>0.0</v>
      </c>
    </row>
    <row r="2989" ht="15.75" customHeight="1">
      <c r="B2989" s="370">
        <f t="shared" si="2"/>
        <v>0.3456018519</v>
      </c>
      <c r="C2989" s="56">
        <f t="shared" si="3"/>
        <v>29860</v>
      </c>
      <c r="D2989" s="56">
        <v>0.0</v>
      </c>
    </row>
    <row r="2990" ht="15.75" customHeight="1">
      <c r="B2990" s="370">
        <f t="shared" si="2"/>
        <v>0.3457175926</v>
      </c>
      <c r="C2990" s="56">
        <f t="shared" si="3"/>
        <v>29870</v>
      </c>
      <c r="D2990" s="56">
        <v>0.0</v>
      </c>
    </row>
    <row r="2991" ht="15.75" customHeight="1">
      <c r="B2991" s="370">
        <f t="shared" si="2"/>
        <v>0.3458333333</v>
      </c>
      <c r="C2991" s="56">
        <f t="shared" si="3"/>
        <v>29880</v>
      </c>
      <c r="D2991" s="56">
        <v>0.0</v>
      </c>
    </row>
    <row r="2992" ht="15.75" customHeight="1">
      <c r="B2992" s="370">
        <f t="shared" si="2"/>
        <v>0.3459490741</v>
      </c>
      <c r="C2992" s="56">
        <f t="shared" si="3"/>
        <v>29890</v>
      </c>
      <c r="D2992" s="56">
        <v>0.0</v>
      </c>
    </row>
    <row r="2993" ht="15.75" customHeight="1">
      <c r="B2993" s="370">
        <f t="shared" si="2"/>
        <v>0.3460648148</v>
      </c>
      <c r="C2993" s="56">
        <f t="shared" si="3"/>
        <v>29900</v>
      </c>
      <c r="D2993" s="56">
        <v>0.0</v>
      </c>
    </row>
    <row r="2994" ht="15.75" customHeight="1">
      <c r="B2994" s="370">
        <f t="shared" si="2"/>
        <v>0.3461805556</v>
      </c>
      <c r="C2994" s="56">
        <f t="shared" si="3"/>
        <v>29910</v>
      </c>
      <c r="D2994" s="56">
        <v>0.0</v>
      </c>
    </row>
    <row r="2995" ht="15.75" customHeight="1">
      <c r="B2995" s="370">
        <f t="shared" si="2"/>
        <v>0.3462962963</v>
      </c>
      <c r="C2995" s="56">
        <f t="shared" si="3"/>
        <v>29920</v>
      </c>
      <c r="D2995" s="56">
        <v>0.0</v>
      </c>
    </row>
    <row r="2996" ht="15.75" customHeight="1">
      <c r="B2996" s="370">
        <f t="shared" si="2"/>
        <v>0.346412037</v>
      </c>
      <c r="C2996" s="56">
        <f t="shared" si="3"/>
        <v>29930</v>
      </c>
      <c r="D2996" s="56">
        <v>0.0</v>
      </c>
    </row>
    <row r="2997" ht="15.75" customHeight="1">
      <c r="B2997" s="370">
        <f t="shared" si="2"/>
        <v>0.3465277778</v>
      </c>
      <c r="C2997" s="56">
        <f t="shared" si="3"/>
        <v>29940</v>
      </c>
      <c r="D2997" s="56">
        <v>0.0</v>
      </c>
    </row>
    <row r="2998" ht="15.75" customHeight="1">
      <c r="B2998" s="370">
        <f t="shared" si="2"/>
        <v>0.3466435185</v>
      </c>
      <c r="C2998" s="56">
        <f t="shared" si="3"/>
        <v>29950</v>
      </c>
      <c r="D2998" s="56">
        <v>0.0</v>
      </c>
    </row>
    <row r="2999" ht="15.75" customHeight="1">
      <c r="B2999" s="370">
        <f t="shared" si="2"/>
        <v>0.3467592593</v>
      </c>
      <c r="C2999" s="56">
        <f t="shared" si="3"/>
        <v>29960</v>
      </c>
      <c r="D2999" s="56">
        <v>0.0</v>
      </c>
    </row>
    <row r="3000" ht="15.75" customHeight="1">
      <c r="B3000" s="370">
        <f t="shared" si="2"/>
        <v>0.346875</v>
      </c>
      <c r="C3000" s="56">
        <f t="shared" si="3"/>
        <v>29970</v>
      </c>
      <c r="D3000" s="56">
        <v>0.0</v>
      </c>
    </row>
    <row r="3001" ht="15.75" customHeight="1">
      <c r="B3001" s="370">
        <f t="shared" si="2"/>
        <v>0.3469907407</v>
      </c>
      <c r="C3001" s="56">
        <f t="shared" si="3"/>
        <v>29980</v>
      </c>
      <c r="D3001" s="56">
        <v>0.0</v>
      </c>
    </row>
    <row r="3002" ht="15.75" customHeight="1">
      <c r="B3002" s="370">
        <f t="shared" si="2"/>
        <v>0.3471064815</v>
      </c>
      <c r="C3002" s="56">
        <f t="shared" si="3"/>
        <v>29990</v>
      </c>
      <c r="D3002" s="56">
        <v>0.0</v>
      </c>
    </row>
    <row r="3003" ht="15.75" customHeight="1">
      <c r="B3003" s="370">
        <f t="shared" si="2"/>
        <v>0.3472222222</v>
      </c>
      <c r="C3003" s="56">
        <f t="shared" si="3"/>
        <v>30000</v>
      </c>
      <c r="D3003" s="56">
        <v>0.0</v>
      </c>
    </row>
    <row r="3004" ht="15.75" customHeight="1">
      <c r="B3004" s="370">
        <f t="shared" si="2"/>
        <v>0.347337963</v>
      </c>
      <c r="C3004" s="56">
        <f t="shared" si="3"/>
        <v>30010</v>
      </c>
      <c r="D3004" s="56">
        <v>0.0</v>
      </c>
    </row>
    <row r="3005" ht="15.75" customHeight="1">
      <c r="B3005" s="370">
        <f t="shared" si="2"/>
        <v>0.3474537037</v>
      </c>
      <c r="C3005" s="56">
        <f t="shared" si="3"/>
        <v>30020</v>
      </c>
      <c r="D3005" s="56">
        <v>0.0</v>
      </c>
    </row>
    <row r="3006" ht="15.75" customHeight="1">
      <c r="B3006" s="370">
        <f t="shared" si="2"/>
        <v>0.3475694444</v>
      </c>
      <c r="C3006" s="56">
        <f t="shared" si="3"/>
        <v>30030</v>
      </c>
      <c r="D3006" s="56">
        <v>0.0</v>
      </c>
    </row>
    <row r="3007" ht="15.75" customHeight="1">
      <c r="B3007" s="370">
        <f t="shared" si="2"/>
        <v>0.3476851852</v>
      </c>
      <c r="C3007" s="56">
        <f t="shared" si="3"/>
        <v>30040</v>
      </c>
      <c r="D3007" s="56">
        <v>0.0</v>
      </c>
    </row>
    <row r="3008" ht="15.75" customHeight="1">
      <c r="B3008" s="370">
        <f t="shared" si="2"/>
        <v>0.3478009259</v>
      </c>
      <c r="C3008" s="56">
        <f t="shared" si="3"/>
        <v>30050</v>
      </c>
      <c r="D3008" s="56">
        <v>0.0</v>
      </c>
    </row>
    <row r="3009" ht="15.75" customHeight="1">
      <c r="B3009" s="370">
        <f t="shared" si="2"/>
        <v>0.3479166667</v>
      </c>
      <c r="C3009" s="56">
        <f t="shared" si="3"/>
        <v>30060</v>
      </c>
      <c r="D3009" s="56">
        <v>0.0</v>
      </c>
    </row>
    <row r="3010" ht="15.75" customHeight="1">
      <c r="B3010" s="370">
        <f t="shared" si="2"/>
        <v>0.3480324074</v>
      </c>
      <c r="C3010" s="56">
        <f t="shared" si="3"/>
        <v>30070</v>
      </c>
      <c r="D3010" s="56">
        <v>0.0</v>
      </c>
    </row>
    <row r="3011" ht="15.75" customHeight="1">
      <c r="B3011" s="370">
        <f t="shared" si="2"/>
        <v>0.3481481481</v>
      </c>
      <c r="C3011" s="56">
        <f t="shared" si="3"/>
        <v>30080</v>
      </c>
      <c r="D3011" s="56">
        <v>0.0</v>
      </c>
    </row>
    <row r="3012" ht="15.75" customHeight="1">
      <c r="B3012" s="370">
        <f t="shared" si="2"/>
        <v>0.3482638889</v>
      </c>
      <c r="C3012" s="56">
        <f t="shared" si="3"/>
        <v>30090</v>
      </c>
      <c r="D3012" s="56">
        <v>0.0</v>
      </c>
    </row>
    <row r="3013" ht="15.75" customHeight="1">
      <c r="B3013" s="370">
        <f t="shared" si="2"/>
        <v>0.3483796296</v>
      </c>
      <c r="C3013" s="56">
        <f t="shared" si="3"/>
        <v>30100</v>
      </c>
      <c r="D3013" s="56">
        <v>0.0</v>
      </c>
    </row>
    <row r="3014" ht="15.75" customHeight="1">
      <c r="B3014" s="370">
        <f t="shared" si="2"/>
        <v>0.3484953704</v>
      </c>
      <c r="C3014" s="56">
        <f t="shared" si="3"/>
        <v>30110</v>
      </c>
      <c r="D3014" s="56">
        <v>0.0</v>
      </c>
    </row>
    <row r="3015" ht="15.75" customHeight="1">
      <c r="B3015" s="370">
        <f t="shared" si="2"/>
        <v>0.3486111111</v>
      </c>
      <c r="C3015" s="56">
        <f t="shared" si="3"/>
        <v>30120</v>
      </c>
      <c r="D3015" s="56">
        <v>0.0</v>
      </c>
    </row>
    <row r="3016" ht="15.75" customHeight="1">
      <c r="B3016" s="370">
        <f t="shared" si="2"/>
        <v>0.3487268519</v>
      </c>
      <c r="C3016" s="56">
        <f t="shared" si="3"/>
        <v>30130</v>
      </c>
      <c r="D3016" s="56">
        <v>0.0</v>
      </c>
    </row>
    <row r="3017" ht="15.75" customHeight="1">
      <c r="B3017" s="370">
        <f t="shared" si="2"/>
        <v>0.3488425926</v>
      </c>
      <c r="C3017" s="56">
        <f t="shared" si="3"/>
        <v>30140</v>
      </c>
      <c r="D3017" s="56">
        <v>0.0</v>
      </c>
    </row>
    <row r="3018" ht="15.75" customHeight="1">
      <c r="B3018" s="370">
        <f t="shared" si="2"/>
        <v>0.3489583333</v>
      </c>
      <c r="C3018" s="56">
        <f t="shared" si="3"/>
        <v>30150</v>
      </c>
      <c r="D3018" s="56">
        <v>0.0</v>
      </c>
    </row>
    <row r="3019" ht="15.75" customHeight="1">
      <c r="B3019" s="370">
        <f t="shared" si="2"/>
        <v>0.3490740741</v>
      </c>
      <c r="C3019" s="56">
        <f t="shared" si="3"/>
        <v>30160</v>
      </c>
      <c r="D3019" s="56">
        <v>0.0</v>
      </c>
    </row>
    <row r="3020" ht="15.75" customHeight="1">
      <c r="B3020" s="370">
        <f t="shared" si="2"/>
        <v>0.3491898148</v>
      </c>
      <c r="C3020" s="56">
        <f t="shared" si="3"/>
        <v>30170</v>
      </c>
      <c r="D3020" s="56">
        <v>0.0</v>
      </c>
    </row>
    <row r="3021" ht="15.75" customHeight="1">
      <c r="B3021" s="370">
        <f t="shared" si="2"/>
        <v>0.3493055556</v>
      </c>
      <c r="C3021" s="56">
        <f t="shared" si="3"/>
        <v>30180</v>
      </c>
      <c r="D3021" s="56">
        <v>0.0</v>
      </c>
    </row>
    <row r="3022" ht="15.75" customHeight="1">
      <c r="B3022" s="370">
        <f t="shared" si="2"/>
        <v>0.3494212963</v>
      </c>
      <c r="C3022" s="56">
        <f t="shared" si="3"/>
        <v>30190</v>
      </c>
      <c r="D3022" s="56">
        <v>0.0</v>
      </c>
    </row>
    <row r="3023" ht="15.75" customHeight="1">
      <c r="B3023" s="370">
        <f t="shared" si="2"/>
        <v>0.349537037</v>
      </c>
      <c r="C3023" s="56">
        <f t="shared" si="3"/>
        <v>30200</v>
      </c>
      <c r="D3023" s="56">
        <v>0.0</v>
      </c>
    </row>
    <row r="3024" ht="15.75" customHeight="1">
      <c r="B3024" s="370">
        <f t="shared" si="2"/>
        <v>0.3496527778</v>
      </c>
      <c r="C3024" s="56">
        <f t="shared" si="3"/>
        <v>30210</v>
      </c>
      <c r="D3024" s="56">
        <v>0.0</v>
      </c>
    </row>
    <row r="3025" ht="15.75" customHeight="1">
      <c r="B3025" s="370">
        <f t="shared" si="2"/>
        <v>0.3497685185</v>
      </c>
      <c r="C3025" s="56">
        <f t="shared" si="3"/>
        <v>30220</v>
      </c>
      <c r="D3025" s="56">
        <v>0.0</v>
      </c>
    </row>
    <row r="3026" ht="15.75" customHeight="1">
      <c r="B3026" s="370">
        <f t="shared" si="2"/>
        <v>0.3498842593</v>
      </c>
      <c r="C3026" s="56">
        <f t="shared" si="3"/>
        <v>30230</v>
      </c>
      <c r="D3026" s="56">
        <v>0.0</v>
      </c>
    </row>
    <row r="3027" ht="15.75" customHeight="1">
      <c r="B3027" s="370">
        <f t="shared" si="2"/>
        <v>0.35</v>
      </c>
      <c r="C3027" s="56">
        <f t="shared" si="3"/>
        <v>30240</v>
      </c>
      <c r="D3027" s="56">
        <v>0.0</v>
      </c>
    </row>
    <row r="3028" ht="15.75" customHeight="1">
      <c r="B3028" s="370">
        <f t="shared" si="2"/>
        <v>0.3501157407</v>
      </c>
      <c r="C3028" s="56">
        <f t="shared" si="3"/>
        <v>30250</v>
      </c>
      <c r="D3028" s="56">
        <v>0.0</v>
      </c>
    </row>
    <row r="3029" ht="15.75" customHeight="1">
      <c r="B3029" s="370">
        <f t="shared" si="2"/>
        <v>0.3502314815</v>
      </c>
      <c r="C3029" s="56">
        <f t="shared" si="3"/>
        <v>30260</v>
      </c>
      <c r="D3029" s="56">
        <v>0.0</v>
      </c>
    </row>
    <row r="3030" ht="15.75" customHeight="1">
      <c r="B3030" s="370">
        <f t="shared" si="2"/>
        <v>0.3503472222</v>
      </c>
      <c r="C3030" s="56">
        <f t="shared" si="3"/>
        <v>30270</v>
      </c>
      <c r="D3030" s="56">
        <v>0.0</v>
      </c>
    </row>
    <row r="3031" ht="15.75" customHeight="1">
      <c r="B3031" s="370">
        <f t="shared" si="2"/>
        <v>0.350462963</v>
      </c>
      <c r="C3031" s="56">
        <f t="shared" si="3"/>
        <v>30280</v>
      </c>
      <c r="D3031" s="56">
        <v>0.0</v>
      </c>
    </row>
    <row r="3032" ht="15.75" customHeight="1">
      <c r="B3032" s="370">
        <f t="shared" si="2"/>
        <v>0.3505787037</v>
      </c>
      <c r="C3032" s="56">
        <f t="shared" si="3"/>
        <v>30290</v>
      </c>
      <c r="D3032" s="56">
        <v>0.0</v>
      </c>
    </row>
    <row r="3033" ht="15.75" customHeight="1">
      <c r="B3033" s="370">
        <f t="shared" si="2"/>
        <v>0.3506944444</v>
      </c>
      <c r="C3033" s="56">
        <f t="shared" si="3"/>
        <v>30300</v>
      </c>
      <c r="D3033" s="56">
        <v>0.0</v>
      </c>
    </row>
    <row r="3034" ht="15.75" customHeight="1">
      <c r="B3034" s="370">
        <f t="shared" si="2"/>
        <v>0.3508101852</v>
      </c>
      <c r="C3034" s="56">
        <f t="shared" si="3"/>
        <v>30310</v>
      </c>
      <c r="D3034" s="56">
        <v>0.0</v>
      </c>
    </row>
    <row r="3035" ht="15.75" customHeight="1">
      <c r="B3035" s="370">
        <f t="shared" si="2"/>
        <v>0.3509259259</v>
      </c>
      <c r="C3035" s="56">
        <f t="shared" si="3"/>
        <v>30320</v>
      </c>
      <c r="D3035" s="56">
        <v>0.0</v>
      </c>
    </row>
    <row r="3036" ht="15.75" customHeight="1">
      <c r="B3036" s="370">
        <f t="shared" si="2"/>
        <v>0.3510416667</v>
      </c>
      <c r="C3036" s="56">
        <f t="shared" si="3"/>
        <v>30330</v>
      </c>
      <c r="D3036" s="56">
        <v>0.0</v>
      </c>
    </row>
    <row r="3037" ht="15.75" customHeight="1">
      <c r="B3037" s="370">
        <f t="shared" si="2"/>
        <v>0.3511574074</v>
      </c>
      <c r="C3037" s="56">
        <f t="shared" si="3"/>
        <v>30340</v>
      </c>
      <c r="D3037" s="56">
        <v>0.0</v>
      </c>
    </row>
    <row r="3038" ht="15.75" customHeight="1">
      <c r="B3038" s="370">
        <f t="shared" si="2"/>
        <v>0.3512731481</v>
      </c>
      <c r="C3038" s="56">
        <f t="shared" si="3"/>
        <v>30350</v>
      </c>
      <c r="D3038" s="56">
        <v>0.0</v>
      </c>
    </row>
    <row r="3039" ht="15.75" customHeight="1">
      <c r="B3039" s="370">
        <f t="shared" si="2"/>
        <v>0.3513888889</v>
      </c>
      <c r="C3039" s="56">
        <f t="shared" si="3"/>
        <v>30360</v>
      </c>
      <c r="D3039" s="56">
        <v>0.0</v>
      </c>
    </row>
    <row r="3040" ht="15.75" customHeight="1">
      <c r="B3040" s="370">
        <f t="shared" si="2"/>
        <v>0.3515046296</v>
      </c>
      <c r="C3040" s="56">
        <f t="shared" si="3"/>
        <v>30370</v>
      </c>
      <c r="D3040" s="56">
        <v>0.0</v>
      </c>
    </row>
    <row r="3041" ht="15.75" customHeight="1">
      <c r="B3041" s="370">
        <f t="shared" si="2"/>
        <v>0.3516203704</v>
      </c>
      <c r="C3041" s="56">
        <f t="shared" si="3"/>
        <v>30380</v>
      </c>
      <c r="D3041" s="56">
        <v>0.0</v>
      </c>
    </row>
    <row r="3042" ht="15.75" customHeight="1">
      <c r="B3042" s="370">
        <f t="shared" si="2"/>
        <v>0.3517361111</v>
      </c>
      <c r="C3042" s="56">
        <f t="shared" si="3"/>
        <v>30390</v>
      </c>
      <c r="D3042" s="56">
        <v>0.0</v>
      </c>
    </row>
    <row r="3043" ht="15.75" customHeight="1">
      <c r="B3043" s="370">
        <f t="shared" si="2"/>
        <v>0.3518518519</v>
      </c>
      <c r="C3043" s="56">
        <f t="shared" si="3"/>
        <v>30400</v>
      </c>
      <c r="D3043" s="56">
        <v>0.0</v>
      </c>
    </row>
    <row r="3044" ht="15.75" customHeight="1">
      <c r="B3044" s="370">
        <f t="shared" si="2"/>
        <v>0.3519675926</v>
      </c>
      <c r="C3044" s="56">
        <f t="shared" si="3"/>
        <v>30410</v>
      </c>
      <c r="D3044" s="56">
        <v>0.0</v>
      </c>
    </row>
    <row r="3045" ht="15.75" customHeight="1">
      <c r="B3045" s="370">
        <f t="shared" si="2"/>
        <v>0.3520833333</v>
      </c>
      <c r="C3045" s="56">
        <f t="shared" si="3"/>
        <v>30420</v>
      </c>
      <c r="D3045" s="56">
        <v>0.0</v>
      </c>
    </row>
    <row r="3046" ht="15.75" customHeight="1">
      <c r="B3046" s="370">
        <f t="shared" si="2"/>
        <v>0.3521990741</v>
      </c>
      <c r="C3046" s="56">
        <f t="shared" si="3"/>
        <v>30430</v>
      </c>
      <c r="D3046" s="56">
        <v>0.0</v>
      </c>
    </row>
    <row r="3047" ht="15.75" customHeight="1">
      <c r="B3047" s="370">
        <f t="shared" si="2"/>
        <v>0.3523148148</v>
      </c>
      <c r="C3047" s="56">
        <f t="shared" si="3"/>
        <v>30440</v>
      </c>
      <c r="D3047" s="56">
        <v>0.0</v>
      </c>
    </row>
    <row r="3048" ht="15.75" customHeight="1">
      <c r="B3048" s="370">
        <f t="shared" si="2"/>
        <v>0.3524305556</v>
      </c>
      <c r="C3048" s="56">
        <f t="shared" si="3"/>
        <v>30450</v>
      </c>
      <c r="D3048" s="56">
        <v>0.0</v>
      </c>
    </row>
    <row r="3049" ht="15.75" customHeight="1">
      <c r="B3049" s="370">
        <f t="shared" si="2"/>
        <v>0.3525462963</v>
      </c>
      <c r="C3049" s="56">
        <f t="shared" si="3"/>
        <v>30460</v>
      </c>
      <c r="D3049" s="56">
        <v>0.0</v>
      </c>
    </row>
    <row r="3050" ht="15.75" customHeight="1">
      <c r="B3050" s="370">
        <f t="shared" si="2"/>
        <v>0.352662037</v>
      </c>
      <c r="C3050" s="56">
        <f t="shared" si="3"/>
        <v>30470</v>
      </c>
      <c r="D3050" s="56">
        <v>0.0</v>
      </c>
    </row>
    <row r="3051" ht="15.75" customHeight="1">
      <c r="B3051" s="370">
        <f t="shared" si="2"/>
        <v>0.3527777778</v>
      </c>
      <c r="C3051" s="56">
        <f t="shared" si="3"/>
        <v>30480</v>
      </c>
      <c r="D3051" s="56">
        <v>0.0</v>
      </c>
    </row>
    <row r="3052" ht="15.75" customHeight="1">
      <c r="B3052" s="370">
        <f t="shared" si="2"/>
        <v>0.3528935185</v>
      </c>
      <c r="C3052" s="56">
        <f t="shared" si="3"/>
        <v>30490</v>
      </c>
      <c r="D3052" s="56">
        <v>0.0</v>
      </c>
    </row>
    <row r="3053" ht="15.75" customHeight="1">
      <c r="B3053" s="370">
        <f t="shared" si="2"/>
        <v>0.3530092593</v>
      </c>
      <c r="C3053" s="56">
        <f t="shared" si="3"/>
        <v>30500</v>
      </c>
      <c r="D3053" s="56">
        <v>0.0</v>
      </c>
    </row>
    <row r="3054" ht="15.75" customHeight="1">
      <c r="B3054" s="370">
        <f t="shared" si="2"/>
        <v>0.353125</v>
      </c>
      <c r="C3054" s="56">
        <f t="shared" si="3"/>
        <v>30510</v>
      </c>
      <c r="D3054" s="56">
        <v>0.0</v>
      </c>
    </row>
    <row r="3055" ht="15.75" customHeight="1">
      <c r="B3055" s="370">
        <f t="shared" si="2"/>
        <v>0.3532407407</v>
      </c>
      <c r="C3055" s="56">
        <f t="shared" si="3"/>
        <v>30520</v>
      </c>
      <c r="D3055" s="56">
        <v>0.0</v>
      </c>
    </row>
    <row r="3056" ht="15.75" customHeight="1">
      <c r="B3056" s="370">
        <f t="shared" si="2"/>
        <v>0.3533564815</v>
      </c>
      <c r="C3056" s="56">
        <f t="shared" si="3"/>
        <v>30530</v>
      </c>
      <c r="D3056" s="56">
        <v>0.0</v>
      </c>
    </row>
    <row r="3057" ht="15.75" customHeight="1">
      <c r="B3057" s="370">
        <f t="shared" si="2"/>
        <v>0.3534722222</v>
      </c>
      <c r="C3057" s="56">
        <f t="shared" si="3"/>
        <v>30540</v>
      </c>
      <c r="D3057" s="56">
        <v>0.0</v>
      </c>
    </row>
    <row r="3058" ht="15.75" customHeight="1">
      <c r="B3058" s="370">
        <f t="shared" si="2"/>
        <v>0.353587963</v>
      </c>
      <c r="C3058" s="56">
        <f t="shared" si="3"/>
        <v>30550</v>
      </c>
      <c r="D3058" s="56">
        <v>0.0</v>
      </c>
    </row>
    <row r="3059" ht="15.75" customHeight="1">
      <c r="B3059" s="370">
        <f t="shared" si="2"/>
        <v>0.3537037037</v>
      </c>
      <c r="C3059" s="56">
        <f t="shared" si="3"/>
        <v>30560</v>
      </c>
      <c r="D3059" s="56">
        <v>0.0</v>
      </c>
    </row>
    <row r="3060" ht="15.75" customHeight="1">
      <c r="B3060" s="370">
        <f t="shared" si="2"/>
        <v>0.3538194444</v>
      </c>
      <c r="C3060" s="56">
        <f t="shared" si="3"/>
        <v>30570</v>
      </c>
      <c r="D3060" s="56">
        <v>0.0</v>
      </c>
    </row>
    <row r="3061" ht="15.75" customHeight="1">
      <c r="B3061" s="370">
        <f t="shared" si="2"/>
        <v>0.3539351852</v>
      </c>
      <c r="C3061" s="56">
        <f t="shared" si="3"/>
        <v>30580</v>
      </c>
      <c r="D3061" s="56">
        <v>0.0</v>
      </c>
    </row>
    <row r="3062" ht="15.75" customHeight="1">
      <c r="B3062" s="370">
        <f t="shared" si="2"/>
        <v>0.3540509259</v>
      </c>
      <c r="C3062" s="56">
        <f t="shared" si="3"/>
        <v>30590</v>
      </c>
      <c r="D3062" s="56">
        <v>0.0</v>
      </c>
    </row>
    <row r="3063" ht="15.75" customHeight="1">
      <c r="B3063" s="370">
        <f t="shared" si="2"/>
        <v>0.3541666667</v>
      </c>
      <c r="C3063" s="56">
        <f t="shared" si="3"/>
        <v>30600</v>
      </c>
      <c r="D3063" s="56">
        <v>0.0</v>
      </c>
    </row>
    <row r="3064" ht="15.75" customHeight="1">
      <c r="B3064" s="370">
        <f t="shared" si="2"/>
        <v>0.3542824074</v>
      </c>
      <c r="C3064" s="56">
        <f t="shared" si="3"/>
        <v>30610</v>
      </c>
      <c r="D3064" s="56">
        <v>0.0</v>
      </c>
    </row>
    <row r="3065" ht="15.75" customHeight="1">
      <c r="B3065" s="370">
        <f t="shared" si="2"/>
        <v>0.3543981481</v>
      </c>
      <c r="C3065" s="56">
        <f t="shared" si="3"/>
        <v>30620</v>
      </c>
      <c r="D3065" s="56">
        <v>0.0</v>
      </c>
    </row>
    <row r="3066" ht="15.75" customHeight="1">
      <c r="B3066" s="370">
        <f t="shared" si="2"/>
        <v>0.3545138889</v>
      </c>
      <c r="C3066" s="56">
        <f t="shared" si="3"/>
        <v>30630</v>
      </c>
      <c r="D3066" s="56">
        <v>0.0</v>
      </c>
    </row>
    <row r="3067" ht="15.75" customHeight="1">
      <c r="B3067" s="370">
        <f t="shared" si="2"/>
        <v>0.3546296296</v>
      </c>
      <c r="C3067" s="56">
        <f t="shared" si="3"/>
        <v>30640</v>
      </c>
      <c r="D3067" s="56">
        <v>0.0</v>
      </c>
    </row>
    <row r="3068" ht="15.75" customHeight="1">
      <c r="B3068" s="370">
        <f t="shared" si="2"/>
        <v>0.3547453704</v>
      </c>
      <c r="C3068" s="56">
        <f t="shared" si="3"/>
        <v>30650</v>
      </c>
      <c r="D3068" s="56">
        <v>0.0</v>
      </c>
    </row>
    <row r="3069" ht="15.75" customHeight="1">
      <c r="B3069" s="370">
        <f t="shared" si="2"/>
        <v>0.3548611111</v>
      </c>
      <c r="C3069" s="56">
        <f t="shared" si="3"/>
        <v>30660</v>
      </c>
      <c r="D3069" s="56">
        <v>0.0</v>
      </c>
    </row>
    <row r="3070" ht="15.75" customHeight="1">
      <c r="B3070" s="370">
        <f t="shared" si="2"/>
        <v>0.3549768519</v>
      </c>
      <c r="C3070" s="56">
        <f t="shared" si="3"/>
        <v>30670</v>
      </c>
      <c r="D3070" s="56">
        <v>0.0</v>
      </c>
    </row>
    <row r="3071" ht="15.75" customHeight="1">
      <c r="B3071" s="370">
        <f t="shared" si="2"/>
        <v>0.3550925926</v>
      </c>
      <c r="C3071" s="56">
        <f t="shared" si="3"/>
        <v>30680</v>
      </c>
      <c r="D3071" s="56">
        <v>0.0</v>
      </c>
    </row>
    <row r="3072" ht="15.75" customHeight="1">
      <c r="B3072" s="370">
        <f t="shared" si="2"/>
        <v>0.3552083333</v>
      </c>
      <c r="C3072" s="56">
        <f t="shared" si="3"/>
        <v>30690</v>
      </c>
      <c r="D3072" s="56">
        <v>0.0</v>
      </c>
    </row>
    <row r="3073" ht="15.75" customHeight="1">
      <c r="B3073" s="370">
        <f t="shared" si="2"/>
        <v>0.3553240741</v>
      </c>
      <c r="C3073" s="56">
        <f t="shared" si="3"/>
        <v>30700</v>
      </c>
      <c r="D3073" s="56">
        <v>0.0</v>
      </c>
    </row>
    <row r="3074" ht="15.75" customHeight="1">
      <c r="B3074" s="370">
        <f t="shared" si="2"/>
        <v>0.3554398148</v>
      </c>
      <c r="C3074" s="56">
        <f t="shared" si="3"/>
        <v>30710</v>
      </c>
      <c r="D3074" s="56">
        <v>0.0</v>
      </c>
    </row>
    <row r="3075" ht="15.75" customHeight="1">
      <c r="B3075" s="370">
        <f t="shared" si="2"/>
        <v>0.3555555556</v>
      </c>
      <c r="C3075" s="56">
        <f t="shared" si="3"/>
        <v>30720</v>
      </c>
      <c r="D3075" s="56">
        <v>0.0</v>
      </c>
    </row>
    <row r="3076" ht="15.75" customHeight="1">
      <c r="B3076" s="370">
        <f t="shared" si="2"/>
        <v>0.3556712963</v>
      </c>
      <c r="C3076" s="56">
        <f t="shared" si="3"/>
        <v>30730</v>
      </c>
      <c r="D3076" s="56">
        <v>0.0</v>
      </c>
    </row>
    <row r="3077" ht="15.75" customHeight="1">
      <c r="B3077" s="370">
        <f t="shared" si="2"/>
        <v>0.355787037</v>
      </c>
      <c r="C3077" s="56">
        <f t="shared" si="3"/>
        <v>30740</v>
      </c>
      <c r="D3077" s="56">
        <v>0.0</v>
      </c>
    </row>
    <row r="3078" ht="15.75" customHeight="1">
      <c r="B3078" s="370">
        <f t="shared" si="2"/>
        <v>0.3559027778</v>
      </c>
      <c r="C3078" s="56">
        <f t="shared" si="3"/>
        <v>30750</v>
      </c>
      <c r="D3078" s="56">
        <v>0.0</v>
      </c>
    </row>
    <row r="3079" ht="15.75" customHeight="1">
      <c r="B3079" s="370">
        <f t="shared" si="2"/>
        <v>0.3560185185</v>
      </c>
      <c r="C3079" s="56">
        <f t="shared" si="3"/>
        <v>30760</v>
      </c>
      <c r="D3079" s="56">
        <v>0.0</v>
      </c>
    </row>
    <row r="3080" ht="15.75" customHeight="1">
      <c r="B3080" s="370">
        <f t="shared" si="2"/>
        <v>0.3561342593</v>
      </c>
      <c r="C3080" s="56">
        <f t="shared" si="3"/>
        <v>30770</v>
      </c>
      <c r="D3080" s="56">
        <v>0.0</v>
      </c>
    </row>
    <row r="3081" ht="15.75" customHeight="1">
      <c r="B3081" s="370">
        <f t="shared" si="2"/>
        <v>0.35625</v>
      </c>
      <c r="C3081" s="56">
        <f t="shared" si="3"/>
        <v>30780</v>
      </c>
      <c r="D3081" s="56">
        <v>0.0</v>
      </c>
    </row>
    <row r="3082" ht="15.75" customHeight="1">
      <c r="B3082" s="370">
        <f t="shared" si="2"/>
        <v>0.3563657407</v>
      </c>
      <c r="C3082" s="56">
        <f t="shared" si="3"/>
        <v>30790</v>
      </c>
      <c r="D3082" s="56">
        <v>0.0</v>
      </c>
    </row>
    <row r="3083" ht="15.75" customHeight="1">
      <c r="B3083" s="370">
        <f t="shared" si="2"/>
        <v>0.3564814815</v>
      </c>
      <c r="C3083" s="56">
        <f t="shared" si="3"/>
        <v>30800</v>
      </c>
      <c r="D3083" s="56">
        <v>0.0</v>
      </c>
    </row>
    <row r="3084" ht="15.75" customHeight="1">
      <c r="B3084" s="370">
        <f t="shared" si="2"/>
        <v>0.3565972222</v>
      </c>
      <c r="C3084" s="56">
        <f t="shared" si="3"/>
        <v>30810</v>
      </c>
      <c r="D3084" s="56">
        <v>0.0</v>
      </c>
    </row>
    <row r="3085" ht="15.75" customHeight="1">
      <c r="B3085" s="370">
        <f t="shared" si="2"/>
        <v>0.356712963</v>
      </c>
      <c r="C3085" s="56">
        <f t="shared" si="3"/>
        <v>30820</v>
      </c>
      <c r="D3085" s="56">
        <v>0.0</v>
      </c>
    </row>
    <row r="3086" ht="15.75" customHeight="1">
      <c r="B3086" s="370">
        <f t="shared" si="2"/>
        <v>0.3568287037</v>
      </c>
      <c r="C3086" s="56">
        <f t="shared" si="3"/>
        <v>30830</v>
      </c>
      <c r="D3086" s="56">
        <v>0.0</v>
      </c>
    </row>
    <row r="3087" ht="15.75" customHeight="1">
      <c r="B3087" s="370">
        <f t="shared" si="2"/>
        <v>0.3569444444</v>
      </c>
      <c r="C3087" s="56">
        <f t="shared" si="3"/>
        <v>30840</v>
      </c>
      <c r="D3087" s="56">
        <v>0.0</v>
      </c>
    </row>
    <row r="3088" ht="15.75" customHeight="1">
      <c r="B3088" s="370">
        <f t="shared" si="2"/>
        <v>0.3570601852</v>
      </c>
      <c r="C3088" s="56">
        <f t="shared" si="3"/>
        <v>30850</v>
      </c>
      <c r="D3088" s="56">
        <v>0.0</v>
      </c>
    </row>
    <row r="3089" ht="15.75" customHeight="1">
      <c r="B3089" s="370">
        <f t="shared" si="2"/>
        <v>0.3571759259</v>
      </c>
      <c r="C3089" s="56">
        <f t="shared" si="3"/>
        <v>30860</v>
      </c>
      <c r="D3089" s="56">
        <v>0.0</v>
      </c>
    </row>
    <row r="3090" ht="15.75" customHeight="1">
      <c r="B3090" s="370">
        <f t="shared" si="2"/>
        <v>0.3572916667</v>
      </c>
      <c r="C3090" s="56">
        <f t="shared" si="3"/>
        <v>30870</v>
      </c>
      <c r="D3090" s="56">
        <v>0.0</v>
      </c>
    </row>
    <row r="3091" ht="15.75" customHeight="1">
      <c r="B3091" s="370">
        <f t="shared" si="2"/>
        <v>0.3574074074</v>
      </c>
      <c r="C3091" s="56">
        <f t="shared" si="3"/>
        <v>30880</v>
      </c>
      <c r="D3091" s="56">
        <v>0.0</v>
      </c>
    </row>
    <row r="3092" ht="15.75" customHeight="1">
      <c r="B3092" s="370">
        <f t="shared" si="2"/>
        <v>0.3575231481</v>
      </c>
      <c r="C3092" s="56">
        <f t="shared" si="3"/>
        <v>30890</v>
      </c>
      <c r="D3092" s="56">
        <v>0.0</v>
      </c>
    </row>
    <row r="3093" ht="15.75" customHeight="1">
      <c r="B3093" s="370">
        <f t="shared" si="2"/>
        <v>0.3576388889</v>
      </c>
      <c r="C3093" s="56">
        <f t="shared" si="3"/>
        <v>30900</v>
      </c>
      <c r="D3093" s="56">
        <v>0.0</v>
      </c>
    </row>
    <row r="3094" ht="15.75" customHeight="1">
      <c r="B3094" s="370">
        <f t="shared" si="2"/>
        <v>0.3577546296</v>
      </c>
      <c r="C3094" s="56">
        <f t="shared" si="3"/>
        <v>30910</v>
      </c>
      <c r="D3094" s="56">
        <v>0.0</v>
      </c>
    </row>
    <row r="3095" ht="15.75" customHeight="1">
      <c r="B3095" s="370">
        <f t="shared" si="2"/>
        <v>0.3578703704</v>
      </c>
      <c r="C3095" s="56">
        <f t="shared" si="3"/>
        <v>30920</v>
      </c>
      <c r="D3095" s="56">
        <v>0.0</v>
      </c>
    </row>
    <row r="3096" ht="15.75" customHeight="1">
      <c r="B3096" s="370">
        <f t="shared" si="2"/>
        <v>0.3579861111</v>
      </c>
      <c r="C3096" s="56">
        <f t="shared" si="3"/>
        <v>30930</v>
      </c>
      <c r="D3096" s="56">
        <v>0.0</v>
      </c>
    </row>
    <row r="3097" ht="15.75" customHeight="1">
      <c r="B3097" s="370">
        <f t="shared" si="2"/>
        <v>0.3581018519</v>
      </c>
      <c r="C3097" s="56">
        <f t="shared" si="3"/>
        <v>30940</v>
      </c>
      <c r="D3097" s="56">
        <v>0.0</v>
      </c>
    </row>
    <row r="3098" ht="15.75" customHeight="1">
      <c r="B3098" s="370">
        <f t="shared" si="2"/>
        <v>0.3582175926</v>
      </c>
      <c r="C3098" s="56">
        <f t="shared" si="3"/>
        <v>30950</v>
      </c>
      <c r="D3098" s="56">
        <v>0.0</v>
      </c>
    </row>
    <row r="3099" ht="15.75" customHeight="1">
      <c r="B3099" s="370">
        <f t="shared" si="2"/>
        <v>0.3583333333</v>
      </c>
      <c r="C3099" s="56">
        <f t="shared" si="3"/>
        <v>30960</v>
      </c>
      <c r="D3099" s="56">
        <v>0.0</v>
      </c>
    </row>
    <row r="3100" ht="15.75" customHeight="1">
      <c r="B3100" s="370">
        <f t="shared" si="2"/>
        <v>0.3584490741</v>
      </c>
      <c r="C3100" s="56">
        <f t="shared" si="3"/>
        <v>30970</v>
      </c>
      <c r="D3100" s="56">
        <v>0.0</v>
      </c>
    </row>
    <row r="3101" ht="15.75" customHeight="1">
      <c r="B3101" s="370">
        <f t="shared" si="2"/>
        <v>0.3585648148</v>
      </c>
      <c r="C3101" s="56">
        <f t="shared" si="3"/>
        <v>30980</v>
      </c>
      <c r="D3101" s="56">
        <v>0.0</v>
      </c>
    </row>
    <row r="3102" ht="15.75" customHeight="1">
      <c r="B3102" s="370">
        <f t="shared" si="2"/>
        <v>0.3586805556</v>
      </c>
      <c r="C3102" s="56">
        <f t="shared" si="3"/>
        <v>30990</v>
      </c>
      <c r="D3102" s="56">
        <v>0.0</v>
      </c>
    </row>
    <row r="3103" ht="15.75" customHeight="1">
      <c r="B3103" s="370">
        <f t="shared" si="2"/>
        <v>0.3587962963</v>
      </c>
      <c r="C3103" s="56">
        <f t="shared" si="3"/>
        <v>31000</v>
      </c>
      <c r="D3103" s="56">
        <v>0.0</v>
      </c>
    </row>
    <row r="3104" ht="15.75" customHeight="1">
      <c r="B3104" s="370">
        <f t="shared" si="2"/>
        <v>0.358912037</v>
      </c>
      <c r="C3104" s="56">
        <f t="shared" si="3"/>
        <v>31010</v>
      </c>
      <c r="D3104" s="56">
        <v>0.0</v>
      </c>
    </row>
    <row r="3105" ht="15.75" customHeight="1">
      <c r="B3105" s="370">
        <f t="shared" si="2"/>
        <v>0.3590277778</v>
      </c>
      <c r="C3105" s="56">
        <f t="shared" si="3"/>
        <v>31020</v>
      </c>
      <c r="D3105" s="56">
        <v>0.0</v>
      </c>
    </row>
    <row r="3106" ht="15.75" customHeight="1">
      <c r="B3106" s="370">
        <f t="shared" si="2"/>
        <v>0.3591435185</v>
      </c>
      <c r="C3106" s="56">
        <f t="shared" si="3"/>
        <v>31030</v>
      </c>
      <c r="D3106" s="56">
        <v>0.0</v>
      </c>
    </row>
    <row r="3107" ht="15.75" customHeight="1">
      <c r="B3107" s="370">
        <f t="shared" si="2"/>
        <v>0.3592592593</v>
      </c>
      <c r="C3107" s="56">
        <f t="shared" si="3"/>
        <v>31040</v>
      </c>
      <c r="D3107" s="56">
        <v>0.0</v>
      </c>
    </row>
    <row r="3108" ht="15.75" customHeight="1">
      <c r="B3108" s="370">
        <f t="shared" si="2"/>
        <v>0.359375</v>
      </c>
      <c r="C3108" s="56">
        <f t="shared" si="3"/>
        <v>31050</v>
      </c>
      <c r="D3108" s="56">
        <v>0.0</v>
      </c>
    </row>
    <row r="3109" ht="15.75" customHeight="1">
      <c r="B3109" s="370">
        <f t="shared" si="2"/>
        <v>0.3594907407</v>
      </c>
      <c r="C3109" s="56">
        <f t="shared" si="3"/>
        <v>31060</v>
      </c>
      <c r="D3109" s="56">
        <v>0.0</v>
      </c>
    </row>
    <row r="3110" ht="15.75" customHeight="1">
      <c r="B3110" s="370">
        <f t="shared" si="2"/>
        <v>0.3596064815</v>
      </c>
      <c r="C3110" s="56">
        <f t="shared" si="3"/>
        <v>31070</v>
      </c>
      <c r="D3110" s="56">
        <v>0.0</v>
      </c>
    </row>
    <row r="3111" ht="15.75" customHeight="1">
      <c r="B3111" s="370">
        <f t="shared" si="2"/>
        <v>0.3597222222</v>
      </c>
      <c r="C3111" s="56">
        <f t="shared" si="3"/>
        <v>31080</v>
      </c>
      <c r="D3111" s="56">
        <v>0.0</v>
      </c>
    </row>
    <row r="3112" ht="15.75" customHeight="1">
      <c r="B3112" s="370">
        <f t="shared" si="2"/>
        <v>0.359837963</v>
      </c>
      <c r="C3112" s="56">
        <f t="shared" si="3"/>
        <v>31090</v>
      </c>
      <c r="D3112" s="56">
        <v>0.0</v>
      </c>
    </row>
    <row r="3113" ht="15.75" customHeight="1">
      <c r="B3113" s="370">
        <f t="shared" si="2"/>
        <v>0.3599537037</v>
      </c>
      <c r="C3113" s="56">
        <f t="shared" si="3"/>
        <v>31100</v>
      </c>
      <c r="D3113" s="56">
        <v>0.0</v>
      </c>
    </row>
    <row r="3114" ht="15.75" customHeight="1">
      <c r="B3114" s="370">
        <f t="shared" si="2"/>
        <v>0.3600694444</v>
      </c>
      <c r="C3114" s="56">
        <f t="shared" si="3"/>
        <v>31110</v>
      </c>
      <c r="D3114" s="56">
        <v>0.0</v>
      </c>
    </row>
    <row r="3115" ht="15.75" customHeight="1">
      <c r="B3115" s="370">
        <f t="shared" si="2"/>
        <v>0.3601851852</v>
      </c>
      <c r="C3115" s="56">
        <f t="shared" si="3"/>
        <v>31120</v>
      </c>
      <c r="D3115" s="56">
        <v>0.0</v>
      </c>
    </row>
    <row r="3116" ht="15.75" customHeight="1">
      <c r="B3116" s="370">
        <f t="shared" si="2"/>
        <v>0.3603009259</v>
      </c>
      <c r="C3116" s="56">
        <f t="shared" si="3"/>
        <v>31130</v>
      </c>
      <c r="D3116" s="56">
        <v>0.0</v>
      </c>
    </row>
    <row r="3117" ht="15.75" customHeight="1">
      <c r="B3117" s="370">
        <f t="shared" si="2"/>
        <v>0.3604166667</v>
      </c>
      <c r="C3117" s="56">
        <f t="shared" si="3"/>
        <v>31140</v>
      </c>
      <c r="D3117" s="56">
        <v>0.0</v>
      </c>
    </row>
    <row r="3118" ht="15.75" customHeight="1">
      <c r="B3118" s="370">
        <f t="shared" si="2"/>
        <v>0.3605324074</v>
      </c>
      <c r="C3118" s="56">
        <f t="shared" si="3"/>
        <v>31150</v>
      </c>
      <c r="D3118" s="56">
        <v>0.0</v>
      </c>
    </row>
    <row r="3119" ht="15.75" customHeight="1">
      <c r="B3119" s="370">
        <f t="shared" si="2"/>
        <v>0.3606481481</v>
      </c>
      <c r="C3119" s="56">
        <f t="shared" si="3"/>
        <v>31160</v>
      </c>
      <c r="D3119" s="56">
        <v>0.0</v>
      </c>
    </row>
    <row r="3120" ht="15.75" customHeight="1">
      <c r="B3120" s="370">
        <f t="shared" si="2"/>
        <v>0.3607638889</v>
      </c>
      <c r="C3120" s="56">
        <f t="shared" si="3"/>
        <v>31170</v>
      </c>
      <c r="D3120" s="56">
        <v>0.0</v>
      </c>
    </row>
    <row r="3121" ht="15.75" customHeight="1">
      <c r="B3121" s="370">
        <f t="shared" si="2"/>
        <v>0.3608796296</v>
      </c>
      <c r="C3121" s="56">
        <f t="shared" si="3"/>
        <v>31180</v>
      </c>
      <c r="D3121" s="56">
        <v>0.0</v>
      </c>
    </row>
    <row r="3122" ht="15.75" customHeight="1">
      <c r="B3122" s="370">
        <f t="shared" si="2"/>
        <v>0.3609953704</v>
      </c>
      <c r="C3122" s="56">
        <f t="shared" si="3"/>
        <v>31190</v>
      </c>
      <c r="D3122" s="56">
        <v>0.0</v>
      </c>
    </row>
    <row r="3123" ht="15.75" customHeight="1">
      <c r="B3123" s="370">
        <f t="shared" si="2"/>
        <v>0.3611111111</v>
      </c>
      <c r="C3123" s="56">
        <f t="shared" si="3"/>
        <v>31200</v>
      </c>
      <c r="D3123" s="56">
        <v>0.0</v>
      </c>
    </row>
    <row r="3124" ht="15.75" customHeight="1">
      <c r="B3124" s="370">
        <f t="shared" si="2"/>
        <v>0.3612268519</v>
      </c>
      <c r="C3124" s="56">
        <f t="shared" si="3"/>
        <v>31210</v>
      </c>
      <c r="D3124" s="56">
        <v>0.0</v>
      </c>
    </row>
    <row r="3125" ht="15.75" customHeight="1">
      <c r="B3125" s="370">
        <f t="shared" si="2"/>
        <v>0.3613425926</v>
      </c>
      <c r="C3125" s="56">
        <f t="shared" si="3"/>
        <v>31220</v>
      </c>
      <c r="D3125" s="56">
        <v>0.0</v>
      </c>
    </row>
    <row r="3126" ht="15.75" customHeight="1">
      <c r="B3126" s="370">
        <f t="shared" si="2"/>
        <v>0.3614583333</v>
      </c>
      <c r="C3126" s="56">
        <f t="shared" si="3"/>
        <v>31230</v>
      </c>
      <c r="D3126" s="56">
        <v>0.0</v>
      </c>
    </row>
    <row r="3127" ht="15.75" customHeight="1">
      <c r="B3127" s="370">
        <f t="shared" si="2"/>
        <v>0.3615740741</v>
      </c>
      <c r="C3127" s="56">
        <f t="shared" si="3"/>
        <v>31240</v>
      </c>
      <c r="D3127" s="56">
        <v>0.0</v>
      </c>
    </row>
    <row r="3128" ht="15.75" customHeight="1">
      <c r="B3128" s="370">
        <f t="shared" si="2"/>
        <v>0.3616898148</v>
      </c>
      <c r="C3128" s="56">
        <f t="shared" si="3"/>
        <v>31250</v>
      </c>
      <c r="D3128" s="56">
        <v>0.0</v>
      </c>
    </row>
    <row r="3129" ht="15.75" customHeight="1">
      <c r="B3129" s="370">
        <f t="shared" si="2"/>
        <v>0.3618055556</v>
      </c>
      <c r="C3129" s="56">
        <f t="shared" si="3"/>
        <v>31260</v>
      </c>
      <c r="D3129" s="56">
        <v>0.0</v>
      </c>
    </row>
    <row r="3130" ht="15.75" customHeight="1">
      <c r="B3130" s="370">
        <f t="shared" si="2"/>
        <v>0.3619212963</v>
      </c>
      <c r="C3130" s="56">
        <f t="shared" si="3"/>
        <v>31270</v>
      </c>
      <c r="D3130" s="56">
        <v>0.0</v>
      </c>
    </row>
    <row r="3131" ht="15.75" customHeight="1">
      <c r="B3131" s="370">
        <f t="shared" si="2"/>
        <v>0.362037037</v>
      </c>
      <c r="C3131" s="56">
        <f t="shared" si="3"/>
        <v>31280</v>
      </c>
      <c r="D3131" s="56">
        <v>0.0</v>
      </c>
    </row>
    <row r="3132" ht="15.75" customHeight="1">
      <c r="B3132" s="370">
        <f t="shared" si="2"/>
        <v>0.3621527778</v>
      </c>
      <c r="C3132" s="56">
        <f t="shared" si="3"/>
        <v>31290</v>
      </c>
      <c r="D3132" s="56">
        <v>0.0</v>
      </c>
    </row>
    <row r="3133" ht="15.75" customHeight="1">
      <c r="B3133" s="370">
        <f t="shared" si="2"/>
        <v>0.3622685185</v>
      </c>
      <c r="C3133" s="56">
        <f t="shared" si="3"/>
        <v>31300</v>
      </c>
      <c r="D3133" s="56">
        <v>0.0</v>
      </c>
    </row>
    <row r="3134" ht="15.75" customHeight="1">
      <c r="B3134" s="370">
        <f t="shared" si="2"/>
        <v>0.3623842593</v>
      </c>
      <c r="C3134" s="56">
        <f t="shared" si="3"/>
        <v>31310</v>
      </c>
      <c r="D3134" s="56">
        <v>0.0</v>
      </c>
    </row>
    <row r="3135" ht="15.75" customHeight="1">
      <c r="B3135" s="370">
        <f t="shared" si="2"/>
        <v>0.3625</v>
      </c>
      <c r="C3135" s="56">
        <f t="shared" si="3"/>
        <v>31320</v>
      </c>
      <c r="D3135" s="56">
        <v>0.0</v>
      </c>
    </row>
    <row r="3136" ht="15.75" customHeight="1">
      <c r="B3136" s="370">
        <f t="shared" si="2"/>
        <v>0.3626157407</v>
      </c>
      <c r="C3136" s="56">
        <f t="shared" si="3"/>
        <v>31330</v>
      </c>
      <c r="D3136" s="56">
        <v>0.0</v>
      </c>
    </row>
    <row r="3137" ht="15.75" customHeight="1">
      <c r="B3137" s="370">
        <f t="shared" si="2"/>
        <v>0.3627314815</v>
      </c>
      <c r="C3137" s="56">
        <f t="shared" si="3"/>
        <v>31340</v>
      </c>
      <c r="D3137" s="56">
        <v>0.0</v>
      </c>
    </row>
    <row r="3138" ht="15.75" customHeight="1">
      <c r="B3138" s="370">
        <f t="shared" si="2"/>
        <v>0.3628472222</v>
      </c>
      <c r="C3138" s="56">
        <f t="shared" si="3"/>
        <v>31350</v>
      </c>
      <c r="D3138" s="56">
        <v>0.0</v>
      </c>
    </row>
    <row r="3139" ht="15.75" customHeight="1">
      <c r="B3139" s="370">
        <f t="shared" si="2"/>
        <v>0.362962963</v>
      </c>
      <c r="C3139" s="56">
        <f t="shared" si="3"/>
        <v>31360</v>
      </c>
      <c r="D3139" s="56">
        <v>0.0</v>
      </c>
    </row>
    <row r="3140" ht="15.75" customHeight="1">
      <c r="B3140" s="370">
        <f t="shared" si="2"/>
        <v>0.3630787037</v>
      </c>
      <c r="C3140" s="56">
        <f t="shared" si="3"/>
        <v>31370</v>
      </c>
      <c r="D3140" s="56">
        <v>0.0</v>
      </c>
    </row>
    <row r="3141" ht="15.75" customHeight="1">
      <c r="B3141" s="370">
        <f t="shared" si="2"/>
        <v>0.3631944444</v>
      </c>
      <c r="C3141" s="56">
        <f t="shared" si="3"/>
        <v>31380</v>
      </c>
      <c r="D3141" s="56">
        <v>0.0</v>
      </c>
    </row>
    <row r="3142" ht="15.75" customHeight="1">
      <c r="B3142" s="370">
        <f t="shared" si="2"/>
        <v>0.3633101852</v>
      </c>
      <c r="C3142" s="56">
        <f t="shared" si="3"/>
        <v>31390</v>
      </c>
      <c r="D3142" s="56">
        <v>0.0</v>
      </c>
    </row>
    <row r="3143" ht="15.75" customHeight="1">
      <c r="B3143" s="370">
        <f t="shared" si="2"/>
        <v>0.3634259259</v>
      </c>
      <c r="C3143" s="56">
        <f t="shared" si="3"/>
        <v>31400</v>
      </c>
      <c r="D3143" s="56">
        <v>0.0</v>
      </c>
    </row>
    <row r="3144" ht="15.75" customHeight="1">
      <c r="B3144" s="370">
        <f t="shared" si="2"/>
        <v>0.3635416667</v>
      </c>
      <c r="C3144" s="56">
        <f t="shared" si="3"/>
        <v>31410</v>
      </c>
      <c r="D3144" s="56">
        <v>0.0</v>
      </c>
    </row>
    <row r="3145" ht="15.75" customHeight="1">
      <c r="B3145" s="370">
        <f t="shared" si="2"/>
        <v>0.3636574074</v>
      </c>
      <c r="C3145" s="56">
        <f t="shared" si="3"/>
        <v>31420</v>
      </c>
      <c r="D3145" s="56">
        <v>0.0</v>
      </c>
    </row>
    <row r="3146" ht="15.75" customHeight="1">
      <c r="B3146" s="370">
        <f t="shared" si="2"/>
        <v>0.3637731481</v>
      </c>
      <c r="C3146" s="56">
        <f t="shared" si="3"/>
        <v>31430</v>
      </c>
      <c r="D3146" s="56">
        <v>0.0</v>
      </c>
    </row>
    <row r="3147" ht="15.75" customHeight="1">
      <c r="B3147" s="370">
        <f t="shared" si="2"/>
        <v>0.3638888889</v>
      </c>
      <c r="C3147" s="56">
        <f t="shared" si="3"/>
        <v>31440</v>
      </c>
      <c r="D3147" s="56">
        <v>0.0</v>
      </c>
    </row>
    <row r="3148" ht="15.75" customHeight="1">
      <c r="B3148" s="370">
        <f t="shared" si="2"/>
        <v>0.3640046296</v>
      </c>
      <c r="C3148" s="56">
        <f t="shared" si="3"/>
        <v>31450</v>
      </c>
      <c r="D3148" s="56">
        <v>0.0</v>
      </c>
    </row>
    <row r="3149" ht="15.75" customHeight="1">
      <c r="B3149" s="370">
        <f t="shared" si="2"/>
        <v>0.3641203704</v>
      </c>
      <c r="C3149" s="56">
        <f t="shared" si="3"/>
        <v>31460</v>
      </c>
      <c r="D3149" s="56">
        <v>0.0</v>
      </c>
    </row>
    <row r="3150" ht="15.75" customHeight="1">
      <c r="B3150" s="370">
        <f t="shared" si="2"/>
        <v>0.3642361111</v>
      </c>
      <c r="C3150" s="56">
        <f t="shared" si="3"/>
        <v>31470</v>
      </c>
      <c r="D3150" s="56">
        <v>0.0</v>
      </c>
    </row>
    <row r="3151" ht="15.75" customHeight="1">
      <c r="B3151" s="370">
        <f t="shared" si="2"/>
        <v>0.3643518519</v>
      </c>
      <c r="C3151" s="56">
        <f t="shared" si="3"/>
        <v>31480</v>
      </c>
      <c r="D3151" s="56">
        <v>0.0</v>
      </c>
    </row>
    <row r="3152" ht="15.75" customHeight="1">
      <c r="B3152" s="370">
        <f t="shared" si="2"/>
        <v>0.3644675926</v>
      </c>
      <c r="C3152" s="56">
        <f t="shared" si="3"/>
        <v>31490</v>
      </c>
      <c r="D3152" s="56">
        <v>0.0</v>
      </c>
    </row>
    <row r="3153" ht="15.75" customHeight="1">
      <c r="B3153" s="370">
        <f t="shared" si="2"/>
        <v>0.3645833333</v>
      </c>
      <c r="C3153" s="56">
        <f t="shared" si="3"/>
        <v>31500</v>
      </c>
      <c r="D3153" s="56">
        <v>0.0</v>
      </c>
    </row>
    <row r="3154" ht="15.75" customHeight="1">
      <c r="B3154" s="370">
        <f t="shared" si="2"/>
        <v>0.3646990741</v>
      </c>
      <c r="C3154" s="56">
        <f t="shared" si="3"/>
        <v>31510</v>
      </c>
      <c r="D3154" s="56">
        <v>0.0</v>
      </c>
    </row>
    <row r="3155" ht="15.75" customHeight="1">
      <c r="B3155" s="370">
        <f t="shared" si="2"/>
        <v>0.3648148148</v>
      </c>
      <c r="C3155" s="56">
        <f t="shared" si="3"/>
        <v>31520</v>
      </c>
      <c r="D3155" s="56">
        <v>0.0</v>
      </c>
    </row>
    <row r="3156" ht="15.75" customHeight="1">
      <c r="B3156" s="370">
        <f t="shared" si="2"/>
        <v>0.3649305556</v>
      </c>
      <c r="C3156" s="56">
        <f t="shared" si="3"/>
        <v>31530</v>
      </c>
      <c r="D3156" s="56">
        <v>0.0</v>
      </c>
    </row>
    <row r="3157" ht="15.75" customHeight="1">
      <c r="B3157" s="370">
        <f t="shared" si="2"/>
        <v>0.3650462963</v>
      </c>
      <c r="C3157" s="56">
        <f t="shared" si="3"/>
        <v>31540</v>
      </c>
      <c r="D3157" s="56">
        <v>0.0</v>
      </c>
    </row>
    <row r="3158" ht="15.75" customHeight="1">
      <c r="B3158" s="370">
        <f t="shared" si="2"/>
        <v>0.365162037</v>
      </c>
      <c r="C3158" s="56">
        <f t="shared" si="3"/>
        <v>31550</v>
      </c>
      <c r="D3158" s="56">
        <v>0.0</v>
      </c>
    </row>
    <row r="3159" ht="15.75" customHeight="1">
      <c r="B3159" s="370">
        <f t="shared" si="2"/>
        <v>0.3652777778</v>
      </c>
      <c r="C3159" s="56">
        <f t="shared" si="3"/>
        <v>31560</v>
      </c>
      <c r="D3159" s="56">
        <v>0.0</v>
      </c>
    </row>
    <row r="3160" ht="15.75" customHeight="1">
      <c r="B3160" s="370">
        <f t="shared" si="2"/>
        <v>0.3653935185</v>
      </c>
      <c r="C3160" s="56">
        <f t="shared" si="3"/>
        <v>31570</v>
      </c>
      <c r="D3160" s="56">
        <v>0.0</v>
      </c>
    </row>
    <row r="3161" ht="15.75" customHeight="1">
      <c r="B3161" s="370">
        <f t="shared" si="2"/>
        <v>0.3655092593</v>
      </c>
      <c r="C3161" s="56">
        <f t="shared" si="3"/>
        <v>31580</v>
      </c>
      <c r="D3161" s="56">
        <v>0.0</v>
      </c>
    </row>
    <row r="3162" ht="15.75" customHeight="1">
      <c r="B3162" s="370">
        <f t="shared" si="2"/>
        <v>0.365625</v>
      </c>
      <c r="C3162" s="56">
        <f t="shared" si="3"/>
        <v>31590</v>
      </c>
      <c r="D3162" s="56">
        <v>0.0</v>
      </c>
    </row>
    <row r="3163" ht="15.75" customHeight="1">
      <c r="B3163" s="370">
        <f t="shared" si="2"/>
        <v>0.3657407407</v>
      </c>
      <c r="C3163" s="56">
        <f t="shared" si="3"/>
        <v>31600</v>
      </c>
      <c r="D3163" s="56">
        <v>0.0</v>
      </c>
    </row>
    <row r="3164" ht="15.75" customHeight="1">
      <c r="B3164" s="370">
        <f t="shared" si="2"/>
        <v>0.3658564815</v>
      </c>
      <c r="C3164" s="56">
        <f t="shared" si="3"/>
        <v>31610</v>
      </c>
      <c r="D3164" s="56">
        <v>0.0</v>
      </c>
    </row>
    <row r="3165" ht="15.75" customHeight="1">
      <c r="B3165" s="370">
        <f t="shared" si="2"/>
        <v>0.3659722222</v>
      </c>
      <c r="C3165" s="56">
        <f t="shared" si="3"/>
        <v>31620</v>
      </c>
      <c r="D3165" s="56">
        <v>0.0</v>
      </c>
    </row>
    <row r="3166" ht="15.75" customHeight="1">
      <c r="B3166" s="370">
        <f t="shared" si="2"/>
        <v>0.366087963</v>
      </c>
      <c r="C3166" s="56">
        <f t="shared" si="3"/>
        <v>31630</v>
      </c>
      <c r="D3166" s="56">
        <v>0.0</v>
      </c>
    </row>
    <row r="3167" ht="15.75" customHeight="1">
      <c r="B3167" s="370">
        <f t="shared" si="2"/>
        <v>0.3662037037</v>
      </c>
      <c r="C3167" s="56">
        <f t="shared" si="3"/>
        <v>31640</v>
      </c>
      <c r="D3167" s="56">
        <v>0.0</v>
      </c>
    </row>
    <row r="3168" ht="15.75" customHeight="1">
      <c r="B3168" s="370">
        <f t="shared" si="2"/>
        <v>0.3663194444</v>
      </c>
      <c r="C3168" s="56">
        <f t="shared" si="3"/>
        <v>31650</v>
      </c>
      <c r="D3168" s="56">
        <v>0.0</v>
      </c>
    </row>
    <row r="3169" ht="15.75" customHeight="1">
      <c r="B3169" s="370">
        <f t="shared" si="2"/>
        <v>0.3664351852</v>
      </c>
      <c r="C3169" s="56">
        <f t="shared" si="3"/>
        <v>31660</v>
      </c>
      <c r="D3169" s="56">
        <v>0.0</v>
      </c>
    </row>
    <row r="3170" ht="15.75" customHeight="1">
      <c r="B3170" s="370">
        <f t="shared" si="2"/>
        <v>0.3665509259</v>
      </c>
      <c r="C3170" s="56">
        <f t="shared" si="3"/>
        <v>31670</v>
      </c>
      <c r="D3170" s="56">
        <v>0.0</v>
      </c>
    </row>
    <row r="3171" ht="15.75" customHeight="1">
      <c r="B3171" s="370">
        <f t="shared" si="2"/>
        <v>0.3666666667</v>
      </c>
      <c r="C3171" s="56">
        <f t="shared" si="3"/>
        <v>31680</v>
      </c>
      <c r="D3171" s="56">
        <v>0.0</v>
      </c>
    </row>
    <row r="3172" ht="15.75" customHeight="1">
      <c r="B3172" s="370">
        <f t="shared" si="2"/>
        <v>0.3667824074</v>
      </c>
      <c r="C3172" s="56">
        <f t="shared" si="3"/>
        <v>31690</v>
      </c>
      <c r="D3172" s="56">
        <v>0.0</v>
      </c>
    </row>
    <row r="3173" ht="15.75" customHeight="1">
      <c r="B3173" s="370">
        <f t="shared" si="2"/>
        <v>0.3668981481</v>
      </c>
      <c r="C3173" s="56">
        <f t="shared" si="3"/>
        <v>31700</v>
      </c>
      <c r="D3173" s="56">
        <v>0.0</v>
      </c>
    </row>
    <row r="3174" ht="15.75" customHeight="1">
      <c r="B3174" s="370">
        <f t="shared" si="2"/>
        <v>0.3670138889</v>
      </c>
      <c r="C3174" s="56">
        <f t="shared" si="3"/>
        <v>31710</v>
      </c>
      <c r="D3174" s="56">
        <v>0.0</v>
      </c>
    </row>
    <row r="3175" ht="15.75" customHeight="1">
      <c r="B3175" s="370">
        <f t="shared" si="2"/>
        <v>0.3671296296</v>
      </c>
      <c r="C3175" s="56">
        <f t="shared" si="3"/>
        <v>31720</v>
      </c>
      <c r="D3175" s="56">
        <v>0.0</v>
      </c>
    </row>
    <row r="3176" ht="15.75" customHeight="1">
      <c r="B3176" s="370">
        <f t="shared" si="2"/>
        <v>0.3672453704</v>
      </c>
      <c r="C3176" s="56">
        <f t="shared" si="3"/>
        <v>31730</v>
      </c>
      <c r="D3176" s="56">
        <v>0.0</v>
      </c>
    </row>
    <row r="3177" ht="15.75" customHeight="1">
      <c r="B3177" s="370">
        <f t="shared" si="2"/>
        <v>0.3673611111</v>
      </c>
      <c r="C3177" s="56">
        <f t="shared" si="3"/>
        <v>31740</v>
      </c>
      <c r="D3177" s="56">
        <v>0.0</v>
      </c>
    </row>
    <row r="3178" ht="15.75" customHeight="1">
      <c r="B3178" s="370">
        <f t="shared" si="2"/>
        <v>0.3674768519</v>
      </c>
      <c r="C3178" s="56">
        <f t="shared" si="3"/>
        <v>31750</v>
      </c>
      <c r="D3178" s="56">
        <v>0.0</v>
      </c>
    </row>
    <row r="3179" ht="15.75" customHeight="1">
      <c r="B3179" s="370">
        <f t="shared" si="2"/>
        <v>0.3675925926</v>
      </c>
      <c r="C3179" s="56">
        <f t="shared" si="3"/>
        <v>31760</v>
      </c>
      <c r="D3179" s="56">
        <v>0.0</v>
      </c>
    </row>
    <row r="3180" ht="15.75" customHeight="1">
      <c r="B3180" s="370">
        <f t="shared" si="2"/>
        <v>0.3677083333</v>
      </c>
      <c r="C3180" s="56">
        <f t="shared" si="3"/>
        <v>31770</v>
      </c>
      <c r="D3180" s="56">
        <v>0.0</v>
      </c>
    </row>
    <row r="3181" ht="15.75" customHeight="1">
      <c r="B3181" s="370">
        <f t="shared" si="2"/>
        <v>0.3678240741</v>
      </c>
      <c r="C3181" s="56">
        <f t="shared" si="3"/>
        <v>31780</v>
      </c>
      <c r="D3181" s="56">
        <v>0.0</v>
      </c>
    </row>
    <row r="3182" ht="15.75" customHeight="1">
      <c r="B3182" s="370">
        <f t="shared" si="2"/>
        <v>0.3679398148</v>
      </c>
      <c r="C3182" s="56">
        <f t="shared" si="3"/>
        <v>31790</v>
      </c>
      <c r="D3182" s="56">
        <v>0.0</v>
      </c>
    </row>
    <row r="3183" ht="15.75" customHeight="1">
      <c r="B3183" s="370">
        <f t="shared" si="2"/>
        <v>0.3680555556</v>
      </c>
      <c r="C3183" s="56">
        <f t="shared" si="3"/>
        <v>31800</v>
      </c>
      <c r="D3183" s="56">
        <v>0.113</v>
      </c>
    </row>
    <row r="3184" ht="15.75" customHeight="1">
      <c r="B3184" s="370">
        <f t="shared" si="2"/>
        <v>0.3681712963</v>
      </c>
      <c r="C3184" s="56">
        <f t="shared" si="3"/>
        <v>31810</v>
      </c>
      <c r="D3184" s="56">
        <v>2.903</v>
      </c>
    </row>
    <row r="3185" ht="15.75" customHeight="1">
      <c r="B3185" s="370">
        <f t="shared" si="2"/>
        <v>0.368287037</v>
      </c>
      <c r="C3185" s="56">
        <f t="shared" si="3"/>
        <v>31820</v>
      </c>
      <c r="D3185" s="56">
        <v>2.89</v>
      </c>
    </row>
    <row r="3186" ht="15.75" customHeight="1">
      <c r="B3186" s="370">
        <f t="shared" si="2"/>
        <v>0.3684027778</v>
      </c>
      <c r="C3186" s="56">
        <f t="shared" si="3"/>
        <v>31830</v>
      </c>
      <c r="D3186" s="56">
        <v>2.976</v>
      </c>
    </row>
    <row r="3187" ht="15.75" customHeight="1">
      <c r="B3187" s="370">
        <f t="shared" si="2"/>
        <v>0.3685185185</v>
      </c>
      <c r="C3187" s="56">
        <f t="shared" si="3"/>
        <v>31840</v>
      </c>
      <c r="D3187" s="56">
        <v>2.85</v>
      </c>
    </row>
    <row r="3188" ht="15.75" customHeight="1">
      <c r="B3188" s="370">
        <f t="shared" si="2"/>
        <v>0.3686342593</v>
      </c>
      <c r="C3188" s="56">
        <f t="shared" si="3"/>
        <v>31850</v>
      </c>
      <c r="D3188" s="56">
        <v>2.725</v>
      </c>
    </row>
    <row r="3189" ht="15.75" customHeight="1">
      <c r="B3189" s="370">
        <f t="shared" si="2"/>
        <v>0.36875</v>
      </c>
      <c r="C3189" s="56">
        <f t="shared" si="3"/>
        <v>31860</v>
      </c>
      <c r="D3189" s="56">
        <v>2.554</v>
      </c>
    </row>
    <row r="3190" ht="15.75" customHeight="1">
      <c r="B3190" s="370">
        <f t="shared" si="2"/>
        <v>0.3688657407</v>
      </c>
      <c r="C3190" s="56">
        <f t="shared" si="3"/>
        <v>31870</v>
      </c>
      <c r="D3190" s="56">
        <v>2.351</v>
      </c>
    </row>
    <row r="3191" ht="15.75" customHeight="1">
      <c r="B3191" s="370">
        <f t="shared" si="2"/>
        <v>0.3689814815</v>
      </c>
      <c r="C3191" s="56">
        <f t="shared" si="3"/>
        <v>31880</v>
      </c>
      <c r="D3191" s="56">
        <v>2.392</v>
      </c>
    </row>
    <row r="3192" ht="15.75" customHeight="1">
      <c r="B3192" s="370">
        <f t="shared" si="2"/>
        <v>0.3690972222</v>
      </c>
      <c r="C3192" s="56">
        <f t="shared" si="3"/>
        <v>31890</v>
      </c>
      <c r="D3192" s="56">
        <v>3.265</v>
      </c>
    </row>
    <row r="3193" ht="15.75" customHeight="1">
      <c r="B3193" s="370">
        <f t="shared" si="2"/>
        <v>0.369212963</v>
      </c>
      <c r="C3193" s="56">
        <f t="shared" si="3"/>
        <v>31900</v>
      </c>
      <c r="D3193" s="56">
        <v>3.488</v>
      </c>
    </row>
    <row r="3194" ht="15.75" customHeight="1">
      <c r="B3194" s="370">
        <f t="shared" si="2"/>
        <v>0.3693287037</v>
      </c>
      <c r="C3194" s="56">
        <f t="shared" si="3"/>
        <v>31910</v>
      </c>
      <c r="D3194" s="56">
        <v>3.499</v>
      </c>
    </row>
    <row r="3195" ht="15.75" customHeight="1">
      <c r="B3195" s="370">
        <f t="shared" si="2"/>
        <v>0.3694444444</v>
      </c>
      <c r="C3195" s="56">
        <f t="shared" si="3"/>
        <v>31920</v>
      </c>
      <c r="D3195" s="56">
        <v>3.505</v>
      </c>
    </row>
    <row r="3196" ht="15.75" customHeight="1">
      <c r="B3196" s="370">
        <f t="shared" si="2"/>
        <v>0.3695601852</v>
      </c>
      <c r="C3196" s="56">
        <f t="shared" si="3"/>
        <v>31930</v>
      </c>
      <c r="D3196" s="56">
        <v>3.109</v>
      </c>
    </row>
    <row r="3197" ht="15.75" customHeight="1">
      <c r="B3197" s="370">
        <f t="shared" si="2"/>
        <v>0.3696759259</v>
      </c>
      <c r="C3197" s="56">
        <f t="shared" si="3"/>
        <v>31940</v>
      </c>
      <c r="D3197" s="56">
        <v>2.354</v>
      </c>
    </row>
    <row r="3198" ht="15.75" customHeight="1">
      <c r="B3198" s="370">
        <f t="shared" si="2"/>
        <v>0.3697916667</v>
      </c>
      <c r="C3198" s="56">
        <f t="shared" si="3"/>
        <v>31950</v>
      </c>
      <c r="D3198" s="56">
        <v>2.031</v>
      </c>
    </row>
    <row r="3199" ht="15.75" customHeight="1">
      <c r="B3199" s="370">
        <f t="shared" si="2"/>
        <v>0.3699074074</v>
      </c>
      <c r="C3199" s="56">
        <f t="shared" si="3"/>
        <v>31960</v>
      </c>
      <c r="D3199" s="56">
        <v>2.395</v>
      </c>
    </row>
    <row r="3200" ht="15.75" customHeight="1">
      <c r="B3200" s="370">
        <f t="shared" si="2"/>
        <v>0.3700231481</v>
      </c>
      <c r="C3200" s="56">
        <f t="shared" si="3"/>
        <v>31970</v>
      </c>
      <c r="D3200" s="56">
        <v>2.746</v>
      </c>
    </row>
    <row r="3201" ht="15.75" customHeight="1">
      <c r="B3201" s="370">
        <f t="shared" si="2"/>
        <v>0.3701388889</v>
      </c>
      <c r="C3201" s="56">
        <f t="shared" si="3"/>
        <v>31980</v>
      </c>
      <c r="D3201" s="56">
        <v>3.053</v>
      </c>
    </row>
    <row r="3202" ht="15.75" customHeight="1">
      <c r="B3202" s="370">
        <f t="shared" si="2"/>
        <v>0.3702546296</v>
      </c>
      <c r="C3202" s="56">
        <f t="shared" si="3"/>
        <v>31990</v>
      </c>
      <c r="D3202" s="56">
        <v>3.284</v>
      </c>
    </row>
    <row r="3203" ht="15.75" customHeight="1">
      <c r="B3203" s="370">
        <f t="shared" si="2"/>
        <v>0.3703703704</v>
      </c>
      <c r="C3203" s="56">
        <f t="shared" si="3"/>
        <v>32000</v>
      </c>
      <c r="D3203" s="56">
        <v>3.182</v>
      </c>
    </row>
    <row r="3204" ht="15.75" customHeight="1">
      <c r="B3204" s="370">
        <f t="shared" si="2"/>
        <v>0.3704861111</v>
      </c>
      <c r="C3204" s="56">
        <f t="shared" si="3"/>
        <v>32010</v>
      </c>
      <c r="D3204" s="56">
        <v>3.104</v>
      </c>
    </row>
    <row r="3205" ht="15.75" customHeight="1">
      <c r="B3205" s="370">
        <f t="shared" si="2"/>
        <v>0.3706018519</v>
      </c>
      <c r="C3205" s="56">
        <f t="shared" si="3"/>
        <v>32020</v>
      </c>
      <c r="D3205" s="56">
        <v>2.781</v>
      </c>
    </row>
    <row r="3206" ht="15.75" customHeight="1">
      <c r="B3206" s="370">
        <f t="shared" si="2"/>
        <v>0.3707175926</v>
      </c>
      <c r="C3206" s="56">
        <f t="shared" si="3"/>
        <v>32030</v>
      </c>
      <c r="D3206" s="56">
        <v>2.824</v>
      </c>
    </row>
    <row r="3207" ht="15.75" customHeight="1">
      <c r="B3207" s="370">
        <f t="shared" si="2"/>
        <v>0.3708333333</v>
      </c>
      <c r="C3207" s="56">
        <f t="shared" si="3"/>
        <v>32040</v>
      </c>
      <c r="D3207" s="56">
        <v>2.792</v>
      </c>
    </row>
    <row r="3208" ht="15.75" customHeight="1">
      <c r="B3208" s="370">
        <f t="shared" si="2"/>
        <v>0.3709490741</v>
      </c>
      <c r="C3208" s="56">
        <f t="shared" si="3"/>
        <v>32050</v>
      </c>
      <c r="D3208" s="56">
        <v>2.752</v>
      </c>
    </row>
    <row r="3209" ht="15.75" customHeight="1">
      <c r="B3209" s="370">
        <f t="shared" si="2"/>
        <v>0.3710648148</v>
      </c>
      <c r="C3209" s="56">
        <f t="shared" si="3"/>
        <v>32060</v>
      </c>
      <c r="D3209" s="56">
        <v>2.643</v>
      </c>
    </row>
    <row r="3210" ht="15.75" customHeight="1">
      <c r="B3210" s="370">
        <f t="shared" si="2"/>
        <v>0.3711805556</v>
      </c>
      <c r="C3210" s="56">
        <f t="shared" si="3"/>
        <v>32070</v>
      </c>
      <c r="D3210" s="56">
        <v>2.474</v>
      </c>
    </row>
    <row r="3211" ht="15.75" customHeight="1">
      <c r="B3211" s="370">
        <f t="shared" si="2"/>
        <v>0.3712962963</v>
      </c>
      <c r="C3211" s="56">
        <f t="shared" si="3"/>
        <v>32080</v>
      </c>
      <c r="D3211" s="56">
        <v>2.236</v>
      </c>
    </row>
    <row r="3212" ht="15.75" customHeight="1">
      <c r="B3212" s="370">
        <f t="shared" si="2"/>
        <v>0.371412037</v>
      </c>
      <c r="C3212" s="56">
        <f t="shared" si="3"/>
        <v>32090</v>
      </c>
      <c r="D3212" s="56">
        <v>3.118</v>
      </c>
    </row>
    <row r="3213" ht="15.75" customHeight="1">
      <c r="B3213" s="370">
        <f t="shared" si="2"/>
        <v>0.3715277778</v>
      </c>
      <c r="C3213" s="56">
        <f t="shared" si="3"/>
        <v>32100</v>
      </c>
      <c r="D3213" s="56">
        <v>3.422</v>
      </c>
    </row>
    <row r="3214" ht="15.75" customHeight="1">
      <c r="B3214" s="370">
        <f t="shared" si="2"/>
        <v>0.3716435185</v>
      </c>
      <c r="C3214" s="56">
        <f t="shared" si="3"/>
        <v>32110</v>
      </c>
      <c r="D3214" s="56">
        <v>3.459</v>
      </c>
    </row>
    <row r="3215" ht="15.75" customHeight="1">
      <c r="B3215" s="370">
        <f t="shared" si="2"/>
        <v>0.3717592593</v>
      </c>
      <c r="C3215" s="56">
        <f t="shared" si="3"/>
        <v>32120</v>
      </c>
      <c r="D3215" s="56">
        <v>3.494</v>
      </c>
    </row>
    <row r="3216" ht="15.75" customHeight="1">
      <c r="B3216" s="370">
        <f t="shared" si="2"/>
        <v>0.371875</v>
      </c>
      <c r="C3216" s="56">
        <f t="shared" si="3"/>
        <v>32130</v>
      </c>
      <c r="D3216" s="56">
        <v>3.189</v>
      </c>
    </row>
    <row r="3217" ht="15.75" customHeight="1">
      <c r="B3217" s="370">
        <f t="shared" si="2"/>
        <v>0.3719907407</v>
      </c>
      <c r="C3217" s="56">
        <f t="shared" si="3"/>
        <v>32140</v>
      </c>
      <c r="D3217" s="56">
        <v>2.524</v>
      </c>
    </row>
    <row r="3218" ht="15.75" customHeight="1">
      <c r="B3218" s="370">
        <f t="shared" si="2"/>
        <v>0.3721064815</v>
      </c>
      <c r="C3218" s="56">
        <f t="shared" si="3"/>
        <v>32150</v>
      </c>
      <c r="D3218" s="56">
        <v>1.991</v>
      </c>
    </row>
    <row r="3219" ht="15.75" customHeight="1">
      <c r="B3219" s="370">
        <f t="shared" si="2"/>
        <v>0.3722222222</v>
      </c>
      <c r="C3219" s="56">
        <f t="shared" si="3"/>
        <v>32160</v>
      </c>
      <c r="D3219" s="56">
        <v>2.219</v>
      </c>
    </row>
    <row r="3220" ht="15.75" customHeight="1">
      <c r="B3220" s="370">
        <f t="shared" si="2"/>
        <v>0.372337963</v>
      </c>
      <c r="C3220" s="56">
        <f t="shared" si="3"/>
        <v>32170</v>
      </c>
      <c r="D3220" s="56">
        <v>2.648</v>
      </c>
    </row>
    <row r="3221" ht="15.75" customHeight="1">
      <c r="B3221" s="370">
        <f t="shared" si="2"/>
        <v>0.3724537037</v>
      </c>
      <c r="C3221" s="56">
        <f t="shared" si="3"/>
        <v>32180</v>
      </c>
      <c r="D3221" s="56">
        <v>3.053</v>
      </c>
    </row>
    <row r="3222" ht="15.75" customHeight="1">
      <c r="B3222" s="370">
        <f t="shared" si="2"/>
        <v>0.3725694444</v>
      </c>
      <c r="C3222" s="56">
        <f t="shared" si="3"/>
        <v>32190</v>
      </c>
      <c r="D3222" s="56">
        <v>3.371</v>
      </c>
    </row>
    <row r="3223" ht="15.75" customHeight="1">
      <c r="B3223" s="370">
        <f t="shared" si="2"/>
        <v>0.3726851852</v>
      </c>
      <c r="C3223" s="56">
        <f t="shared" si="3"/>
        <v>32200</v>
      </c>
      <c r="D3223" s="56">
        <v>3.305</v>
      </c>
    </row>
    <row r="3224" ht="15.75" customHeight="1">
      <c r="B3224" s="370">
        <f t="shared" si="2"/>
        <v>0.3728009259</v>
      </c>
      <c r="C3224" s="56">
        <f t="shared" si="3"/>
        <v>32210</v>
      </c>
      <c r="D3224" s="56">
        <v>3.206</v>
      </c>
    </row>
    <row r="3225" ht="15.75" customHeight="1">
      <c r="B3225" s="370">
        <f t="shared" si="2"/>
        <v>0.3729166667</v>
      </c>
      <c r="C3225" s="56">
        <f t="shared" si="3"/>
        <v>32220</v>
      </c>
      <c r="D3225" s="56">
        <v>3.008</v>
      </c>
    </row>
    <row r="3226" ht="15.75" customHeight="1">
      <c r="B3226" s="370">
        <f t="shared" si="2"/>
        <v>0.3730324074</v>
      </c>
      <c r="C3226" s="56">
        <f t="shared" si="3"/>
        <v>32230</v>
      </c>
      <c r="D3226" s="56">
        <v>2.573</v>
      </c>
    </row>
    <row r="3227" ht="15.75" customHeight="1">
      <c r="B3227" s="370">
        <f t="shared" si="2"/>
        <v>0.3731481481</v>
      </c>
      <c r="C3227" s="56">
        <f t="shared" si="3"/>
        <v>32240</v>
      </c>
      <c r="D3227" s="56">
        <v>2.701</v>
      </c>
    </row>
    <row r="3228" ht="15.75" customHeight="1">
      <c r="B3228" s="370">
        <f t="shared" si="2"/>
        <v>0.3732638889</v>
      </c>
      <c r="C3228" s="56">
        <f t="shared" si="3"/>
        <v>32250</v>
      </c>
      <c r="D3228" s="56">
        <v>2.746</v>
      </c>
    </row>
    <row r="3229" ht="15.75" customHeight="1">
      <c r="B3229" s="370">
        <f t="shared" si="2"/>
        <v>0.3733796296</v>
      </c>
      <c r="C3229" s="56">
        <f t="shared" si="3"/>
        <v>32260</v>
      </c>
      <c r="D3229" s="56">
        <v>2.7</v>
      </c>
    </row>
    <row r="3230" ht="15.75" customHeight="1">
      <c r="B3230" s="370">
        <f t="shared" si="2"/>
        <v>0.3734953704</v>
      </c>
      <c r="C3230" s="56">
        <f t="shared" si="3"/>
        <v>32270</v>
      </c>
      <c r="D3230" s="56">
        <v>2.649</v>
      </c>
    </row>
    <row r="3231" ht="15.75" customHeight="1">
      <c r="B3231" s="370">
        <f t="shared" si="2"/>
        <v>0.3736111111</v>
      </c>
      <c r="C3231" s="56">
        <f t="shared" si="3"/>
        <v>32280</v>
      </c>
      <c r="D3231" s="56">
        <v>2.415</v>
      </c>
    </row>
    <row r="3232" ht="15.75" customHeight="1">
      <c r="B3232" s="370">
        <f t="shared" si="2"/>
        <v>0.3737268519</v>
      </c>
      <c r="C3232" s="56">
        <f t="shared" si="3"/>
        <v>32290</v>
      </c>
      <c r="D3232" s="56">
        <v>2.98</v>
      </c>
    </row>
    <row r="3233" ht="15.75" customHeight="1">
      <c r="B3233" s="370">
        <f t="shared" si="2"/>
        <v>0.3738425926</v>
      </c>
      <c r="C3233" s="56">
        <f t="shared" si="3"/>
        <v>32300</v>
      </c>
      <c r="D3233" s="56">
        <v>3.334</v>
      </c>
    </row>
    <row r="3234" ht="15.75" customHeight="1">
      <c r="B3234" s="370">
        <f t="shared" si="2"/>
        <v>0.3739583333</v>
      </c>
      <c r="C3234" s="56">
        <f t="shared" si="3"/>
        <v>32310</v>
      </c>
      <c r="D3234" s="56">
        <v>3.386</v>
      </c>
    </row>
    <row r="3235" ht="15.75" customHeight="1">
      <c r="B3235" s="370">
        <f t="shared" si="2"/>
        <v>0.3740740741</v>
      </c>
      <c r="C3235" s="56">
        <f t="shared" si="3"/>
        <v>32320</v>
      </c>
      <c r="D3235" s="56">
        <v>3.453</v>
      </c>
    </row>
    <row r="3236" ht="15.75" customHeight="1">
      <c r="B3236" s="370">
        <f t="shared" si="2"/>
        <v>0.3741898148</v>
      </c>
      <c r="C3236" s="56">
        <f t="shared" si="3"/>
        <v>32330</v>
      </c>
      <c r="D3236" s="56">
        <v>3.228</v>
      </c>
    </row>
    <row r="3237" ht="15.75" customHeight="1">
      <c r="B3237" s="370">
        <f t="shared" si="2"/>
        <v>0.3743055556</v>
      </c>
      <c r="C3237" s="56">
        <f t="shared" si="3"/>
        <v>32340</v>
      </c>
      <c r="D3237" s="56">
        <v>2.662</v>
      </c>
    </row>
    <row r="3238" ht="15.75" customHeight="1">
      <c r="B3238" s="370">
        <f t="shared" si="2"/>
        <v>0.3744212963</v>
      </c>
      <c r="C3238" s="56">
        <f t="shared" si="3"/>
        <v>32350</v>
      </c>
      <c r="D3238" s="56">
        <v>2.118</v>
      </c>
    </row>
    <row r="3239" ht="15.75" customHeight="1">
      <c r="B3239" s="370">
        <f t="shared" si="2"/>
        <v>0.374537037</v>
      </c>
      <c r="C3239" s="56">
        <f t="shared" si="3"/>
        <v>32360</v>
      </c>
      <c r="D3239" s="56">
        <v>2.047</v>
      </c>
    </row>
    <row r="3240" ht="15.75" customHeight="1">
      <c r="B3240" s="370">
        <f t="shared" si="2"/>
        <v>0.3746527778</v>
      </c>
      <c r="C3240" s="56">
        <f t="shared" si="3"/>
        <v>32370</v>
      </c>
      <c r="D3240" s="56">
        <v>2.494</v>
      </c>
    </row>
    <row r="3241" ht="15.75" customHeight="1">
      <c r="B3241" s="370">
        <f t="shared" si="2"/>
        <v>0.3747685185</v>
      </c>
      <c r="C3241" s="56">
        <f t="shared" si="3"/>
        <v>32380</v>
      </c>
      <c r="D3241" s="56">
        <v>3.014</v>
      </c>
    </row>
    <row r="3242" ht="15.75" customHeight="1">
      <c r="B3242" s="370">
        <f t="shared" si="2"/>
        <v>0.3748842593</v>
      </c>
      <c r="C3242" s="56">
        <f t="shared" si="3"/>
        <v>32390</v>
      </c>
      <c r="D3242" s="56">
        <v>3.422</v>
      </c>
    </row>
    <row r="3243" ht="15.75" customHeight="1">
      <c r="B3243" s="370">
        <f t="shared" si="2"/>
        <v>0.375</v>
      </c>
      <c r="C3243" s="56">
        <f t="shared" si="3"/>
        <v>32400</v>
      </c>
      <c r="D3243" s="56">
        <v>3.4</v>
      </c>
    </row>
    <row r="3244" ht="15.75" customHeight="1">
      <c r="B3244" s="370">
        <f t="shared" si="2"/>
        <v>0.3751157407</v>
      </c>
      <c r="C3244" s="56">
        <f t="shared" si="3"/>
        <v>32410</v>
      </c>
      <c r="D3244" s="56">
        <v>3.35</v>
      </c>
    </row>
    <row r="3245" ht="15.75" customHeight="1">
      <c r="B3245" s="370">
        <f t="shared" si="2"/>
        <v>0.3752314815</v>
      </c>
      <c r="C3245" s="56">
        <f t="shared" si="3"/>
        <v>32420</v>
      </c>
      <c r="D3245" s="56">
        <v>3.168</v>
      </c>
    </row>
    <row r="3246" ht="15.75" customHeight="1">
      <c r="B3246" s="370">
        <f t="shared" si="2"/>
        <v>0.3753472222</v>
      </c>
      <c r="C3246" s="56">
        <f t="shared" si="3"/>
        <v>32430</v>
      </c>
      <c r="D3246" s="56">
        <v>2.441</v>
      </c>
    </row>
    <row r="3247" ht="15.75" customHeight="1">
      <c r="B3247" s="370">
        <f t="shared" si="2"/>
        <v>0.375462963</v>
      </c>
      <c r="C3247" s="56">
        <f t="shared" si="3"/>
        <v>32440</v>
      </c>
      <c r="D3247" s="56">
        <v>2.574</v>
      </c>
    </row>
    <row r="3248" ht="15.75" customHeight="1">
      <c r="B3248" s="370">
        <f t="shared" si="2"/>
        <v>0.3755787037</v>
      </c>
      <c r="C3248" s="56">
        <f t="shared" si="3"/>
        <v>32450</v>
      </c>
      <c r="D3248" s="56">
        <v>2.702</v>
      </c>
    </row>
    <row r="3249" ht="15.75" customHeight="1">
      <c r="B3249" s="370">
        <f t="shared" si="2"/>
        <v>0.3756944444</v>
      </c>
      <c r="C3249" s="56">
        <f t="shared" si="3"/>
        <v>32460</v>
      </c>
      <c r="D3249" s="56">
        <v>2.721</v>
      </c>
    </row>
    <row r="3250" ht="15.75" customHeight="1">
      <c r="B3250" s="370">
        <f t="shared" si="2"/>
        <v>0.3758101852</v>
      </c>
      <c r="C3250" s="56">
        <f t="shared" si="3"/>
        <v>32470</v>
      </c>
      <c r="D3250" s="56">
        <v>2.745</v>
      </c>
    </row>
    <row r="3251" ht="15.75" customHeight="1">
      <c r="B3251" s="370">
        <f t="shared" si="2"/>
        <v>0.3759259259</v>
      </c>
      <c r="C3251" s="56">
        <f t="shared" si="3"/>
        <v>32480</v>
      </c>
      <c r="D3251" s="56">
        <v>2.626</v>
      </c>
    </row>
    <row r="3252" ht="15.75" customHeight="1">
      <c r="B3252" s="370">
        <f t="shared" si="2"/>
        <v>0.3760416667</v>
      </c>
      <c r="C3252" s="56">
        <f t="shared" si="3"/>
        <v>32490</v>
      </c>
      <c r="D3252" s="56">
        <v>2.76</v>
      </c>
    </row>
    <row r="3253" ht="15.75" customHeight="1">
      <c r="B3253" s="370">
        <f t="shared" si="2"/>
        <v>0.3761574074</v>
      </c>
      <c r="C3253" s="56">
        <f t="shared" si="3"/>
        <v>32500</v>
      </c>
      <c r="D3253" s="56">
        <v>3.216</v>
      </c>
    </row>
    <row r="3254" ht="15.75" customHeight="1">
      <c r="B3254" s="370">
        <f t="shared" si="2"/>
        <v>0.3762731481</v>
      </c>
      <c r="C3254" s="56">
        <f t="shared" si="3"/>
        <v>32510</v>
      </c>
      <c r="D3254" s="56">
        <v>3.276</v>
      </c>
    </row>
    <row r="3255" ht="15.75" customHeight="1">
      <c r="B3255" s="370">
        <f t="shared" si="2"/>
        <v>0.3763888889</v>
      </c>
      <c r="C3255" s="56">
        <f t="shared" si="3"/>
        <v>32520</v>
      </c>
      <c r="D3255" s="56">
        <v>3.373</v>
      </c>
    </row>
    <row r="3256" ht="15.75" customHeight="1">
      <c r="B3256" s="370">
        <f t="shared" si="2"/>
        <v>0.3765046296</v>
      </c>
      <c r="C3256" s="56">
        <f t="shared" si="3"/>
        <v>32530</v>
      </c>
      <c r="D3256" s="56">
        <v>3.232</v>
      </c>
    </row>
    <row r="3257" ht="15.75" customHeight="1">
      <c r="B3257" s="370">
        <f t="shared" si="2"/>
        <v>0.3766203704</v>
      </c>
      <c r="C3257" s="56">
        <f t="shared" si="3"/>
        <v>32540</v>
      </c>
      <c r="D3257" s="56">
        <v>2.766</v>
      </c>
    </row>
    <row r="3258" ht="15.75" customHeight="1">
      <c r="B3258" s="370">
        <f t="shared" si="2"/>
        <v>0.3767361111</v>
      </c>
      <c r="C3258" s="56">
        <f t="shared" si="3"/>
        <v>32550</v>
      </c>
      <c r="D3258" s="56">
        <v>2.365</v>
      </c>
    </row>
    <row r="3259" ht="15.75" customHeight="1">
      <c r="B3259" s="370">
        <f t="shared" si="2"/>
        <v>0.3768518519</v>
      </c>
      <c r="C3259" s="56">
        <f t="shared" si="3"/>
        <v>32560</v>
      </c>
      <c r="D3259" s="56">
        <v>1.957</v>
      </c>
    </row>
    <row r="3260" ht="15.75" customHeight="1">
      <c r="B3260" s="370">
        <f t="shared" si="2"/>
        <v>0.3769675926</v>
      </c>
      <c r="C3260" s="56">
        <f t="shared" si="3"/>
        <v>32570</v>
      </c>
      <c r="D3260" s="56">
        <v>2.352</v>
      </c>
    </row>
    <row r="3261" ht="15.75" customHeight="1">
      <c r="B3261" s="370">
        <f t="shared" si="2"/>
        <v>0.3770833333</v>
      </c>
      <c r="C3261" s="56">
        <f t="shared" si="3"/>
        <v>32580</v>
      </c>
      <c r="D3261" s="56">
        <v>2.941</v>
      </c>
    </row>
    <row r="3262" ht="15.75" customHeight="1">
      <c r="B3262" s="370">
        <f t="shared" si="2"/>
        <v>0.3771990741</v>
      </c>
      <c r="C3262" s="56">
        <f t="shared" si="3"/>
        <v>32590</v>
      </c>
      <c r="D3262" s="56">
        <v>3.45</v>
      </c>
    </row>
    <row r="3263" ht="15.75" customHeight="1">
      <c r="B3263" s="370">
        <f t="shared" si="2"/>
        <v>0.3773148148</v>
      </c>
      <c r="C3263" s="56">
        <f t="shared" si="3"/>
        <v>32600</v>
      </c>
      <c r="D3263" s="56">
        <v>3.474</v>
      </c>
    </row>
    <row r="3264" ht="15.75" customHeight="1">
      <c r="B3264" s="370">
        <f t="shared" si="2"/>
        <v>0.3774305556</v>
      </c>
      <c r="C3264" s="56">
        <f t="shared" si="3"/>
        <v>32610</v>
      </c>
      <c r="D3264" s="56">
        <v>3.433</v>
      </c>
    </row>
    <row r="3265" ht="15.75" customHeight="1">
      <c r="B3265" s="370">
        <f t="shared" si="2"/>
        <v>0.3775462963</v>
      </c>
      <c r="C3265" s="56">
        <f t="shared" si="3"/>
        <v>32620</v>
      </c>
      <c r="D3265" s="56">
        <v>3.291</v>
      </c>
    </row>
    <row r="3266" ht="15.75" customHeight="1">
      <c r="B3266" s="370">
        <f t="shared" si="2"/>
        <v>0.377662037</v>
      </c>
      <c r="C3266" s="56">
        <f t="shared" si="3"/>
        <v>32630</v>
      </c>
      <c r="D3266" s="56">
        <v>2.519</v>
      </c>
    </row>
    <row r="3267" ht="15.75" customHeight="1">
      <c r="B3267" s="370">
        <f t="shared" si="2"/>
        <v>0.3777777778</v>
      </c>
      <c r="C3267" s="56">
        <f t="shared" si="3"/>
        <v>32640</v>
      </c>
      <c r="D3267" s="56">
        <v>2.413</v>
      </c>
    </row>
    <row r="3268" ht="15.75" customHeight="1">
      <c r="B3268" s="370">
        <f t="shared" si="2"/>
        <v>0.3778935185</v>
      </c>
      <c r="C3268" s="56">
        <f t="shared" si="3"/>
        <v>32650</v>
      </c>
      <c r="D3268" s="56">
        <v>2.625</v>
      </c>
    </row>
    <row r="3269" ht="15.75" customHeight="1">
      <c r="B3269" s="370">
        <f t="shared" si="2"/>
        <v>0.3780092593</v>
      </c>
      <c r="C3269" s="56">
        <f t="shared" si="3"/>
        <v>32660</v>
      </c>
      <c r="D3269" s="56">
        <v>2.707</v>
      </c>
    </row>
    <row r="3270" ht="15.75" customHeight="1">
      <c r="B3270" s="370">
        <f t="shared" si="2"/>
        <v>0.378125</v>
      </c>
      <c r="C3270" s="56">
        <f t="shared" si="3"/>
        <v>32670</v>
      </c>
      <c r="D3270" s="56">
        <v>2.808</v>
      </c>
    </row>
    <row r="3271" ht="15.75" customHeight="1">
      <c r="B3271" s="370">
        <f t="shared" si="2"/>
        <v>0.3782407407</v>
      </c>
      <c r="C3271" s="56">
        <f t="shared" si="3"/>
        <v>32680</v>
      </c>
      <c r="D3271" s="56">
        <v>2.744</v>
      </c>
    </row>
    <row r="3272" ht="15.75" customHeight="1">
      <c r="B3272" s="370">
        <f t="shared" si="2"/>
        <v>0.3783564815</v>
      </c>
      <c r="C3272" s="56">
        <f t="shared" si="3"/>
        <v>32690</v>
      </c>
      <c r="D3272" s="56">
        <v>2.745</v>
      </c>
    </row>
    <row r="3273" ht="15.75" customHeight="1">
      <c r="B3273" s="370">
        <f t="shared" si="2"/>
        <v>0.3784722222</v>
      </c>
      <c r="C3273" s="56">
        <f t="shared" si="3"/>
        <v>32700</v>
      </c>
      <c r="D3273" s="56">
        <v>3.009</v>
      </c>
    </row>
    <row r="3274" ht="15.75" customHeight="1">
      <c r="B3274" s="370">
        <f t="shared" si="2"/>
        <v>0.378587963</v>
      </c>
      <c r="C3274" s="56">
        <f t="shared" si="3"/>
        <v>32710</v>
      </c>
      <c r="D3274" s="56">
        <v>3.16</v>
      </c>
    </row>
    <row r="3275" ht="15.75" customHeight="1">
      <c r="B3275" s="370">
        <f t="shared" si="2"/>
        <v>0.3787037037</v>
      </c>
      <c r="C3275" s="56">
        <f t="shared" si="3"/>
        <v>32720</v>
      </c>
      <c r="D3275" s="56">
        <v>3.275</v>
      </c>
    </row>
    <row r="3276" ht="15.75" customHeight="1">
      <c r="B3276" s="370">
        <f t="shared" si="2"/>
        <v>0.3788194444</v>
      </c>
      <c r="C3276" s="56">
        <f t="shared" si="3"/>
        <v>32730</v>
      </c>
      <c r="D3276" s="56">
        <v>3.201</v>
      </c>
    </row>
    <row r="3277" ht="15.75" customHeight="1">
      <c r="B3277" s="370">
        <f t="shared" si="2"/>
        <v>0.3789351852</v>
      </c>
      <c r="C3277" s="56">
        <f t="shared" si="3"/>
        <v>32740</v>
      </c>
      <c r="D3277" s="56">
        <v>2.835</v>
      </c>
    </row>
    <row r="3278" ht="15.75" customHeight="1">
      <c r="B3278" s="370">
        <f t="shared" si="2"/>
        <v>0.3790509259</v>
      </c>
      <c r="C3278" s="56">
        <f t="shared" si="3"/>
        <v>32750</v>
      </c>
      <c r="D3278" s="56">
        <v>2.513</v>
      </c>
    </row>
    <row r="3279" ht="15.75" customHeight="1">
      <c r="B3279" s="370">
        <f t="shared" si="2"/>
        <v>0.3791666667</v>
      </c>
      <c r="C3279" s="56">
        <f t="shared" si="3"/>
        <v>32760</v>
      </c>
      <c r="D3279" s="56">
        <v>2.192</v>
      </c>
    </row>
    <row r="3280" ht="15.75" customHeight="1">
      <c r="B3280" s="370">
        <f t="shared" si="2"/>
        <v>0.3792824074</v>
      </c>
      <c r="C3280" s="56">
        <f t="shared" si="3"/>
        <v>32770</v>
      </c>
      <c r="D3280" s="56">
        <v>2.12</v>
      </c>
    </row>
    <row r="3281" ht="15.75" customHeight="1">
      <c r="B3281" s="370">
        <f t="shared" si="2"/>
        <v>0.3793981481</v>
      </c>
      <c r="C3281" s="56">
        <f t="shared" si="3"/>
        <v>32780</v>
      </c>
      <c r="D3281" s="56">
        <v>2.833</v>
      </c>
    </row>
    <row r="3282" ht="15.75" customHeight="1">
      <c r="B3282" s="370">
        <f t="shared" si="2"/>
        <v>0.3795138889</v>
      </c>
      <c r="C3282" s="56">
        <f t="shared" si="3"/>
        <v>32790</v>
      </c>
      <c r="D3282" s="56">
        <v>3.438</v>
      </c>
    </row>
    <row r="3283" ht="15.75" customHeight="1">
      <c r="B3283" s="370">
        <f t="shared" si="2"/>
        <v>0.3796296296</v>
      </c>
      <c r="C3283" s="56">
        <f t="shared" si="3"/>
        <v>32800</v>
      </c>
      <c r="D3283" s="56">
        <v>3.514</v>
      </c>
    </row>
    <row r="3284" ht="15.75" customHeight="1">
      <c r="B3284" s="370">
        <f t="shared" si="2"/>
        <v>0.3797453704</v>
      </c>
      <c r="C3284" s="56">
        <f t="shared" si="3"/>
        <v>32810</v>
      </c>
      <c r="D3284" s="56">
        <v>3.485</v>
      </c>
    </row>
    <row r="3285" ht="15.75" customHeight="1">
      <c r="B3285" s="370">
        <f t="shared" si="2"/>
        <v>0.3798611111</v>
      </c>
      <c r="C3285" s="56">
        <f t="shared" si="3"/>
        <v>32820</v>
      </c>
      <c r="D3285" s="56">
        <v>3.391</v>
      </c>
    </row>
    <row r="3286" ht="15.75" customHeight="1">
      <c r="B3286" s="370">
        <f t="shared" si="2"/>
        <v>0.3799768519</v>
      </c>
      <c r="C3286" s="56">
        <f t="shared" si="3"/>
        <v>32830</v>
      </c>
      <c r="D3286" s="56">
        <v>2.788</v>
      </c>
    </row>
    <row r="3287" ht="15.75" customHeight="1">
      <c r="B3287" s="370">
        <f t="shared" si="2"/>
        <v>0.3800925926</v>
      </c>
      <c r="C3287" s="56">
        <f t="shared" si="3"/>
        <v>32840</v>
      </c>
      <c r="D3287" s="56">
        <v>2.142</v>
      </c>
    </row>
    <row r="3288" ht="15.75" customHeight="1">
      <c r="B3288" s="370">
        <f t="shared" si="2"/>
        <v>0.3802083333</v>
      </c>
      <c r="C3288" s="56">
        <f t="shared" si="3"/>
        <v>32850</v>
      </c>
      <c r="D3288" s="56">
        <v>2.512</v>
      </c>
    </row>
    <row r="3289" ht="15.75" customHeight="1">
      <c r="B3289" s="370">
        <f t="shared" si="2"/>
        <v>0.3803240741</v>
      </c>
      <c r="C3289" s="56">
        <f t="shared" si="3"/>
        <v>32860</v>
      </c>
      <c r="D3289" s="56">
        <v>2.661</v>
      </c>
    </row>
    <row r="3290" ht="15.75" customHeight="1">
      <c r="B3290" s="370">
        <f t="shared" si="2"/>
        <v>0.3804398148</v>
      </c>
      <c r="C3290" s="56">
        <f t="shared" si="3"/>
        <v>32870</v>
      </c>
      <c r="D3290" s="56">
        <v>2.835</v>
      </c>
    </row>
    <row r="3291" ht="15.75" customHeight="1">
      <c r="B3291" s="370">
        <f t="shared" si="2"/>
        <v>0.3805555556</v>
      </c>
      <c r="C3291" s="56">
        <f t="shared" si="3"/>
        <v>32880</v>
      </c>
      <c r="D3291" s="56">
        <v>2.902</v>
      </c>
    </row>
    <row r="3292" ht="15.75" customHeight="1">
      <c r="B3292" s="370">
        <f t="shared" si="2"/>
        <v>0.3806712963</v>
      </c>
      <c r="C3292" s="56">
        <f t="shared" si="3"/>
        <v>32890</v>
      </c>
      <c r="D3292" s="56">
        <v>2.916</v>
      </c>
    </row>
    <row r="3293" ht="15.75" customHeight="1">
      <c r="B3293" s="370">
        <f t="shared" si="2"/>
        <v>0.380787037</v>
      </c>
      <c r="C3293" s="56">
        <f t="shared" si="3"/>
        <v>32900</v>
      </c>
      <c r="D3293" s="56">
        <v>2.908</v>
      </c>
    </row>
    <row r="3294" ht="15.75" customHeight="1">
      <c r="B3294" s="370">
        <f t="shared" si="2"/>
        <v>0.3809027778</v>
      </c>
      <c r="C3294" s="56">
        <f t="shared" si="3"/>
        <v>32910</v>
      </c>
      <c r="D3294" s="56">
        <v>2.977</v>
      </c>
    </row>
    <row r="3295" ht="15.75" customHeight="1">
      <c r="B3295" s="370">
        <f t="shared" si="2"/>
        <v>0.3810185185</v>
      </c>
      <c r="C3295" s="56">
        <f t="shared" si="3"/>
        <v>32920</v>
      </c>
      <c r="D3295" s="56">
        <v>3.136</v>
      </c>
    </row>
    <row r="3296" ht="15.75" customHeight="1">
      <c r="B3296" s="370">
        <f t="shared" si="2"/>
        <v>0.3811342593</v>
      </c>
      <c r="C3296" s="56">
        <f t="shared" si="3"/>
        <v>32930</v>
      </c>
      <c r="D3296" s="56">
        <v>3.136</v>
      </c>
    </row>
    <row r="3297" ht="15.75" customHeight="1">
      <c r="B3297" s="370">
        <f t="shared" si="2"/>
        <v>0.38125</v>
      </c>
      <c r="C3297" s="56">
        <f t="shared" si="3"/>
        <v>32940</v>
      </c>
      <c r="D3297" s="56">
        <v>2.868</v>
      </c>
    </row>
    <row r="3298" ht="15.75" customHeight="1">
      <c r="B3298" s="370">
        <f t="shared" si="2"/>
        <v>0.3813657407</v>
      </c>
      <c r="C3298" s="56">
        <f t="shared" si="3"/>
        <v>32950</v>
      </c>
      <c r="D3298" s="56">
        <v>2.621</v>
      </c>
    </row>
    <row r="3299" ht="15.75" customHeight="1">
      <c r="B3299" s="370">
        <f t="shared" si="2"/>
        <v>0.3814814815</v>
      </c>
      <c r="C3299" s="56">
        <f t="shared" si="3"/>
        <v>32960</v>
      </c>
      <c r="D3299" s="56">
        <v>2.317</v>
      </c>
    </row>
    <row r="3300" ht="15.75" customHeight="1">
      <c r="B3300" s="370">
        <f t="shared" si="2"/>
        <v>0.3815972222</v>
      </c>
      <c r="C3300" s="56">
        <f t="shared" si="3"/>
        <v>32970</v>
      </c>
      <c r="D3300" s="56">
        <v>2.06</v>
      </c>
    </row>
    <row r="3301" ht="15.75" customHeight="1">
      <c r="B3301" s="370">
        <f t="shared" si="2"/>
        <v>0.381712963</v>
      </c>
      <c r="C3301" s="56">
        <f t="shared" si="3"/>
        <v>32980</v>
      </c>
      <c r="D3301" s="56">
        <v>2.657</v>
      </c>
    </row>
    <row r="3302" ht="15.75" customHeight="1">
      <c r="B3302" s="370">
        <f t="shared" si="2"/>
        <v>0.3818287037</v>
      </c>
      <c r="C3302" s="56">
        <f t="shared" si="3"/>
        <v>32990</v>
      </c>
      <c r="D3302" s="56">
        <v>3.387</v>
      </c>
    </row>
    <row r="3303" ht="15.75" customHeight="1">
      <c r="B3303" s="370">
        <f t="shared" si="2"/>
        <v>0.3819444444</v>
      </c>
      <c r="C3303" s="56">
        <f t="shared" si="3"/>
        <v>33000</v>
      </c>
      <c r="D3303" s="56">
        <v>3.523</v>
      </c>
    </row>
    <row r="3304" ht="15.75" customHeight="1">
      <c r="B3304" s="370">
        <f t="shared" si="2"/>
        <v>0.3820601852</v>
      </c>
      <c r="C3304" s="56">
        <f t="shared" si="3"/>
        <v>33010</v>
      </c>
      <c r="D3304" s="56">
        <v>3.515</v>
      </c>
    </row>
    <row r="3305" ht="15.75" customHeight="1">
      <c r="B3305" s="370">
        <f t="shared" si="2"/>
        <v>0.3821759259</v>
      </c>
      <c r="C3305" s="56">
        <f t="shared" si="3"/>
        <v>33020</v>
      </c>
      <c r="D3305" s="56">
        <v>3.463</v>
      </c>
    </row>
    <row r="3306" ht="15.75" customHeight="1">
      <c r="B3306" s="370">
        <f t="shared" si="2"/>
        <v>0.3822916667</v>
      </c>
      <c r="C3306" s="56">
        <f t="shared" si="3"/>
        <v>33030</v>
      </c>
      <c r="D3306" s="56">
        <v>2.95</v>
      </c>
    </row>
    <row r="3307" ht="15.75" customHeight="1">
      <c r="B3307" s="370">
        <f t="shared" si="2"/>
        <v>0.3824074074</v>
      </c>
      <c r="C3307" s="56">
        <f t="shared" si="3"/>
        <v>33040</v>
      </c>
      <c r="D3307" s="56">
        <v>2.053</v>
      </c>
    </row>
    <row r="3308" ht="15.75" customHeight="1">
      <c r="B3308" s="370">
        <f t="shared" si="2"/>
        <v>0.3825231481</v>
      </c>
      <c r="C3308" s="56">
        <f t="shared" si="3"/>
        <v>33050</v>
      </c>
      <c r="D3308" s="56">
        <v>2.365</v>
      </c>
    </row>
    <row r="3309" ht="15.75" customHeight="1">
      <c r="B3309" s="370">
        <f t="shared" si="2"/>
        <v>0.3826388889</v>
      </c>
      <c r="C3309" s="56">
        <f t="shared" si="3"/>
        <v>33060</v>
      </c>
      <c r="D3309" s="56">
        <v>2.579</v>
      </c>
    </row>
    <row r="3310" ht="15.75" customHeight="1">
      <c r="B3310" s="370">
        <f t="shared" si="2"/>
        <v>0.3827546296</v>
      </c>
      <c r="C3310" s="56">
        <f t="shared" si="3"/>
        <v>33070</v>
      </c>
      <c r="D3310" s="56">
        <v>2.825</v>
      </c>
    </row>
    <row r="3311" ht="15.75" customHeight="1">
      <c r="B3311" s="370">
        <f t="shared" si="2"/>
        <v>0.3828703704</v>
      </c>
      <c r="C3311" s="56">
        <f t="shared" si="3"/>
        <v>33080</v>
      </c>
      <c r="D3311" s="56">
        <v>2.991</v>
      </c>
    </row>
    <row r="3312" ht="15.75" customHeight="1">
      <c r="B3312" s="370">
        <f t="shared" si="2"/>
        <v>0.3829861111</v>
      </c>
      <c r="C3312" s="56">
        <f t="shared" si="3"/>
        <v>33090</v>
      </c>
      <c r="D3312" s="56">
        <v>3.094</v>
      </c>
    </row>
    <row r="3313" ht="15.75" customHeight="1">
      <c r="B3313" s="370">
        <f t="shared" si="2"/>
        <v>0.3831018519</v>
      </c>
      <c r="C3313" s="56">
        <f t="shared" si="3"/>
        <v>33100</v>
      </c>
      <c r="D3313" s="56">
        <v>2.885</v>
      </c>
    </row>
    <row r="3314" ht="15.75" customHeight="1">
      <c r="B3314" s="370">
        <f t="shared" si="2"/>
        <v>0.3832175926</v>
      </c>
      <c r="C3314" s="56">
        <f t="shared" si="3"/>
        <v>33110</v>
      </c>
      <c r="D3314" s="56">
        <v>2.879</v>
      </c>
    </row>
    <row r="3315" ht="15.75" customHeight="1">
      <c r="B3315" s="370">
        <f t="shared" si="2"/>
        <v>0.3833333333</v>
      </c>
      <c r="C3315" s="56">
        <f t="shared" si="3"/>
        <v>33120</v>
      </c>
      <c r="D3315" s="56">
        <v>2.907</v>
      </c>
    </row>
    <row r="3316" ht="15.75" customHeight="1">
      <c r="B3316" s="370">
        <f t="shared" si="2"/>
        <v>0.3834490741</v>
      </c>
      <c r="C3316" s="56">
        <f t="shared" si="3"/>
        <v>33130</v>
      </c>
      <c r="D3316" s="56">
        <v>3.03</v>
      </c>
    </row>
    <row r="3317" ht="15.75" customHeight="1">
      <c r="B3317" s="370">
        <f t="shared" si="2"/>
        <v>0.3835648148</v>
      </c>
      <c r="C3317" s="56">
        <f t="shared" si="3"/>
        <v>33140</v>
      </c>
      <c r="D3317" s="56">
        <v>2.865</v>
      </c>
    </row>
    <row r="3318" ht="15.75" customHeight="1">
      <c r="B3318" s="370">
        <f t="shared" si="2"/>
        <v>0.3836805556</v>
      </c>
      <c r="C3318" s="56">
        <f t="shared" si="3"/>
        <v>33150</v>
      </c>
      <c r="D3318" s="56">
        <v>2.702</v>
      </c>
    </row>
    <row r="3319" ht="15.75" customHeight="1">
      <c r="B3319" s="370">
        <f t="shared" si="2"/>
        <v>0.3837962963</v>
      </c>
      <c r="C3319" s="56">
        <f t="shared" si="3"/>
        <v>33160</v>
      </c>
      <c r="D3319" s="56">
        <v>2.499</v>
      </c>
    </row>
    <row r="3320" ht="15.75" customHeight="1">
      <c r="B3320" s="370">
        <f t="shared" si="2"/>
        <v>0.383912037</v>
      </c>
      <c r="C3320" s="56">
        <f t="shared" si="3"/>
        <v>33170</v>
      </c>
      <c r="D3320" s="56">
        <v>2.25</v>
      </c>
    </row>
    <row r="3321" ht="15.75" customHeight="1">
      <c r="B3321" s="370">
        <f t="shared" si="2"/>
        <v>0.3840277778</v>
      </c>
      <c r="C3321" s="56">
        <f t="shared" si="3"/>
        <v>33180</v>
      </c>
      <c r="D3321" s="56">
        <v>2.518</v>
      </c>
    </row>
    <row r="3322" ht="15.75" customHeight="1">
      <c r="B3322" s="370">
        <f t="shared" si="2"/>
        <v>0.3841435185</v>
      </c>
      <c r="C3322" s="56">
        <f t="shared" si="3"/>
        <v>33190</v>
      </c>
      <c r="D3322" s="56">
        <v>3.314</v>
      </c>
    </row>
    <row r="3323" ht="15.75" customHeight="1">
      <c r="B3323" s="370">
        <f t="shared" si="2"/>
        <v>0.3842592593</v>
      </c>
      <c r="C3323" s="56">
        <f t="shared" si="3"/>
        <v>33200</v>
      </c>
      <c r="D3323" s="56">
        <v>3.505</v>
      </c>
    </row>
    <row r="3324" ht="15.75" customHeight="1">
      <c r="B3324" s="370">
        <f t="shared" si="2"/>
        <v>0.384375</v>
      </c>
      <c r="C3324" s="56">
        <f t="shared" si="3"/>
        <v>33210</v>
      </c>
      <c r="D3324" s="56">
        <v>3.513</v>
      </c>
    </row>
    <row r="3325" ht="15.75" customHeight="1">
      <c r="B3325" s="370">
        <f t="shared" si="2"/>
        <v>0.3844907407</v>
      </c>
      <c r="C3325" s="56">
        <f t="shared" si="3"/>
        <v>33220</v>
      </c>
      <c r="D3325" s="56">
        <v>3.498</v>
      </c>
    </row>
    <row r="3326" ht="15.75" customHeight="1">
      <c r="B3326" s="370">
        <f t="shared" si="2"/>
        <v>0.3846064815</v>
      </c>
      <c r="C3326" s="56">
        <f t="shared" si="3"/>
        <v>33230</v>
      </c>
      <c r="D3326" s="56">
        <v>3.066</v>
      </c>
    </row>
    <row r="3327" ht="15.75" customHeight="1">
      <c r="B3327" s="370">
        <f t="shared" si="2"/>
        <v>0.3847222222</v>
      </c>
      <c r="C3327" s="56">
        <f t="shared" si="3"/>
        <v>33240</v>
      </c>
      <c r="D3327" s="56">
        <v>2.179</v>
      </c>
    </row>
    <row r="3328" ht="15.75" customHeight="1">
      <c r="B3328" s="370">
        <f t="shared" si="2"/>
        <v>0.384837963</v>
      </c>
      <c r="C3328" s="56">
        <f t="shared" si="3"/>
        <v>33250</v>
      </c>
      <c r="D3328" s="56">
        <v>2.192</v>
      </c>
    </row>
    <row r="3329" ht="15.75" customHeight="1">
      <c r="B3329" s="370">
        <f t="shared" si="2"/>
        <v>0.3849537037</v>
      </c>
      <c r="C3329" s="56">
        <f t="shared" si="3"/>
        <v>33260</v>
      </c>
      <c r="D3329" s="56">
        <v>2.453</v>
      </c>
    </row>
    <row r="3330" ht="15.75" customHeight="1">
      <c r="B3330" s="370">
        <f t="shared" si="2"/>
        <v>0.3850694444</v>
      </c>
      <c r="C3330" s="56">
        <f t="shared" si="3"/>
        <v>33270</v>
      </c>
      <c r="D3330" s="56">
        <v>2.778</v>
      </c>
    </row>
    <row r="3331" ht="15.75" customHeight="1">
      <c r="B3331" s="370">
        <f t="shared" si="2"/>
        <v>0.3851851852</v>
      </c>
      <c r="C3331" s="56">
        <f t="shared" si="3"/>
        <v>33280</v>
      </c>
      <c r="D3331" s="56">
        <v>3.041</v>
      </c>
    </row>
    <row r="3332" ht="15.75" customHeight="1">
      <c r="B3332" s="370">
        <f t="shared" si="2"/>
        <v>0.3853009259</v>
      </c>
      <c r="C3332" s="56">
        <f t="shared" si="3"/>
        <v>33290</v>
      </c>
      <c r="D3332" s="56">
        <v>3.208</v>
      </c>
    </row>
    <row r="3333" ht="15.75" customHeight="1">
      <c r="B3333" s="370">
        <f t="shared" si="2"/>
        <v>0.3854166667</v>
      </c>
      <c r="C3333" s="56">
        <f t="shared" si="3"/>
        <v>33300</v>
      </c>
      <c r="D3333" s="56">
        <v>3.117</v>
      </c>
    </row>
    <row r="3334" ht="15.75" customHeight="1">
      <c r="B3334" s="370">
        <f t="shared" si="2"/>
        <v>0.3855324074</v>
      </c>
      <c r="C3334" s="56">
        <f t="shared" si="3"/>
        <v>33310</v>
      </c>
      <c r="D3334" s="56">
        <v>3.01</v>
      </c>
    </row>
    <row r="3335" ht="15.75" customHeight="1">
      <c r="B3335" s="370">
        <f t="shared" si="2"/>
        <v>0.3856481481</v>
      </c>
      <c r="C3335" s="56">
        <f t="shared" si="3"/>
        <v>33320</v>
      </c>
      <c r="D3335" s="56">
        <v>2.796</v>
      </c>
    </row>
    <row r="3336" ht="15.75" customHeight="1">
      <c r="B3336" s="370">
        <f t="shared" si="2"/>
        <v>0.3857638889</v>
      </c>
      <c r="C3336" s="56">
        <f t="shared" si="3"/>
        <v>33330</v>
      </c>
      <c r="D3336" s="56">
        <v>2.899</v>
      </c>
    </row>
    <row r="3337" ht="15.75" customHeight="1">
      <c r="B3337" s="370">
        <f t="shared" si="2"/>
        <v>0.3858796296</v>
      </c>
      <c r="C3337" s="56">
        <f t="shared" si="3"/>
        <v>33340</v>
      </c>
      <c r="D3337" s="56">
        <v>2.824</v>
      </c>
    </row>
    <row r="3338" ht="15.75" customHeight="1">
      <c r="B3338" s="370">
        <f t="shared" si="2"/>
        <v>0.3859953704</v>
      </c>
      <c r="C3338" s="56">
        <f t="shared" si="3"/>
        <v>33350</v>
      </c>
      <c r="D3338" s="56">
        <v>2.744</v>
      </c>
    </row>
    <row r="3339" ht="15.75" customHeight="1">
      <c r="B3339" s="370">
        <f t="shared" si="2"/>
        <v>0.3861111111</v>
      </c>
      <c r="C3339" s="56">
        <f t="shared" si="3"/>
        <v>33360</v>
      </c>
      <c r="D3339" s="56">
        <v>2.606</v>
      </c>
    </row>
    <row r="3340" ht="15.75" customHeight="1">
      <c r="B3340" s="370">
        <f t="shared" si="2"/>
        <v>0.3862268519</v>
      </c>
      <c r="C3340" s="56">
        <f t="shared" si="3"/>
        <v>33370</v>
      </c>
      <c r="D3340" s="56">
        <v>2.444</v>
      </c>
    </row>
    <row r="3341" ht="15.75" customHeight="1">
      <c r="B3341" s="370">
        <f t="shared" si="2"/>
        <v>0.3863425926</v>
      </c>
      <c r="C3341" s="56">
        <f t="shared" si="3"/>
        <v>33380</v>
      </c>
      <c r="D3341" s="56">
        <v>2.27</v>
      </c>
    </row>
    <row r="3342" ht="15.75" customHeight="1">
      <c r="B3342" s="370">
        <f t="shared" si="2"/>
        <v>0.3864583333</v>
      </c>
      <c r="C3342" s="56">
        <f t="shared" si="3"/>
        <v>33390</v>
      </c>
      <c r="D3342" s="56">
        <v>3.201</v>
      </c>
    </row>
    <row r="3343" ht="15.75" customHeight="1">
      <c r="B3343" s="370">
        <f t="shared" si="2"/>
        <v>0.3865740741</v>
      </c>
      <c r="C3343" s="56">
        <f t="shared" si="3"/>
        <v>33400</v>
      </c>
      <c r="D3343" s="56">
        <v>3.459</v>
      </c>
    </row>
    <row r="3344" ht="15.75" customHeight="1">
      <c r="B3344" s="370">
        <f t="shared" si="2"/>
        <v>0.3866898148</v>
      </c>
      <c r="C3344" s="56">
        <f t="shared" si="3"/>
        <v>33410</v>
      </c>
      <c r="D3344" s="56">
        <v>3.479</v>
      </c>
    </row>
    <row r="3345" ht="15.75" customHeight="1">
      <c r="B3345" s="370">
        <f t="shared" si="2"/>
        <v>0.3868055556</v>
      </c>
      <c r="C3345" s="56">
        <f t="shared" si="3"/>
        <v>33420</v>
      </c>
      <c r="D3345" s="56">
        <v>3.501</v>
      </c>
    </row>
    <row r="3346" ht="15.75" customHeight="1">
      <c r="B3346" s="370">
        <f t="shared" si="2"/>
        <v>0.3869212963</v>
      </c>
      <c r="C3346" s="56">
        <f t="shared" si="3"/>
        <v>33430</v>
      </c>
      <c r="D3346" s="56">
        <v>3.16</v>
      </c>
    </row>
    <row r="3347" ht="15.75" customHeight="1">
      <c r="B3347" s="370">
        <f t="shared" si="2"/>
        <v>0.387037037</v>
      </c>
      <c r="C3347" s="56">
        <f t="shared" si="3"/>
        <v>33440</v>
      </c>
      <c r="D3347" s="56">
        <v>2.449</v>
      </c>
    </row>
    <row r="3348" ht="15.75" customHeight="1">
      <c r="B3348" s="370">
        <f t="shared" si="2"/>
        <v>0.3871527778</v>
      </c>
      <c r="C3348" s="56">
        <f t="shared" si="3"/>
        <v>33450</v>
      </c>
      <c r="D3348" s="56">
        <v>1.956</v>
      </c>
    </row>
    <row r="3349" ht="15.75" customHeight="1">
      <c r="B3349" s="370">
        <f t="shared" si="2"/>
        <v>0.3872685185</v>
      </c>
      <c r="C3349" s="56">
        <f t="shared" si="3"/>
        <v>33460</v>
      </c>
      <c r="D3349" s="56">
        <v>2.312</v>
      </c>
    </row>
    <row r="3350" ht="15.75" customHeight="1">
      <c r="B3350" s="370">
        <f t="shared" si="2"/>
        <v>0.3873842593</v>
      </c>
      <c r="C3350" s="56">
        <f t="shared" si="3"/>
        <v>33470</v>
      </c>
      <c r="D3350" s="56">
        <v>2.698</v>
      </c>
    </row>
    <row r="3351" ht="15.75" customHeight="1">
      <c r="B3351" s="370">
        <f t="shared" si="2"/>
        <v>0.3875</v>
      </c>
      <c r="C3351" s="56">
        <f t="shared" si="3"/>
        <v>33480</v>
      </c>
      <c r="D3351" s="56">
        <v>3.058</v>
      </c>
    </row>
    <row r="3352" ht="15.75" customHeight="1">
      <c r="B3352" s="370">
        <f t="shared" si="2"/>
        <v>0.3876157407</v>
      </c>
      <c r="C3352" s="56">
        <f t="shared" si="3"/>
        <v>33490</v>
      </c>
      <c r="D3352" s="56">
        <v>3.335</v>
      </c>
    </row>
    <row r="3353" ht="15.75" customHeight="1">
      <c r="B3353" s="370">
        <f t="shared" si="2"/>
        <v>0.3877314815</v>
      </c>
      <c r="C3353" s="56">
        <f t="shared" si="3"/>
        <v>33500</v>
      </c>
      <c r="D3353" s="56">
        <v>3.253</v>
      </c>
    </row>
    <row r="3354" ht="15.75" customHeight="1">
      <c r="B3354" s="370">
        <f t="shared" si="2"/>
        <v>0.3878472222</v>
      </c>
      <c r="C3354" s="56">
        <f t="shared" si="3"/>
        <v>33510</v>
      </c>
      <c r="D3354" s="56">
        <v>3.179</v>
      </c>
    </row>
    <row r="3355" ht="15.75" customHeight="1">
      <c r="B3355" s="370">
        <f t="shared" si="2"/>
        <v>0.387962963</v>
      </c>
      <c r="C3355" s="56">
        <f t="shared" si="3"/>
        <v>33520</v>
      </c>
      <c r="D3355" s="56">
        <v>2.848</v>
      </c>
    </row>
    <row r="3356" ht="15.75" customHeight="1">
      <c r="B3356" s="370">
        <f t="shared" si="2"/>
        <v>0.3880787037</v>
      </c>
      <c r="C3356" s="56">
        <f t="shared" si="3"/>
        <v>33530</v>
      </c>
      <c r="D3356" s="56">
        <v>2.731</v>
      </c>
    </row>
    <row r="3357" ht="15.75" customHeight="1">
      <c r="B3357" s="370">
        <f t="shared" si="2"/>
        <v>0.3881944444</v>
      </c>
      <c r="C3357" s="56">
        <f t="shared" si="3"/>
        <v>33540</v>
      </c>
      <c r="D3357" s="56">
        <v>2.747</v>
      </c>
    </row>
    <row r="3358" ht="15.75" customHeight="1">
      <c r="B3358" s="370">
        <f t="shared" si="2"/>
        <v>0.3883101852</v>
      </c>
      <c r="C3358" s="56">
        <f t="shared" si="3"/>
        <v>33550</v>
      </c>
      <c r="D3358" s="56">
        <v>2.752</v>
      </c>
    </row>
    <row r="3359" ht="15.75" customHeight="1">
      <c r="B3359" s="370">
        <f t="shared" si="2"/>
        <v>0.3884259259</v>
      </c>
      <c r="C3359" s="56">
        <f t="shared" si="3"/>
        <v>33560</v>
      </c>
      <c r="D3359" s="56">
        <v>2.677</v>
      </c>
    </row>
    <row r="3360" ht="15.75" customHeight="1">
      <c r="B3360" s="370">
        <f t="shared" si="2"/>
        <v>0.3885416667</v>
      </c>
      <c r="C3360" s="56">
        <f t="shared" si="3"/>
        <v>33570</v>
      </c>
      <c r="D3360" s="56">
        <v>2.562</v>
      </c>
    </row>
    <row r="3361" ht="15.75" customHeight="1">
      <c r="B3361" s="370">
        <f t="shared" si="2"/>
        <v>0.3886574074</v>
      </c>
      <c r="C3361" s="56">
        <f t="shared" si="3"/>
        <v>33580</v>
      </c>
      <c r="D3361" s="56">
        <v>2.348</v>
      </c>
    </row>
    <row r="3362" ht="15.75" customHeight="1">
      <c r="B3362" s="370">
        <f t="shared" si="2"/>
        <v>0.3887731481</v>
      </c>
      <c r="C3362" s="56">
        <f t="shared" si="3"/>
        <v>33590</v>
      </c>
      <c r="D3362" s="56">
        <v>3.023</v>
      </c>
    </row>
    <row r="3363" ht="15.75" customHeight="1">
      <c r="B3363" s="370">
        <f t="shared" si="2"/>
        <v>0.3888888889</v>
      </c>
      <c r="C3363" s="56">
        <f t="shared" si="3"/>
        <v>33600</v>
      </c>
      <c r="D3363" s="56">
        <v>3.379</v>
      </c>
    </row>
    <row r="3364" ht="15.75" customHeight="1">
      <c r="B3364" s="370">
        <f t="shared" si="2"/>
        <v>0.3890046296</v>
      </c>
      <c r="C3364" s="56">
        <f t="shared" si="3"/>
        <v>33610</v>
      </c>
      <c r="D3364" s="56">
        <v>3.425</v>
      </c>
    </row>
    <row r="3365" ht="15.75" customHeight="1">
      <c r="B3365" s="370">
        <f t="shared" si="2"/>
        <v>0.3891203704</v>
      </c>
      <c r="C3365" s="56">
        <f t="shared" si="3"/>
        <v>33620</v>
      </c>
      <c r="D3365" s="56">
        <v>3.475</v>
      </c>
    </row>
    <row r="3366" ht="15.75" customHeight="1">
      <c r="B3366" s="370">
        <f t="shared" si="2"/>
        <v>0.3892361111</v>
      </c>
      <c r="C3366" s="56">
        <f t="shared" si="3"/>
        <v>33630</v>
      </c>
      <c r="D3366" s="56">
        <v>3.216</v>
      </c>
    </row>
    <row r="3367" ht="15.75" customHeight="1">
      <c r="B3367" s="370">
        <f t="shared" si="2"/>
        <v>0.3893518519</v>
      </c>
      <c r="C3367" s="56">
        <f t="shared" si="3"/>
        <v>33640</v>
      </c>
      <c r="D3367" s="56">
        <v>2.603</v>
      </c>
    </row>
    <row r="3368" ht="15.75" customHeight="1">
      <c r="B3368" s="370">
        <f t="shared" si="2"/>
        <v>0.3894675926</v>
      </c>
      <c r="C3368" s="56">
        <f t="shared" si="3"/>
        <v>33650</v>
      </c>
      <c r="D3368" s="56">
        <v>2.096</v>
      </c>
    </row>
    <row r="3369" ht="15.75" customHeight="1">
      <c r="B3369" s="370">
        <f t="shared" si="2"/>
        <v>0.3895833333</v>
      </c>
      <c r="C3369" s="56">
        <f t="shared" si="3"/>
        <v>33660</v>
      </c>
      <c r="D3369" s="56">
        <v>2.106</v>
      </c>
    </row>
    <row r="3370" ht="15.75" customHeight="1">
      <c r="B3370" s="370">
        <f t="shared" si="2"/>
        <v>0.3896990741</v>
      </c>
      <c r="C3370" s="56">
        <f t="shared" si="3"/>
        <v>33670</v>
      </c>
      <c r="D3370" s="56">
        <v>2.583</v>
      </c>
    </row>
    <row r="3371" ht="15.75" customHeight="1">
      <c r="B3371" s="370">
        <f t="shared" si="2"/>
        <v>0.3898148148</v>
      </c>
      <c r="C3371" s="56">
        <f t="shared" si="3"/>
        <v>33680</v>
      </c>
      <c r="D3371" s="56">
        <v>3.038</v>
      </c>
    </row>
    <row r="3372" ht="15.75" customHeight="1">
      <c r="B3372" s="370">
        <f t="shared" si="2"/>
        <v>0.3899305556</v>
      </c>
      <c r="C3372" s="56">
        <f t="shared" si="3"/>
        <v>33690</v>
      </c>
      <c r="D3372" s="56">
        <v>3.405</v>
      </c>
    </row>
    <row r="3373" ht="15.75" customHeight="1">
      <c r="B3373" s="370">
        <f t="shared" si="2"/>
        <v>0.3900462963</v>
      </c>
      <c r="C3373" s="56">
        <f t="shared" si="3"/>
        <v>33700</v>
      </c>
      <c r="D3373" s="56">
        <v>3.363</v>
      </c>
    </row>
    <row r="3374" ht="15.75" customHeight="1">
      <c r="B3374" s="370">
        <f t="shared" si="2"/>
        <v>0.390162037</v>
      </c>
      <c r="C3374" s="56">
        <f t="shared" si="3"/>
        <v>33710</v>
      </c>
      <c r="D3374" s="56">
        <v>3.281</v>
      </c>
    </row>
    <row r="3375" ht="15.75" customHeight="1">
      <c r="B3375" s="370">
        <f t="shared" si="2"/>
        <v>0.3902777778</v>
      </c>
      <c r="C3375" s="56">
        <f t="shared" si="3"/>
        <v>33720</v>
      </c>
      <c r="D3375" s="56">
        <v>3.095</v>
      </c>
    </row>
    <row r="3376" ht="15.75" customHeight="1">
      <c r="B3376" s="370">
        <f t="shared" si="2"/>
        <v>0.3903935185</v>
      </c>
      <c r="C3376" s="56">
        <f t="shared" si="3"/>
        <v>33730</v>
      </c>
      <c r="D3376" s="56">
        <v>2.451</v>
      </c>
    </row>
    <row r="3377" ht="15.75" customHeight="1">
      <c r="B3377" s="370">
        <f t="shared" si="2"/>
        <v>0.3905092593</v>
      </c>
      <c r="C3377" s="56">
        <f t="shared" si="3"/>
        <v>33740</v>
      </c>
      <c r="D3377" s="56">
        <v>2.637</v>
      </c>
    </row>
    <row r="3378" ht="15.75" customHeight="1">
      <c r="B3378" s="370">
        <f t="shared" si="2"/>
        <v>0.390625</v>
      </c>
      <c r="C3378" s="56">
        <f t="shared" si="3"/>
        <v>33750</v>
      </c>
      <c r="D3378" s="56">
        <v>2.729</v>
      </c>
    </row>
    <row r="3379" ht="15.75" customHeight="1">
      <c r="B3379" s="370">
        <f t="shared" si="2"/>
        <v>0.3907407407</v>
      </c>
      <c r="C3379" s="56">
        <f t="shared" si="3"/>
        <v>33760</v>
      </c>
      <c r="D3379" s="56">
        <v>2.716</v>
      </c>
    </row>
    <row r="3380" ht="15.75" customHeight="1">
      <c r="B3380" s="370">
        <f t="shared" si="2"/>
        <v>0.3908564815</v>
      </c>
      <c r="C3380" s="56">
        <f t="shared" si="3"/>
        <v>33770</v>
      </c>
      <c r="D3380" s="56">
        <v>2.705</v>
      </c>
    </row>
    <row r="3381" ht="15.75" customHeight="1">
      <c r="B3381" s="370">
        <f t="shared" si="2"/>
        <v>0.3909722222</v>
      </c>
      <c r="C3381" s="56">
        <f t="shared" si="3"/>
        <v>33780</v>
      </c>
      <c r="D3381" s="56">
        <v>2.535</v>
      </c>
    </row>
    <row r="3382" ht="15.75" customHeight="1">
      <c r="B3382" s="370">
        <f t="shared" si="2"/>
        <v>0.391087963</v>
      </c>
      <c r="C3382" s="56">
        <f t="shared" si="3"/>
        <v>33790</v>
      </c>
      <c r="D3382" s="56">
        <v>2.886</v>
      </c>
    </row>
    <row r="3383" ht="15.75" customHeight="1">
      <c r="B3383" s="370">
        <f t="shared" si="2"/>
        <v>0.3912037037</v>
      </c>
      <c r="C3383" s="56">
        <f t="shared" si="3"/>
        <v>33800</v>
      </c>
      <c r="D3383" s="56">
        <v>3.275</v>
      </c>
    </row>
    <row r="3384" ht="15.75" customHeight="1">
      <c r="B3384" s="370">
        <f t="shared" si="2"/>
        <v>0.3913194444</v>
      </c>
      <c r="C3384" s="56">
        <f t="shared" si="3"/>
        <v>33810</v>
      </c>
      <c r="D3384" s="56">
        <v>3.336</v>
      </c>
    </row>
    <row r="3385" ht="15.75" customHeight="1">
      <c r="B3385" s="370">
        <f t="shared" si="2"/>
        <v>0.3914351852</v>
      </c>
      <c r="C3385" s="56">
        <f t="shared" si="3"/>
        <v>33820</v>
      </c>
      <c r="D3385" s="56">
        <v>3.417</v>
      </c>
    </row>
    <row r="3386" ht="15.75" customHeight="1">
      <c r="B3386" s="370">
        <f t="shared" si="2"/>
        <v>0.3915509259</v>
      </c>
      <c r="C3386" s="56">
        <f t="shared" si="3"/>
        <v>33830</v>
      </c>
      <c r="D3386" s="56">
        <v>3.235</v>
      </c>
    </row>
    <row r="3387" ht="15.75" customHeight="1">
      <c r="B3387" s="370">
        <f t="shared" si="2"/>
        <v>0.3916666667</v>
      </c>
      <c r="C3387" s="56">
        <f t="shared" si="3"/>
        <v>33840</v>
      </c>
      <c r="D3387" s="56">
        <v>2.723</v>
      </c>
    </row>
    <row r="3388" ht="15.75" customHeight="1">
      <c r="B3388" s="370">
        <f t="shared" si="2"/>
        <v>0.3917824074</v>
      </c>
      <c r="C3388" s="56">
        <f t="shared" si="3"/>
        <v>33850</v>
      </c>
      <c r="D3388" s="56">
        <v>2.229</v>
      </c>
    </row>
    <row r="3389" ht="15.75" customHeight="1">
      <c r="B3389" s="370">
        <f t="shared" si="2"/>
        <v>0.3918981481</v>
      </c>
      <c r="C3389" s="56">
        <f t="shared" si="3"/>
        <v>33860</v>
      </c>
      <c r="D3389" s="56">
        <v>1.941</v>
      </c>
    </row>
    <row r="3390" ht="15.75" customHeight="1">
      <c r="B3390" s="370">
        <f t="shared" si="2"/>
        <v>0.3920138889</v>
      </c>
      <c r="C3390" s="56">
        <f t="shared" si="3"/>
        <v>33870</v>
      </c>
      <c r="D3390" s="56">
        <v>2.394</v>
      </c>
    </row>
    <row r="3391" ht="15.75" customHeight="1">
      <c r="B3391" s="370">
        <f t="shared" si="2"/>
        <v>0.3921296296</v>
      </c>
      <c r="C3391" s="56">
        <f t="shared" si="3"/>
        <v>33880</v>
      </c>
      <c r="D3391" s="56">
        <v>2.982</v>
      </c>
    </row>
    <row r="3392" ht="15.75" customHeight="1">
      <c r="B3392" s="370">
        <f t="shared" si="2"/>
        <v>0.3922453704</v>
      </c>
      <c r="C3392" s="56">
        <f t="shared" si="3"/>
        <v>33890</v>
      </c>
      <c r="D3392" s="56">
        <v>3.44</v>
      </c>
    </row>
    <row r="3393" ht="15.75" customHeight="1">
      <c r="B3393" s="370">
        <f t="shared" si="2"/>
        <v>0.3923611111</v>
      </c>
      <c r="C3393" s="56">
        <f t="shared" si="3"/>
        <v>33900</v>
      </c>
      <c r="D3393" s="56">
        <v>3.448</v>
      </c>
    </row>
    <row r="3394" ht="15.75" customHeight="1">
      <c r="B3394" s="370">
        <f t="shared" si="2"/>
        <v>0.3924768519</v>
      </c>
      <c r="C3394" s="56">
        <f t="shared" si="3"/>
        <v>33910</v>
      </c>
      <c r="D3394" s="56">
        <v>3.399</v>
      </c>
    </row>
    <row r="3395" ht="15.75" customHeight="1">
      <c r="B3395" s="370">
        <f t="shared" si="2"/>
        <v>0.3925925926</v>
      </c>
      <c r="C3395" s="56">
        <f t="shared" si="3"/>
        <v>33920</v>
      </c>
      <c r="D3395" s="56">
        <v>3.242</v>
      </c>
    </row>
    <row r="3396" ht="15.75" customHeight="1">
      <c r="B3396" s="370">
        <f t="shared" si="2"/>
        <v>0.3927083333</v>
      </c>
      <c r="C3396" s="56">
        <f t="shared" si="3"/>
        <v>33930</v>
      </c>
      <c r="D3396" s="56">
        <v>2.506</v>
      </c>
    </row>
    <row r="3397" ht="15.75" customHeight="1">
      <c r="B3397" s="370">
        <f t="shared" si="2"/>
        <v>0.3928240741</v>
      </c>
      <c r="C3397" s="56">
        <f t="shared" si="3"/>
        <v>33940</v>
      </c>
      <c r="D3397" s="56">
        <v>2.487</v>
      </c>
    </row>
    <row r="3398" ht="15.75" customHeight="1">
      <c r="B3398" s="370">
        <f t="shared" si="2"/>
        <v>0.3929398148</v>
      </c>
      <c r="C3398" s="56">
        <f t="shared" si="3"/>
        <v>33950</v>
      </c>
      <c r="D3398" s="56">
        <v>2.665</v>
      </c>
    </row>
    <row r="3399" ht="15.75" customHeight="1">
      <c r="B3399" s="370">
        <f t="shared" si="2"/>
        <v>0.3930555556</v>
      </c>
      <c r="C3399" s="56">
        <f t="shared" si="3"/>
        <v>33960</v>
      </c>
      <c r="D3399" s="56">
        <v>2.719</v>
      </c>
    </row>
    <row r="3400" ht="15.75" customHeight="1">
      <c r="B3400" s="370">
        <f t="shared" si="2"/>
        <v>0.3931712963</v>
      </c>
      <c r="C3400" s="56">
        <f t="shared" si="3"/>
        <v>33970</v>
      </c>
      <c r="D3400" s="56">
        <v>2.784</v>
      </c>
    </row>
    <row r="3401" ht="15.75" customHeight="1">
      <c r="B3401" s="370">
        <f t="shared" si="2"/>
        <v>0.393287037</v>
      </c>
      <c r="C3401" s="56">
        <f t="shared" si="3"/>
        <v>33980</v>
      </c>
      <c r="D3401" s="56">
        <v>2.712</v>
      </c>
    </row>
    <row r="3402" ht="15.75" customHeight="1">
      <c r="B3402" s="370">
        <f t="shared" si="2"/>
        <v>0.3934027778</v>
      </c>
      <c r="C3402" s="56">
        <f t="shared" si="3"/>
        <v>33990</v>
      </c>
      <c r="D3402" s="56">
        <v>2.682</v>
      </c>
    </row>
    <row r="3403" ht="15.75" customHeight="1">
      <c r="B3403" s="370">
        <f t="shared" si="2"/>
        <v>0.3935185185</v>
      </c>
      <c r="C3403" s="56">
        <f t="shared" si="3"/>
        <v>34000</v>
      </c>
      <c r="D3403" s="56">
        <v>3.142</v>
      </c>
    </row>
    <row r="3404" ht="15.75" customHeight="1">
      <c r="B3404" s="370">
        <f t="shared" si="2"/>
        <v>0.3936342593</v>
      </c>
      <c r="C3404" s="56">
        <f t="shared" si="3"/>
        <v>34010</v>
      </c>
      <c r="D3404" s="56">
        <v>3.199</v>
      </c>
    </row>
    <row r="3405" ht="15.75" customHeight="1">
      <c r="B3405" s="370">
        <f t="shared" si="2"/>
        <v>0.39375</v>
      </c>
      <c r="C3405" s="56">
        <f t="shared" si="3"/>
        <v>34020</v>
      </c>
      <c r="D3405" s="56">
        <v>3.32</v>
      </c>
    </row>
    <row r="3406" ht="15.75" customHeight="1">
      <c r="B3406" s="370">
        <f t="shared" si="2"/>
        <v>0.3938657407</v>
      </c>
      <c r="C3406" s="56">
        <f t="shared" si="3"/>
        <v>34030</v>
      </c>
      <c r="D3406" s="56">
        <v>3.22</v>
      </c>
    </row>
    <row r="3407" ht="15.75" customHeight="1">
      <c r="B3407" s="370">
        <f t="shared" si="2"/>
        <v>0.3939814815</v>
      </c>
      <c r="C3407" s="56">
        <f t="shared" si="3"/>
        <v>34040</v>
      </c>
      <c r="D3407" s="56">
        <v>2.808</v>
      </c>
    </row>
    <row r="3408" ht="15.75" customHeight="1">
      <c r="B3408" s="370">
        <f t="shared" si="2"/>
        <v>0.3940972222</v>
      </c>
      <c r="C3408" s="56">
        <f t="shared" si="3"/>
        <v>34050</v>
      </c>
      <c r="D3408" s="56">
        <v>2.446</v>
      </c>
    </row>
    <row r="3409" ht="15.75" customHeight="1">
      <c r="B3409" s="370">
        <f t="shared" si="2"/>
        <v>0.394212963</v>
      </c>
      <c r="C3409" s="56">
        <f t="shared" si="3"/>
        <v>34060</v>
      </c>
      <c r="D3409" s="56">
        <v>2.077</v>
      </c>
    </row>
    <row r="3410" ht="15.75" customHeight="1">
      <c r="B3410" s="370">
        <f t="shared" si="2"/>
        <v>0.3943287037</v>
      </c>
      <c r="C3410" s="56">
        <f t="shared" si="3"/>
        <v>34070</v>
      </c>
      <c r="D3410" s="56">
        <v>2.25</v>
      </c>
    </row>
    <row r="3411" ht="15.75" customHeight="1">
      <c r="B3411" s="370">
        <f t="shared" si="2"/>
        <v>0.3944444444</v>
      </c>
      <c r="C3411" s="56">
        <f t="shared" si="3"/>
        <v>34080</v>
      </c>
      <c r="D3411" s="56">
        <v>2.888</v>
      </c>
    </row>
    <row r="3412" ht="15.75" customHeight="1">
      <c r="B3412" s="370">
        <f t="shared" si="2"/>
        <v>0.3945601852</v>
      </c>
      <c r="C3412" s="56">
        <f t="shared" si="3"/>
        <v>34090</v>
      </c>
      <c r="D3412" s="56">
        <v>3.447</v>
      </c>
    </row>
    <row r="3413" ht="15.75" customHeight="1">
      <c r="B3413" s="370">
        <f t="shared" si="2"/>
        <v>0.3946759259</v>
      </c>
      <c r="C3413" s="56">
        <f t="shared" si="3"/>
        <v>34100</v>
      </c>
      <c r="D3413" s="56">
        <v>3.5</v>
      </c>
    </row>
    <row r="3414" ht="15.75" customHeight="1">
      <c r="B3414" s="370">
        <f t="shared" si="2"/>
        <v>0.3947916667</v>
      </c>
      <c r="C3414" s="56">
        <f t="shared" si="3"/>
        <v>34110</v>
      </c>
      <c r="D3414" s="56">
        <v>3.467</v>
      </c>
    </row>
    <row r="3415" ht="15.75" customHeight="1">
      <c r="B3415" s="370">
        <f t="shared" si="2"/>
        <v>0.3949074074</v>
      </c>
      <c r="C3415" s="56">
        <f t="shared" si="3"/>
        <v>34120</v>
      </c>
      <c r="D3415" s="56">
        <v>3.348</v>
      </c>
    </row>
    <row r="3416" ht="15.75" customHeight="1">
      <c r="B3416" s="370">
        <f t="shared" si="2"/>
        <v>0.3950231481</v>
      </c>
      <c r="C3416" s="56">
        <f t="shared" si="3"/>
        <v>34130</v>
      </c>
      <c r="D3416" s="56">
        <v>2.634</v>
      </c>
    </row>
    <row r="3417" ht="15.75" customHeight="1">
      <c r="B3417" s="370">
        <f t="shared" si="2"/>
        <v>0.3951388889</v>
      </c>
      <c r="C3417" s="56">
        <f t="shared" si="3"/>
        <v>34140</v>
      </c>
      <c r="D3417" s="56">
        <v>2.315</v>
      </c>
    </row>
    <row r="3418" ht="15.75" customHeight="1">
      <c r="B3418" s="370">
        <f t="shared" si="2"/>
        <v>0.3952546296</v>
      </c>
      <c r="C3418" s="56">
        <f t="shared" si="3"/>
        <v>34150</v>
      </c>
      <c r="D3418" s="56">
        <v>2.571</v>
      </c>
    </row>
    <row r="3419" ht="15.75" customHeight="1">
      <c r="B3419" s="370">
        <f t="shared" si="2"/>
        <v>0.3953703704</v>
      </c>
      <c r="C3419" s="56">
        <f t="shared" si="3"/>
        <v>34160</v>
      </c>
      <c r="D3419" s="56">
        <v>2.684</v>
      </c>
    </row>
    <row r="3420" ht="15.75" customHeight="1">
      <c r="B3420" s="370">
        <f t="shared" si="2"/>
        <v>0.3954861111</v>
      </c>
      <c r="C3420" s="56">
        <f t="shared" si="3"/>
        <v>34170</v>
      </c>
      <c r="D3420" s="56">
        <v>2.826</v>
      </c>
    </row>
    <row r="3421" ht="15.75" customHeight="1">
      <c r="B3421" s="370">
        <f t="shared" si="2"/>
        <v>0.3956018519</v>
      </c>
      <c r="C3421" s="56">
        <f t="shared" si="3"/>
        <v>34180</v>
      </c>
      <c r="D3421" s="56">
        <v>2.826</v>
      </c>
    </row>
    <row r="3422" ht="15.75" customHeight="1">
      <c r="B3422" s="370">
        <f t="shared" si="2"/>
        <v>0.3957175926</v>
      </c>
      <c r="C3422" s="56">
        <f t="shared" si="3"/>
        <v>34190</v>
      </c>
      <c r="D3422" s="56">
        <v>2.846</v>
      </c>
    </row>
    <row r="3423" ht="15.75" customHeight="1">
      <c r="B3423" s="370">
        <f t="shared" si="2"/>
        <v>0.3958333333</v>
      </c>
      <c r="C3423" s="56">
        <f t="shared" si="3"/>
        <v>34200</v>
      </c>
      <c r="D3423" s="56">
        <v>2.911</v>
      </c>
    </row>
    <row r="3424" ht="15.75" customHeight="1">
      <c r="B3424" s="370">
        <f t="shared" si="2"/>
        <v>0.3959490741</v>
      </c>
      <c r="C3424" s="56">
        <f t="shared" si="3"/>
        <v>34210</v>
      </c>
      <c r="D3424" s="56">
        <v>3.084</v>
      </c>
    </row>
    <row r="3425" ht="15.75" customHeight="1">
      <c r="B3425" s="370">
        <f t="shared" si="2"/>
        <v>0.3960648148</v>
      </c>
      <c r="C3425" s="56">
        <f t="shared" si="3"/>
        <v>34220</v>
      </c>
      <c r="D3425" s="56">
        <v>3.205</v>
      </c>
    </row>
    <row r="3426" ht="15.75" customHeight="1">
      <c r="B3426" s="370">
        <f t="shared" si="2"/>
        <v>0.3961805556</v>
      </c>
      <c r="C3426" s="56">
        <f t="shared" si="3"/>
        <v>34230</v>
      </c>
      <c r="D3426" s="56">
        <v>3.17</v>
      </c>
    </row>
    <row r="3427" ht="15.75" customHeight="1">
      <c r="B3427" s="370">
        <f t="shared" si="2"/>
        <v>0.3962962963</v>
      </c>
      <c r="C3427" s="56">
        <f t="shared" si="3"/>
        <v>34240</v>
      </c>
      <c r="D3427" s="56">
        <v>2.857</v>
      </c>
    </row>
    <row r="3428" ht="15.75" customHeight="1">
      <c r="B3428" s="370">
        <f t="shared" si="2"/>
        <v>0.396412037</v>
      </c>
      <c r="C3428" s="56">
        <f t="shared" si="3"/>
        <v>34250</v>
      </c>
      <c r="D3428" s="56">
        <v>2.577</v>
      </c>
    </row>
    <row r="3429" ht="15.75" customHeight="1">
      <c r="B3429" s="370">
        <f t="shared" si="2"/>
        <v>0.3965277778</v>
      </c>
      <c r="C3429" s="56">
        <f t="shared" si="3"/>
        <v>34260</v>
      </c>
      <c r="D3429" s="56">
        <v>2.285</v>
      </c>
    </row>
    <row r="3430" ht="15.75" customHeight="1">
      <c r="B3430" s="370">
        <f t="shared" si="2"/>
        <v>0.3966435185</v>
      </c>
      <c r="C3430" s="56">
        <f t="shared" si="3"/>
        <v>34270</v>
      </c>
      <c r="D3430" s="56">
        <v>2.01</v>
      </c>
    </row>
    <row r="3431" ht="15.75" customHeight="1">
      <c r="B3431" s="370">
        <f t="shared" si="2"/>
        <v>0.3967592593</v>
      </c>
      <c r="C3431" s="56">
        <f t="shared" si="3"/>
        <v>34280</v>
      </c>
      <c r="D3431" s="56">
        <v>2.761</v>
      </c>
    </row>
    <row r="3432" ht="15.75" customHeight="1">
      <c r="B3432" s="370">
        <f t="shared" si="2"/>
        <v>0.396875</v>
      </c>
      <c r="C3432" s="56">
        <f t="shared" si="3"/>
        <v>34290</v>
      </c>
      <c r="D3432" s="56">
        <v>3.418</v>
      </c>
    </row>
    <row r="3433" ht="15.75" customHeight="1">
      <c r="B3433" s="370">
        <f t="shared" si="2"/>
        <v>0.3969907407</v>
      </c>
      <c r="C3433" s="56">
        <f t="shared" si="3"/>
        <v>34300</v>
      </c>
      <c r="D3433" s="56">
        <v>3.522</v>
      </c>
    </row>
    <row r="3434" ht="15.75" customHeight="1">
      <c r="B3434" s="370">
        <f t="shared" si="2"/>
        <v>0.3971064815</v>
      </c>
      <c r="C3434" s="56">
        <f t="shared" si="3"/>
        <v>34310</v>
      </c>
      <c r="D3434" s="56">
        <v>3.503</v>
      </c>
    </row>
    <row r="3435" ht="15.75" customHeight="1">
      <c r="B3435" s="370">
        <f t="shared" si="2"/>
        <v>0.3972222222</v>
      </c>
      <c r="C3435" s="56">
        <f t="shared" si="3"/>
        <v>34320</v>
      </c>
      <c r="D3435" s="56">
        <v>3.439</v>
      </c>
    </row>
    <row r="3436" ht="15.75" customHeight="1">
      <c r="B3436" s="370">
        <f t="shared" si="2"/>
        <v>0.397337963</v>
      </c>
      <c r="C3436" s="56">
        <f t="shared" si="3"/>
        <v>34330</v>
      </c>
      <c r="D3436" s="56">
        <v>2.876</v>
      </c>
    </row>
    <row r="3437" ht="15.75" customHeight="1">
      <c r="B3437" s="370">
        <f t="shared" si="2"/>
        <v>0.3974537037</v>
      </c>
      <c r="C3437" s="56">
        <f t="shared" si="3"/>
        <v>34340</v>
      </c>
      <c r="D3437" s="56">
        <v>2.037</v>
      </c>
    </row>
    <row r="3438" ht="15.75" customHeight="1">
      <c r="B3438" s="370">
        <f t="shared" si="2"/>
        <v>0.3975694444</v>
      </c>
      <c r="C3438" s="56">
        <f t="shared" si="3"/>
        <v>34350</v>
      </c>
      <c r="D3438" s="56">
        <v>2.437</v>
      </c>
    </row>
    <row r="3439" ht="15.75" customHeight="1">
      <c r="B3439" s="370">
        <f t="shared" si="2"/>
        <v>0.3976851852</v>
      </c>
      <c r="C3439" s="56">
        <f t="shared" si="3"/>
        <v>34360</v>
      </c>
      <c r="D3439" s="56">
        <v>2.621</v>
      </c>
    </row>
    <row r="3440" ht="15.75" customHeight="1">
      <c r="B3440" s="370">
        <f t="shared" si="2"/>
        <v>0.3978009259</v>
      </c>
      <c r="C3440" s="56">
        <f t="shared" si="3"/>
        <v>34370</v>
      </c>
      <c r="D3440" s="56">
        <v>2.834</v>
      </c>
    </row>
    <row r="3441" ht="15.75" customHeight="1">
      <c r="B3441" s="370">
        <f t="shared" si="2"/>
        <v>0.3979166667</v>
      </c>
      <c r="C3441" s="56">
        <f t="shared" si="3"/>
        <v>34380</v>
      </c>
      <c r="D3441" s="56">
        <v>2.953</v>
      </c>
    </row>
    <row r="3442" ht="15.75" customHeight="1">
      <c r="B3442" s="370">
        <f t="shared" si="2"/>
        <v>0.3980324074</v>
      </c>
      <c r="C3442" s="56">
        <f t="shared" si="3"/>
        <v>34390</v>
      </c>
      <c r="D3442" s="56">
        <v>3.025</v>
      </c>
    </row>
    <row r="3443" ht="15.75" customHeight="1">
      <c r="B3443" s="370">
        <f t="shared" si="2"/>
        <v>0.3981481481</v>
      </c>
      <c r="C3443" s="56">
        <f t="shared" si="3"/>
        <v>34400</v>
      </c>
      <c r="D3443" s="56">
        <v>2.883</v>
      </c>
    </row>
    <row r="3444" ht="15.75" customHeight="1">
      <c r="B3444" s="370">
        <f t="shared" si="2"/>
        <v>0.3982638889</v>
      </c>
      <c r="C3444" s="56">
        <f t="shared" si="3"/>
        <v>34410</v>
      </c>
      <c r="D3444" s="56">
        <v>2.887</v>
      </c>
    </row>
    <row r="3445" ht="15.75" customHeight="1">
      <c r="B3445" s="370">
        <f t="shared" si="2"/>
        <v>0.3983796296</v>
      </c>
      <c r="C3445" s="56">
        <f t="shared" si="3"/>
        <v>34420</v>
      </c>
      <c r="D3445" s="56">
        <v>3.051</v>
      </c>
    </row>
    <row r="3446" ht="15.75" customHeight="1">
      <c r="B3446" s="370">
        <f t="shared" si="2"/>
        <v>0.3984953704</v>
      </c>
      <c r="C3446" s="56">
        <f t="shared" si="3"/>
        <v>34430</v>
      </c>
      <c r="D3446" s="56">
        <v>3.085</v>
      </c>
    </row>
    <row r="3447" ht="15.75" customHeight="1">
      <c r="B3447" s="370">
        <f t="shared" si="2"/>
        <v>0.3986111111</v>
      </c>
      <c r="C3447" s="56">
        <f t="shared" si="3"/>
        <v>34440</v>
      </c>
      <c r="D3447" s="56">
        <v>2.87</v>
      </c>
    </row>
    <row r="3448" ht="15.75" customHeight="1">
      <c r="B3448" s="370">
        <f t="shared" si="2"/>
        <v>0.3987268519</v>
      </c>
      <c r="C3448" s="56">
        <f t="shared" si="3"/>
        <v>34450</v>
      </c>
      <c r="D3448" s="56">
        <v>2.669</v>
      </c>
    </row>
    <row r="3449" ht="15.75" customHeight="1">
      <c r="B3449" s="370">
        <f t="shared" si="2"/>
        <v>0.3988425926</v>
      </c>
      <c r="C3449" s="56">
        <f t="shared" si="3"/>
        <v>34460</v>
      </c>
      <c r="D3449" s="56">
        <v>2.407</v>
      </c>
    </row>
    <row r="3450" ht="15.75" customHeight="1">
      <c r="B3450" s="370">
        <f t="shared" si="2"/>
        <v>0.3989583333</v>
      </c>
      <c r="C3450" s="56">
        <f t="shared" si="3"/>
        <v>34470</v>
      </c>
      <c r="D3450" s="56">
        <v>2.171</v>
      </c>
    </row>
    <row r="3451" ht="15.75" customHeight="1">
      <c r="B3451" s="370">
        <f t="shared" si="2"/>
        <v>0.3990740741</v>
      </c>
      <c r="C3451" s="56">
        <f t="shared" si="3"/>
        <v>34480</v>
      </c>
      <c r="D3451" s="56">
        <v>2.55</v>
      </c>
    </row>
    <row r="3452" ht="15.75" customHeight="1">
      <c r="B3452" s="370">
        <f t="shared" si="2"/>
        <v>0.3991898148</v>
      </c>
      <c r="C3452" s="56">
        <f t="shared" si="3"/>
        <v>34490</v>
      </c>
      <c r="D3452" s="56">
        <v>3.348</v>
      </c>
    </row>
    <row r="3453" ht="15.75" customHeight="1">
      <c r="B3453" s="370">
        <f t="shared" si="2"/>
        <v>0.3993055556</v>
      </c>
      <c r="C3453" s="56">
        <f t="shared" si="3"/>
        <v>34500</v>
      </c>
      <c r="D3453" s="56">
        <v>3.517</v>
      </c>
    </row>
    <row r="3454" ht="15.75" customHeight="1">
      <c r="B3454" s="370">
        <f t="shared" si="2"/>
        <v>0.3994212963</v>
      </c>
      <c r="C3454" s="56">
        <f t="shared" si="3"/>
        <v>34510</v>
      </c>
      <c r="D3454" s="56">
        <v>3.517</v>
      </c>
    </row>
    <row r="3455" ht="15.75" customHeight="1">
      <c r="B3455" s="370">
        <f t="shared" si="2"/>
        <v>0.399537037</v>
      </c>
      <c r="C3455" s="56">
        <f t="shared" si="3"/>
        <v>34520</v>
      </c>
      <c r="D3455" s="56">
        <v>3.486</v>
      </c>
    </row>
    <row r="3456" ht="15.75" customHeight="1">
      <c r="B3456" s="370">
        <f t="shared" si="2"/>
        <v>0.3996527778</v>
      </c>
      <c r="C3456" s="56">
        <f t="shared" si="3"/>
        <v>34530</v>
      </c>
      <c r="D3456" s="56">
        <v>3.016</v>
      </c>
    </row>
    <row r="3457" ht="15.75" customHeight="1">
      <c r="B3457" s="370">
        <f t="shared" si="2"/>
        <v>0.3997685185</v>
      </c>
      <c r="C3457" s="56">
        <f t="shared" si="3"/>
        <v>34540</v>
      </c>
      <c r="D3457" s="56">
        <v>2.169</v>
      </c>
    </row>
    <row r="3458" ht="15.75" customHeight="1">
      <c r="B3458" s="370">
        <f t="shared" si="2"/>
        <v>0.3998842593</v>
      </c>
      <c r="C3458" s="56">
        <f t="shared" si="3"/>
        <v>34550</v>
      </c>
      <c r="D3458" s="56">
        <v>2.261</v>
      </c>
    </row>
    <row r="3459" ht="15.75" customHeight="1">
      <c r="B3459" s="370">
        <f t="shared" si="2"/>
        <v>0.4</v>
      </c>
      <c r="C3459" s="56">
        <f t="shared" si="3"/>
        <v>34560</v>
      </c>
      <c r="D3459" s="56">
        <v>2.52</v>
      </c>
    </row>
    <row r="3460" ht="15.75" customHeight="1">
      <c r="B3460" s="370">
        <f t="shared" si="2"/>
        <v>0.4001157407</v>
      </c>
      <c r="C3460" s="56">
        <f t="shared" si="3"/>
        <v>34570</v>
      </c>
      <c r="D3460" s="56">
        <v>2.804</v>
      </c>
    </row>
    <row r="3461" ht="15.75" customHeight="1">
      <c r="B3461" s="370">
        <f t="shared" si="2"/>
        <v>0.4002314815</v>
      </c>
      <c r="C3461" s="56">
        <f t="shared" si="3"/>
        <v>34580</v>
      </c>
      <c r="D3461" s="56">
        <v>3.022</v>
      </c>
    </row>
    <row r="3462" ht="15.75" customHeight="1">
      <c r="B3462" s="370">
        <f t="shared" si="2"/>
        <v>0.4003472222</v>
      </c>
      <c r="C3462" s="56">
        <f t="shared" si="3"/>
        <v>34590</v>
      </c>
      <c r="D3462" s="56">
        <v>3.168</v>
      </c>
    </row>
    <row r="3463" ht="15.75" customHeight="1">
      <c r="B3463" s="370">
        <f t="shared" si="2"/>
        <v>0.400462963</v>
      </c>
      <c r="C3463" s="56">
        <f t="shared" si="3"/>
        <v>34600</v>
      </c>
      <c r="D3463" s="56">
        <v>2.972</v>
      </c>
    </row>
    <row r="3464" ht="15.75" customHeight="1">
      <c r="B3464" s="370">
        <f t="shared" si="2"/>
        <v>0.4005787037</v>
      </c>
      <c r="C3464" s="56">
        <f t="shared" si="3"/>
        <v>34610</v>
      </c>
      <c r="D3464" s="56">
        <v>2.964</v>
      </c>
    </row>
    <row r="3465" ht="15.75" customHeight="1">
      <c r="B3465" s="370">
        <f t="shared" si="2"/>
        <v>0.4006944444</v>
      </c>
      <c r="C3465" s="56">
        <f t="shared" si="3"/>
        <v>34620</v>
      </c>
      <c r="D3465" s="56">
        <v>2.804</v>
      </c>
    </row>
    <row r="3466" ht="15.75" customHeight="1">
      <c r="B3466" s="370">
        <f t="shared" si="2"/>
        <v>0.4008101852</v>
      </c>
      <c r="C3466" s="56">
        <f t="shared" si="3"/>
        <v>34630</v>
      </c>
      <c r="D3466" s="56">
        <v>2.962</v>
      </c>
    </row>
    <row r="3467" ht="15.75" customHeight="1">
      <c r="B3467" s="370">
        <f t="shared" si="2"/>
        <v>0.4009259259</v>
      </c>
      <c r="C3467" s="56">
        <f t="shared" si="3"/>
        <v>34640</v>
      </c>
      <c r="D3467" s="56">
        <v>2.846</v>
      </c>
    </row>
    <row r="3468" ht="15.75" customHeight="1">
      <c r="B3468" s="370">
        <f t="shared" si="2"/>
        <v>0.4010416667</v>
      </c>
      <c r="C3468" s="56">
        <f t="shared" si="3"/>
        <v>34650</v>
      </c>
      <c r="D3468" s="56">
        <v>2.729</v>
      </c>
    </row>
    <row r="3469" ht="15.75" customHeight="1">
      <c r="B3469" s="370">
        <f t="shared" si="2"/>
        <v>0.4011574074</v>
      </c>
      <c r="C3469" s="56">
        <f t="shared" si="3"/>
        <v>34660</v>
      </c>
      <c r="D3469" s="56">
        <v>2.561</v>
      </c>
    </row>
    <row r="3470" ht="15.75" customHeight="1">
      <c r="B3470" s="370">
        <f t="shared" si="2"/>
        <v>0.4012731481</v>
      </c>
      <c r="C3470" s="56">
        <f t="shared" si="3"/>
        <v>34670</v>
      </c>
      <c r="D3470" s="56">
        <v>2.365</v>
      </c>
    </row>
    <row r="3471" ht="15.75" customHeight="1">
      <c r="B3471" s="370">
        <f t="shared" si="2"/>
        <v>0.4013888889</v>
      </c>
      <c r="C3471" s="56">
        <f t="shared" si="3"/>
        <v>34680</v>
      </c>
      <c r="D3471" s="56">
        <v>2.413</v>
      </c>
    </row>
    <row r="3472" ht="15.75" customHeight="1">
      <c r="B3472" s="370">
        <f t="shared" si="2"/>
        <v>0.4015046296</v>
      </c>
      <c r="C3472" s="56">
        <f t="shared" si="3"/>
        <v>34690</v>
      </c>
      <c r="D3472" s="56">
        <v>3.258</v>
      </c>
    </row>
    <row r="3473" ht="15.75" customHeight="1">
      <c r="B3473" s="370">
        <f t="shared" si="2"/>
        <v>0.4016203704</v>
      </c>
      <c r="C3473" s="56">
        <f t="shared" si="3"/>
        <v>34700</v>
      </c>
      <c r="D3473" s="56">
        <v>3.483</v>
      </c>
    </row>
    <row r="3474" ht="15.75" customHeight="1">
      <c r="B3474" s="370">
        <f t="shared" si="2"/>
        <v>0.4017361111</v>
      </c>
      <c r="C3474" s="56">
        <f t="shared" si="3"/>
        <v>34710</v>
      </c>
      <c r="D3474" s="56">
        <v>3.501</v>
      </c>
    </row>
    <row r="3475" ht="15.75" customHeight="1">
      <c r="B3475" s="370">
        <f t="shared" si="2"/>
        <v>0.4018518519</v>
      </c>
      <c r="C3475" s="56">
        <f t="shared" si="3"/>
        <v>34720</v>
      </c>
      <c r="D3475" s="56">
        <v>3.501</v>
      </c>
    </row>
    <row r="3476" ht="15.75" customHeight="1">
      <c r="B3476" s="370">
        <f t="shared" si="2"/>
        <v>0.4019675926</v>
      </c>
      <c r="C3476" s="56">
        <f t="shared" si="3"/>
        <v>34730</v>
      </c>
      <c r="D3476" s="56">
        <v>3.119</v>
      </c>
    </row>
    <row r="3477" ht="15.75" customHeight="1">
      <c r="B3477" s="370">
        <f t="shared" si="2"/>
        <v>0.4020833333</v>
      </c>
      <c r="C3477" s="56">
        <f t="shared" si="3"/>
        <v>34740</v>
      </c>
      <c r="D3477" s="56">
        <v>2.294</v>
      </c>
    </row>
    <row r="3478" ht="15.75" customHeight="1">
      <c r="B3478" s="370">
        <f t="shared" si="2"/>
        <v>0.4021990741</v>
      </c>
      <c r="C3478" s="56">
        <f t="shared" si="3"/>
        <v>34750</v>
      </c>
      <c r="D3478" s="56">
        <v>2.088</v>
      </c>
    </row>
    <row r="3479" ht="15.75" customHeight="1">
      <c r="B3479" s="370">
        <f t="shared" si="2"/>
        <v>0.4023148148</v>
      </c>
      <c r="C3479" s="56">
        <f t="shared" si="3"/>
        <v>34760</v>
      </c>
      <c r="D3479" s="56">
        <v>2.362</v>
      </c>
    </row>
    <row r="3480" ht="15.75" customHeight="1">
      <c r="B3480" s="370">
        <f t="shared" si="2"/>
        <v>0.4024305556</v>
      </c>
      <c r="C3480" s="56">
        <f t="shared" si="3"/>
        <v>34770</v>
      </c>
      <c r="D3480" s="56">
        <v>2.739</v>
      </c>
    </row>
    <row r="3481" ht="15.75" customHeight="1">
      <c r="B3481" s="370">
        <f t="shared" si="2"/>
        <v>0.4025462963</v>
      </c>
      <c r="C3481" s="56">
        <f t="shared" si="3"/>
        <v>34780</v>
      </c>
      <c r="D3481" s="56">
        <v>3.054</v>
      </c>
    </row>
    <row r="3482" ht="15.75" customHeight="1">
      <c r="B3482" s="370">
        <f t="shared" si="2"/>
        <v>0.402662037</v>
      </c>
      <c r="C3482" s="56">
        <f t="shared" si="3"/>
        <v>34790</v>
      </c>
      <c r="D3482" s="56">
        <v>3.278</v>
      </c>
    </row>
    <row r="3483" ht="15.75" customHeight="1">
      <c r="B3483" s="370">
        <f t="shared" si="2"/>
        <v>0.4027777778</v>
      </c>
      <c r="C3483" s="56">
        <f t="shared" si="3"/>
        <v>34800</v>
      </c>
      <c r="D3483" s="56">
        <v>3.193</v>
      </c>
    </row>
    <row r="3484" ht="15.75" customHeight="1">
      <c r="B3484" s="370">
        <f t="shared" si="2"/>
        <v>0.4028935185</v>
      </c>
      <c r="C3484" s="56">
        <f t="shared" si="3"/>
        <v>34810</v>
      </c>
      <c r="D3484" s="56">
        <v>3.105</v>
      </c>
    </row>
    <row r="3485" ht="15.75" customHeight="1">
      <c r="B3485" s="370">
        <f t="shared" si="2"/>
        <v>0.4030092593</v>
      </c>
      <c r="C3485" s="56">
        <f t="shared" si="3"/>
        <v>34820</v>
      </c>
      <c r="D3485" s="56">
        <v>2.842</v>
      </c>
    </row>
    <row r="3486" ht="15.75" customHeight="1">
      <c r="B3486" s="370">
        <f t="shared" si="2"/>
        <v>0.403125</v>
      </c>
      <c r="C3486" s="56">
        <f t="shared" si="3"/>
        <v>34830</v>
      </c>
      <c r="D3486" s="56">
        <v>2.803</v>
      </c>
    </row>
    <row r="3487" ht="15.75" customHeight="1">
      <c r="B3487" s="370">
        <f t="shared" si="2"/>
        <v>0.4032407407</v>
      </c>
      <c r="C3487" s="56">
        <f t="shared" si="3"/>
        <v>34840</v>
      </c>
      <c r="D3487" s="56">
        <v>2.787</v>
      </c>
    </row>
    <row r="3488" ht="15.75" customHeight="1">
      <c r="B3488" s="370">
        <f t="shared" si="2"/>
        <v>0.4033564815</v>
      </c>
      <c r="C3488" s="56">
        <f t="shared" si="3"/>
        <v>34850</v>
      </c>
      <c r="D3488" s="56">
        <v>2.752</v>
      </c>
    </row>
    <row r="3489" ht="15.75" customHeight="1">
      <c r="B3489" s="370">
        <f t="shared" si="2"/>
        <v>0.4034722222</v>
      </c>
      <c r="C3489" s="56">
        <f t="shared" si="3"/>
        <v>34860</v>
      </c>
      <c r="D3489" s="56">
        <v>2.649</v>
      </c>
    </row>
    <row r="3490" ht="15.75" customHeight="1">
      <c r="B3490" s="370">
        <f t="shared" si="2"/>
        <v>0.403587963</v>
      </c>
      <c r="C3490" s="56">
        <f t="shared" si="3"/>
        <v>34870</v>
      </c>
      <c r="D3490" s="56">
        <v>2.527</v>
      </c>
    </row>
    <row r="3491" ht="15.75" customHeight="1">
      <c r="B3491" s="370">
        <f t="shared" si="2"/>
        <v>0.4037037037</v>
      </c>
      <c r="C3491" s="56">
        <f t="shared" si="3"/>
        <v>34880</v>
      </c>
      <c r="D3491" s="56">
        <v>2.225</v>
      </c>
    </row>
    <row r="3492" ht="15.75" customHeight="1">
      <c r="B3492" s="370">
        <f t="shared" si="2"/>
        <v>0.4038194444</v>
      </c>
      <c r="C3492" s="56">
        <f t="shared" si="3"/>
        <v>34890</v>
      </c>
      <c r="D3492" s="56">
        <v>3.129</v>
      </c>
    </row>
    <row r="3493" ht="15.75" customHeight="1">
      <c r="B3493" s="370">
        <f t="shared" si="2"/>
        <v>0.4039351852</v>
      </c>
      <c r="C3493" s="56">
        <f t="shared" si="3"/>
        <v>34900</v>
      </c>
      <c r="D3493" s="56">
        <v>3.422</v>
      </c>
    </row>
    <row r="3494" ht="15.75" customHeight="1">
      <c r="B3494" s="370">
        <f t="shared" si="2"/>
        <v>0.4040509259</v>
      </c>
      <c r="C3494" s="56">
        <f t="shared" si="3"/>
        <v>34910</v>
      </c>
      <c r="D3494" s="56">
        <v>3.45</v>
      </c>
    </row>
    <row r="3495" ht="15.75" customHeight="1">
      <c r="B3495" s="370">
        <f t="shared" si="2"/>
        <v>0.4041666667</v>
      </c>
      <c r="C3495" s="56">
        <f t="shared" si="3"/>
        <v>34920</v>
      </c>
      <c r="D3495" s="56">
        <v>3.49</v>
      </c>
    </row>
    <row r="3496" ht="15.75" customHeight="1">
      <c r="B3496" s="370">
        <f t="shared" si="2"/>
        <v>0.4042824074</v>
      </c>
      <c r="C3496" s="56">
        <f t="shared" si="3"/>
        <v>34930</v>
      </c>
      <c r="D3496" s="56">
        <v>3.195</v>
      </c>
    </row>
    <row r="3497" ht="15.75" customHeight="1">
      <c r="B3497" s="370">
        <f t="shared" si="2"/>
        <v>0.4043981481</v>
      </c>
      <c r="C3497" s="56">
        <f t="shared" si="3"/>
        <v>34940</v>
      </c>
      <c r="D3497" s="56">
        <v>2.535</v>
      </c>
    </row>
    <row r="3498" ht="15.75" customHeight="1">
      <c r="B3498" s="370">
        <f t="shared" si="2"/>
        <v>0.4045138889</v>
      </c>
      <c r="C3498" s="56">
        <f t="shared" si="3"/>
        <v>34950</v>
      </c>
      <c r="D3498" s="56">
        <v>1.965</v>
      </c>
    </row>
    <row r="3499" ht="15.75" customHeight="1">
      <c r="B3499" s="370">
        <f t="shared" si="2"/>
        <v>0.4046296296</v>
      </c>
      <c r="C3499" s="56">
        <f t="shared" si="3"/>
        <v>34960</v>
      </c>
      <c r="D3499" s="56">
        <v>2.221</v>
      </c>
    </row>
    <row r="3500" ht="15.75" customHeight="1">
      <c r="B3500" s="370">
        <f t="shared" si="2"/>
        <v>0.4047453704</v>
      </c>
      <c r="C3500" s="56">
        <f t="shared" si="3"/>
        <v>34970</v>
      </c>
      <c r="D3500" s="56">
        <v>2.639</v>
      </c>
    </row>
    <row r="3501" ht="15.75" customHeight="1">
      <c r="B3501" s="370">
        <f t="shared" si="2"/>
        <v>0.4048611111</v>
      </c>
      <c r="C3501" s="56">
        <f t="shared" si="3"/>
        <v>34980</v>
      </c>
      <c r="D3501" s="56">
        <v>3.051</v>
      </c>
    </row>
    <row r="3502" ht="15.75" customHeight="1">
      <c r="B3502" s="370">
        <f t="shared" si="2"/>
        <v>0.4049768519</v>
      </c>
      <c r="C3502" s="56">
        <f t="shared" si="3"/>
        <v>34990</v>
      </c>
      <c r="D3502" s="56">
        <v>3.377</v>
      </c>
    </row>
    <row r="3503" ht="15.75" customHeight="1">
      <c r="B3503" s="370">
        <f t="shared" si="2"/>
        <v>0.4050925926</v>
      </c>
      <c r="C3503" s="56">
        <f t="shared" si="3"/>
        <v>35000</v>
      </c>
      <c r="D3503" s="56">
        <v>3.317</v>
      </c>
    </row>
    <row r="3504" ht="15.75" customHeight="1">
      <c r="B3504" s="370">
        <f t="shared" si="2"/>
        <v>0.4052083333</v>
      </c>
      <c r="C3504" s="56">
        <f t="shared" si="3"/>
        <v>35010</v>
      </c>
      <c r="D3504" s="56">
        <v>3.247</v>
      </c>
    </row>
    <row r="3505" ht="15.75" customHeight="1">
      <c r="B3505" s="370">
        <f t="shared" si="2"/>
        <v>0.4053240741</v>
      </c>
      <c r="C3505" s="56">
        <f t="shared" si="3"/>
        <v>35020</v>
      </c>
      <c r="D3505" s="56">
        <v>2.957</v>
      </c>
    </row>
    <row r="3506" ht="15.75" customHeight="1">
      <c r="B3506" s="370">
        <f t="shared" si="2"/>
        <v>0.4054398148</v>
      </c>
      <c r="C3506" s="56">
        <f t="shared" si="3"/>
        <v>35030</v>
      </c>
      <c r="D3506" s="56">
        <v>2.627</v>
      </c>
    </row>
    <row r="3507" ht="15.75" customHeight="1">
      <c r="B3507" s="370">
        <f t="shared" si="2"/>
        <v>0.4055555556</v>
      </c>
      <c r="C3507" s="56">
        <f t="shared" si="3"/>
        <v>35040</v>
      </c>
      <c r="D3507" s="56">
        <v>2.692</v>
      </c>
    </row>
    <row r="3508" ht="15.75" customHeight="1">
      <c r="B3508" s="370">
        <f t="shared" si="2"/>
        <v>0.4056712963</v>
      </c>
      <c r="C3508" s="56">
        <f t="shared" si="3"/>
        <v>35050</v>
      </c>
      <c r="D3508" s="56">
        <v>2.743</v>
      </c>
    </row>
    <row r="3509" ht="15.75" customHeight="1">
      <c r="B3509" s="370">
        <f t="shared" si="2"/>
        <v>0.405787037</v>
      </c>
      <c r="C3509" s="56">
        <f t="shared" si="3"/>
        <v>35060</v>
      </c>
      <c r="D3509" s="56">
        <v>2.701</v>
      </c>
    </row>
    <row r="3510" ht="15.75" customHeight="1">
      <c r="B3510" s="370">
        <f t="shared" si="2"/>
        <v>0.4059027778</v>
      </c>
      <c r="C3510" s="56">
        <f t="shared" si="3"/>
        <v>35070</v>
      </c>
      <c r="D3510" s="56">
        <v>2.638</v>
      </c>
    </row>
    <row r="3511" ht="15.75" customHeight="1">
      <c r="B3511" s="370">
        <f t="shared" si="2"/>
        <v>0.4060185185</v>
      </c>
      <c r="C3511" s="56">
        <f t="shared" si="3"/>
        <v>35080</v>
      </c>
      <c r="D3511" s="56">
        <v>2.456</v>
      </c>
    </row>
    <row r="3512" ht="15.75" customHeight="1">
      <c r="B3512" s="370">
        <f t="shared" si="2"/>
        <v>0.4061342593</v>
      </c>
      <c r="C3512" s="56">
        <f t="shared" si="3"/>
        <v>35090</v>
      </c>
      <c r="D3512" s="56">
        <v>2.918</v>
      </c>
    </row>
    <row r="3513" ht="15.75" customHeight="1">
      <c r="B3513" s="370">
        <f t="shared" si="2"/>
        <v>0.40625</v>
      </c>
      <c r="C3513" s="56">
        <f t="shared" si="3"/>
        <v>35100</v>
      </c>
      <c r="D3513" s="56">
        <v>3.321</v>
      </c>
    </row>
    <row r="3514" ht="15.75" customHeight="1">
      <c r="B3514" s="370">
        <f t="shared" si="2"/>
        <v>0.4063657407</v>
      </c>
      <c r="C3514" s="56">
        <f t="shared" si="3"/>
        <v>35110</v>
      </c>
      <c r="D3514" s="56">
        <v>3.382</v>
      </c>
    </row>
    <row r="3515" ht="15.75" customHeight="1">
      <c r="B3515" s="370">
        <f t="shared" si="2"/>
        <v>0.4064814815</v>
      </c>
      <c r="C3515" s="56">
        <f t="shared" si="3"/>
        <v>35120</v>
      </c>
      <c r="D3515" s="56">
        <v>3.447</v>
      </c>
    </row>
    <row r="3516" ht="15.75" customHeight="1">
      <c r="B3516" s="370">
        <f t="shared" si="2"/>
        <v>0.4065972222</v>
      </c>
      <c r="C3516" s="56">
        <f t="shared" si="3"/>
        <v>35130</v>
      </c>
      <c r="D3516" s="56">
        <v>3.231</v>
      </c>
    </row>
    <row r="3517" ht="15.75" customHeight="1">
      <c r="B3517" s="370">
        <f t="shared" si="2"/>
        <v>0.406712963</v>
      </c>
      <c r="C3517" s="56">
        <f t="shared" si="3"/>
        <v>35140</v>
      </c>
      <c r="D3517" s="56">
        <v>2.671</v>
      </c>
    </row>
    <row r="3518" ht="15.75" customHeight="1">
      <c r="B3518" s="370">
        <f t="shared" si="2"/>
        <v>0.4068287037</v>
      </c>
      <c r="C3518" s="56">
        <f t="shared" si="3"/>
        <v>35150</v>
      </c>
      <c r="D3518" s="56">
        <v>2.203</v>
      </c>
    </row>
    <row r="3519" ht="15.75" customHeight="1">
      <c r="B3519" s="370">
        <f t="shared" si="2"/>
        <v>0.4069444444</v>
      </c>
      <c r="C3519" s="56">
        <f t="shared" si="3"/>
        <v>35160</v>
      </c>
      <c r="D3519" s="56">
        <v>1.986</v>
      </c>
    </row>
    <row r="3520" ht="15.75" customHeight="1">
      <c r="B3520" s="370">
        <f t="shared" si="2"/>
        <v>0.4070601852</v>
      </c>
      <c r="C3520" s="56">
        <f t="shared" si="3"/>
        <v>35170</v>
      </c>
      <c r="D3520" s="56">
        <v>2.505</v>
      </c>
    </row>
    <row r="3521" ht="15.75" customHeight="1">
      <c r="B3521" s="370">
        <f t="shared" si="2"/>
        <v>0.4071759259</v>
      </c>
      <c r="C3521" s="56">
        <f t="shared" si="3"/>
        <v>35180</v>
      </c>
      <c r="D3521" s="56">
        <v>3.01</v>
      </c>
    </row>
    <row r="3522" ht="15.75" customHeight="1">
      <c r="B3522" s="370">
        <f t="shared" si="2"/>
        <v>0.4072916667</v>
      </c>
      <c r="C3522" s="56">
        <f t="shared" si="3"/>
        <v>35190</v>
      </c>
      <c r="D3522" s="56">
        <v>3.426</v>
      </c>
    </row>
    <row r="3523" ht="15.75" customHeight="1">
      <c r="B3523" s="370">
        <f t="shared" si="2"/>
        <v>0.4074074074</v>
      </c>
      <c r="C3523" s="56">
        <f t="shared" si="3"/>
        <v>35200</v>
      </c>
      <c r="D3523" s="56">
        <v>3.408</v>
      </c>
    </row>
    <row r="3524" ht="15.75" customHeight="1">
      <c r="B3524" s="370">
        <f t="shared" si="2"/>
        <v>0.4075231481</v>
      </c>
      <c r="C3524" s="56">
        <f t="shared" si="3"/>
        <v>35210</v>
      </c>
      <c r="D3524" s="56">
        <v>3.344</v>
      </c>
    </row>
    <row r="3525" ht="15.75" customHeight="1">
      <c r="B3525" s="370">
        <f t="shared" si="2"/>
        <v>0.4076388889</v>
      </c>
      <c r="C3525" s="56">
        <f t="shared" si="3"/>
        <v>35220</v>
      </c>
      <c r="D3525" s="56">
        <v>3.176</v>
      </c>
    </row>
    <row r="3526" ht="15.75" customHeight="1">
      <c r="B3526" s="370">
        <f t="shared" si="2"/>
        <v>0.4077546296</v>
      </c>
      <c r="C3526" s="56">
        <f t="shared" si="3"/>
        <v>35230</v>
      </c>
      <c r="D3526" s="56">
        <v>2.415</v>
      </c>
    </row>
    <row r="3527" ht="15.75" customHeight="1">
      <c r="B3527" s="370">
        <f t="shared" si="2"/>
        <v>0.4078703704</v>
      </c>
      <c r="C3527" s="56">
        <f t="shared" si="3"/>
        <v>35240</v>
      </c>
      <c r="D3527" s="56">
        <v>2.561</v>
      </c>
    </row>
    <row r="3528" ht="15.75" customHeight="1">
      <c r="B3528" s="370">
        <f t="shared" si="2"/>
        <v>0.4079861111</v>
      </c>
      <c r="C3528" s="56">
        <f t="shared" si="3"/>
        <v>35250</v>
      </c>
      <c r="D3528" s="56">
        <v>2.697</v>
      </c>
    </row>
    <row r="3529" ht="15.75" customHeight="1">
      <c r="B3529" s="370">
        <f t="shared" si="2"/>
        <v>0.4081018519</v>
      </c>
      <c r="C3529" s="56">
        <f t="shared" si="3"/>
        <v>35260</v>
      </c>
      <c r="D3529" s="56">
        <v>2.722</v>
      </c>
    </row>
    <row r="3530" ht="15.75" customHeight="1">
      <c r="B3530" s="370">
        <f t="shared" si="2"/>
        <v>0.4082175926</v>
      </c>
      <c r="C3530" s="56">
        <f t="shared" si="3"/>
        <v>35270</v>
      </c>
      <c r="D3530" s="56">
        <v>2.751</v>
      </c>
    </row>
    <row r="3531" ht="15.75" customHeight="1">
      <c r="B3531" s="370">
        <f t="shared" si="2"/>
        <v>0.4083333333</v>
      </c>
      <c r="C3531" s="56">
        <f t="shared" si="3"/>
        <v>35280</v>
      </c>
      <c r="D3531" s="56">
        <v>2.64</v>
      </c>
    </row>
    <row r="3532" ht="15.75" customHeight="1">
      <c r="B3532" s="370">
        <f t="shared" si="2"/>
        <v>0.4084490741</v>
      </c>
      <c r="C3532" s="56">
        <f t="shared" si="3"/>
        <v>35290</v>
      </c>
      <c r="D3532" s="56">
        <v>2.745</v>
      </c>
    </row>
    <row r="3533" ht="15.75" customHeight="1">
      <c r="B3533" s="370">
        <f t="shared" si="2"/>
        <v>0.4085648148</v>
      </c>
      <c r="C3533" s="56">
        <f t="shared" si="3"/>
        <v>35300</v>
      </c>
      <c r="D3533" s="56">
        <v>0.0</v>
      </c>
    </row>
    <row r="3534" ht="15.75" customHeight="1">
      <c r="B3534" s="370">
        <f t="shared" si="2"/>
        <v>0.4086805556</v>
      </c>
      <c r="C3534" s="56">
        <f t="shared" si="3"/>
        <v>35310</v>
      </c>
      <c r="D3534" s="56">
        <v>0.0</v>
      </c>
    </row>
    <row r="3535" ht="15.75" customHeight="1">
      <c r="B3535" s="370">
        <f t="shared" si="2"/>
        <v>0.4087962963</v>
      </c>
      <c r="C3535" s="56">
        <f t="shared" si="3"/>
        <v>35320</v>
      </c>
      <c r="D3535" s="56">
        <v>0.0</v>
      </c>
    </row>
    <row r="3536" ht="15.75" customHeight="1">
      <c r="B3536" s="370">
        <f t="shared" si="2"/>
        <v>0.408912037</v>
      </c>
      <c r="C3536" s="56">
        <f t="shared" si="3"/>
        <v>35330</v>
      </c>
      <c r="D3536" s="56">
        <v>0.0</v>
      </c>
    </row>
    <row r="3537" ht="15.75" customHeight="1">
      <c r="B3537" s="370">
        <f t="shared" si="2"/>
        <v>0.4090277778</v>
      </c>
      <c r="C3537" s="56">
        <f t="shared" si="3"/>
        <v>35340</v>
      </c>
      <c r="D3537" s="56">
        <v>0.0</v>
      </c>
    </row>
    <row r="3538" ht="15.75" customHeight="1">
      <c r="B3538" s="370">
        <f t="shared" si="2"/>
        <v>0.4091435185</v>
      </c>
      <c r="C3538" s="56">
        <f t="shared" si="3"/>
        <v>35350</v>
      </c>
      <c r="D3538" s="56">
        <v>0.0</v>
      </c>
    </row>
    <row r="3539" ht="15.75" customHeight="1">
      <c r="B3539" s="370">
        <f t="shared" si="2"/>
        <v>0.4092592593</v>
      </c>
      <c r="C3539" s="56">
        <f t="shared" si="3"/>
        <v>35360</v>
      </c>
      <c r="D3539" s="56">
        <v>0.0</v>
      </c>
    </row>
    <row r="3540" ht="15.75" customHeight="1">
      <c r="B3540" s="370">
        <f t="shared" si="2"/>
        <v>0.409375</v>
      </c>
      <c r="C3540" s="56">
        <f t="shared" si="3"/>
        <v>35370</v>
      </c>
      <c r="D3540" s="56">
        <v>0.0</v>
      </c>
    </row>
    <row r="3541" ht="15.75" customHeight="1">
      <c r="B3541" s="370">
        <f t="shared" si="2"/>
        <v>0.4094907407</v>
      </c>
      <c r="C3541" s="56">
        <f t="shared" si="3"/>
        <v>35380</v>
      </c>
      <c r="D3541" s="56">
        <v>0.0</v>
      </c>
    </row>
    <row r="3542" ht="15.75" customHeight="1">
      <c r="B3542" s="370">
        <f t="shared" si="2"/>
        <v>0.4096064815</v>
      </c>
      <c r="C3542" s="56">
        <f t="shared" si="3"/>
        <v>35390</v>
      </c>
      <c r="D3542" s="56">
        <v>0.0</v>
      </c>
    </row>
    <row r="3543" ht="15.75" customHeight="1">
      <c r="B3543" s="370">
        <f t="shared" si="2"/>
        <v>0.4097222222</v>
      </c>
      <c r="C3543" s="56">
        <f t="shared" si="3"/>
        <v>35400</v>
      </c>
      <c r="D3543" s="56">
        <v>0.0</v>
      </c>
    </row>
    <row r="3544" ht="15.75" customHeight="1">
      <c r="B3544" s="370">
        <f t="shared" si="2"/>
        <v>0.409837963</v>
      </c>
      <c r="C3544" s="56">
        <f t="shared" si="3"/>
        <v>35410</v>
      </c>
      <c r="D3544" s="56">
        <v>0.0</v>
      </c>
    </row>
    <row r="3545" ht="15.75" customHeight="1">
      <c r="B3545" s="370">
        <f t="shared" si="2"/>
        <v>0.4099537037</v>
      </c>
      <c r="C3545" s="56">
        <f t="shared" si="3"/>
        <v>35420</v>
      </c>
      <c r="D3545" s="56">
        <v>0.0</v>
      </c>
    </row>
    <row r="3546" ht="15.75" customHeight="1">
      <c r="B3546" s="370">
        <f t="shared" si="2"/>
        <v>0.4100694444</v>
      </c>
      <c r="C3546" s="56">
        <f t="shared" si="3"/>
        <v>35430</v>
      </c>
      <c r="D3546" s="56">
        <v>0.0</v>
      </c>
    </row>
    <row r="3547" ht="15.75" customHeight="1">
      <c r="B3547" s="370">
        <f t="shared" si="2"/>
        <v>0.4101851852</v>
      </c>
      <c r="C3547" s="56">
        <f t="shared" si="3"/>
        <v>35440</v>
      </c>
      <c r="D3547" s="56">
        <v>0.0</v>
      </c>
    </row>
    <row r="3548" ht="15.75" customHeight="1">
      <c r="B3548" s="370">
        <f t="shared" si="2"/>
        <v>0.4103009259</v>
      </c>
      <c r="C3548" s="56">
        <f t="shared" si="3"/>
        <v>35450</v>
      </c>
      <c r="D3548" s="56">
        <v>0.0</v>
      </c>
    </row>
    <row r="3549" ht="15.75" customHeight="1">
      <c r="B3549" s="370">
        <f t="shared" si="2"/>
        <v>0.4104166667</v>
      </c>
      <c r="C3549" s="56">
        <f t="shared" si="3"/>
        <v>35460</v>
      </c>
      <c r="D3549" s="56">
        <v>0.0</v>
      </c>
    </row>
    <row r="3550" ht="15.75" customHeight="1">
      <c r="B3550" s="370">
        <f t="shared" si="2"/>
        <v>0.4105324074</v>
      </c>
      <c r="C3550" s="56">
        <f t="shared" si="3"/>
        <v>35470</v>
      </c>
      <c r="D3550" s="56">
        <v>0.0</v>
      </c>
    </row>
    <row r="3551" ht="15.75" customHeight="1">
      <c r="B3551" s="370">
        <f t="shared" si="2"/>
        <v>0.4106481481</v>
      </c>
      <c r="C3551" s="56">
        <f t="shared" si="3"/>
        <v>35480</v>
      </c>
      <c r="D3551" s="56">
        <v>0.0</v>
      </c>
    </row>
    <row r="3552" ht="15.75" customHeight="1">
      <c r="B3552" s="370">
        <f t="shared" si="2"/>
        <v>0.4107638889</v>
      </c>
      <c r="C3552" s="56">
        <f t="shared" si="3"/>
        <v>35490</v>
      </c>
      <c r="D3552" s="56">
        <v>0.0</v>
      </c>
    </row>
    <row r="3553" ht="15.75" customHeight="1">
      <c r="B3553" s="370">
        <f t="shared" si="2"/>
        <v>0.4108796296</v>
      </c>
      <c r="C3553" s="56">
        <f t="shared" si="3"/>
        <v>35500</v>
      </c>
      <c r="D3553" s="56">
        <v>0.0</v>
      </c>
    </row>
    <row r="3554" ht="15.75" customHeight="1">
      <c r="B3554" s="370">
        <f t="shared" si="2"/>
        <v>0.4109953704</v>
      </c>
      <c r="C3554" s="56">
        <f t="shared" si="3"/>
        <v>35510</v>
      </c>
      <c r="D3554" s="56">
        <v>0.0</v>
      </c>
    </row>
    <row r="3555" ht="15.75" customHeight="1">
      <c r="B3555" s="370">
        <f t="shared" si="2"/>
        <v>0.4111111111</v>
      </c>
      <c r="C3555" s="56">
        <f t="shared" si="3"/>
        <v>35520</v>
      </c>
      <c r="D3555" s="56">
        <v>0.0</v>
      </c>
    </row>
    <row r="3556" ht="15.75" customHeight="1">
      <c r="B3556" s="370">
        <f t="shared" si="2"/>
        <v>0.4112268519</v>
      </c>
      <c r="C3556" s="56">
        <f t="shared" si="3"/>
        <v>35530</v>
      </c>
      <c r="D3556" s="56">
        <v>0.0</v>
      </c>
    </row>
    <row r="3557" ht="15.75" customHeight="1">
      <c r="B3557" s="370">
        <f t="shared" si="2"/>
        <v>0.4113425926</v>
      </c>
      <c r="C3557" s="56">
        <f t="shared" si="3"/>
        <v>35540</v>
      </c>
      <c r="D3557" s="56">
        <v>0.0</v>
      </c>
    </row>
    <row r="3558" ht="15.75" customHeight="1">
      <c r="B3558" s="370">
        <f t="shared" si="2"/>
        <v>0.4114583333</v>
      </c>
      <c r="C3558" s="56">
        <f t="shared" si="3"/>
        <v>35550</v>
      </c>
      <c r="D3558" s="56">
        <v>0.0</v>
      </c>
    </row>
    <row r="3559" ht="15.75" customHeight="1">
      <c r="B3559" s="370">
        <f t="shared" si="2"/>
        <v>0.4115740741</v>
      </c>
      <c r="C3559" s="56">
        <f t="shared" si="3"/>
        <v>35560</v>
      </c>
      <c r="D3559" s="56">
        <v>0.0</v>
      </c>
    </row>
    <row r="3560" ht="15.75" customHeight="1">
      <c r="B3560" s="370">
        <f t="shared" si="2"/>
        <v>0.4116898148</v>
      </c>
      <c r="C3560" s="56">
        <f t="shared" si="3"/>
        <v>35570</v>
      </c>
      <c r="D3560" s="56">
        <v>0.0</v>
      </c>
    </row>
    <row r="3561" ht="15.75" customHeight="1">
      <c r="B3561" s="370">
        <f t="shared" si="2"/>
        <v>0.4118055556</v>
      </c>
      <c r="C3561" s="56">
        <f t="shared" si="3"/>
        <v>35580</v>
      </c>
      <c r="D3561" s="56">
        <v>0.0</v>
      </c>
    </row>
    <row r="3562" ht="15.75" customHeight="1">
      <c r="B3562" s="370">
        <f t="shared" si="2"/>
        <v>0.4119212963</v>
      </c>
      <c r="C3562" s="56">
        <f t="shared" si="3"/>
        <v>35590</v>
      </c>
      <c r="D3562" s="56">
        <v>0.0</v>
      </c>
    </row>
    <row r="3563" ht="15.75" customHeight="1">
      <c r="B3563" s="370">
        <f t="shared" si="2"/>
        <v>0.412037037</v>
      </c>
      <c r="C3563" s="56">
        <f t="shared" si="3"/>
        <v>35600</v>
      </c>
      <c r="D3563" s="56">
        <v>0.0</v>
      </c>
    </row>
    <row r="3564" ht="15.75" customHeight="1">
      <c r="B3564" s="370">
        <f t="shared" si="2"/>
        <v>0.4121527778</v>
      </c>
      <c r="C3564" s="56">
        <f t="shared" si="3"/>
        <v>35610</v>
      </c>
      <c r="D3564" s="56">
        <v>0.0</v>
      </c>
    </row>
    <row r="3565" ht="15.75" customHeight="1">
      <c r="B3565" s="370">
        <f t="shared" si="2"/>
        <v>0.4122685185</v>
      </c>
      <c r="C3565" s="56">
        <f t="shared" si="3"/>
        <v>35620</v>
      </c>
      <c r="D3565" s="56">
        <v>0.0</v>
      </c>
    </row>
    <row r="3566" ht="15.75" customHeight="1">
      <c r="B3566" s="370">
        <f t="shared" si="2"/>
        <v>0.4123842593</v>
      </c>
      <c r="C3566" s="56">
        <f t="shared" si="3"/>
        <v>35630</v>
      </c>
      <c r="D3566" s="56">
        <v>0.0</v>
      </c>
    </row>
    <row r="3567" ht="15.75" customHeight="1">
      <c r="B3567" s="370">
        <f t="shared" si="2"/>
        <v>0.4125</v>
      </c>
      <c r="C3567" s="56">
        <f t="shared" si="3"/>
        <v>35640</v>
      </c>
      <c r="D3567" s="56">
        <v>0.0</v>
      </c>
    </row>
    <row r="3568" ht="15.75" customHeight="1">
      <c r="B3568" s="370">
        <f t="shared" si="2"/>
        <v>0.4126157407</v>
      </c>
      <c r="C3568" s="56">
        <f t="shared" si="3"/>
        <v>35650</v>
      </c>
      <c r="D3568" s="56">
        <v>0.0</v>
      </c>
    </row>
    <row r="3569" ht="15.75" customHeight="1">
      <c r="B3569" s="370">
        <f t="shared" si="2"/>
        <v>0.4127314815</v>
      </c>
      <c r="C3569" s="56">
        <f t="shared" si="3"/>
        <v>35660</v>
      </c>
      <c r="D3569" s="56">
        <v>0.0</v>
      </c>
    </row>
    <row r="3570" ht="15.75" customHeight="1">
      <c r="B3570" s="370">
        <f t="shared" si="2"/>
        <v>0.4128472222</v>
      </c>
      <c r="C3570" s="56">
        <f t="shared" si="3"/>
        <v>35670</v>
      </c>
      <c r="D3570" s="56">
        <v>0.0</v>
      </c>
    </row>
    <row r="3571" ht="15.75" customHeight="1">
      <c r="B3571" s="370">
        <f t="shared" si="2"/>
        <v>0.412962963</v>
      </c>
      <c r="C3571" s="56">
        <f t="shared" si="3"/>
        <v>35680</v>
      </c>
      <c r="D3571" s="56">
        <v>0.0</v>
      </c>
    </row>
    <row r="3572" ht="15.75" customHeight="1">
      <c r="B3572" s="370">
        <f t="shared" si="2"/>
        <v>0.4130787037</v>
      </c>
      <c r="C3572" s="56">
        <f t="shared" si="3"/>
        <v>35690</v>
      </c>
      <c r="D3572" s="56">
        <v>0.0</v>
      </c>
    </row>
    <row r="3573" ht="15.75" customHeight="1">
      <c r="B3573" s="370">
        <f t="shared" si="2"/>
        <v>0.4131944444</v>
      </c>
      <c r="C3573" s="56">
        <f t="shared" si="3"/>
        <v>35700</v>
      </c>
      <c r="D3573" s="56">
        <v>0.0</v>
      </c>
    </row>
    <row r="3574" ht="15.75" customHeight="1">
      <c r="B3574" s="370">
        <f t="shared" si="2"/>
        <v>0.4133101852</v>
      </c>
      <c r="C3574" s="56">
        <f t="shared" si="3"/>
        <v>35710</v>
      </c>
      <c r="D3574" s="56">
        <v>0.0</v>
      </c>
    </row>
    <row r="3575" ht="15.75" customHeight="1">
      <c r="B3575" s="370">
        <f t="shared" si="2"/>
        <v>0.4134259259</v>
      </c>
      <c r="C3575" s="56">
        <f t="shared" si="3"/>
        <v>35720</v>
      </c>
      <c r="D3575" s="56">
        <v>0.0</v>
      </c>
    </row>
    <row r="3576" ht="15.75" customHeight="1">
      <c r="B3576" s="370">
        <f t="shared" si="2"/>
        <v>0.4135416667</v>
      </c>
      <c r="C3576" s="56">
        <f t="shared" si="3"/>
        <v>35730</v>
      </c>
      <c r="D3576" s="56">
        <v>0.0</v>
      </c>
    </row>
    <row r="3577" ht="15.75" customHeight="1">
      <c r="B3577" s="370">
        <f t="shared" si="2"/>
        <v>0.4136574074</v>
      </c>
      <c r="C3577" s="56">
        <f t="shared" si="3"/>
        <v>35740</v>
      </c>
      <c r="D3577" s="56">
        <v>0.0</v>
      </c>
    </row>
    <row r="3578" ht="15.75" customHeight="1">
      <c r="B3578" s="370">
        <f t="shared" si="2"/>
        <v>0.4137731481</v>
      </c>
      <c r="C3578" s="56">
        <f t="shared" si="3"/>
        <v>35750</v>
      </c>
      <c r="D3578" s="56">
        <v>0.0</v>
      </c>
    </row>
    <row r="3579" ht="15.75" customHeight="1">
      <c r="B3579" s="370">
        <f t="shared" si="2"/>
        <v>0.4138888889</v>
      </c>
      <c r="C3579" s="56">
        <f t="shared" si="3"/>
        <v>35760</v>
      </c>
      <c r="D3579" s="56">
        <v>0.0</v>
      </c>
    </row>
    <row r="3580" ht="15.75" customHeight="1">
      <c r="B3580" s="370">
        <f t="shared" si="2"/>
        <v>0.4140046296</v>
      </c>
      <c r="C3580" s="56">
        <f t="shared" si="3"/>
        <v>35770</v>
      </c>
      <c r="D3580" s="56">
        <v>0.0</v>
      </c>
    </row>
    <row r="3581" ht="15.75" customHeight="1">
      <c r="B3581" s="370">
        <f t="shared" si="2"/>
        <v>0.4141203704</v>
      </c>
      <c r="C3581" s="56">
        <f t="shared" si="3"/>
        <v>35780</v>
      </c>
      <c r="D3581" s="56">
        <v>0.0</v>
      </c>
    </row>
    <row r="3582" ht="15.75" customHeight="1">
      <c r="B3582" s="370">
        <f t="shared" si="2"/>
        <v>0.4142361111</v>
      </c>
      <c r="C3582" s="56">
        <f t="shared" si="3"/>
        <v>35790</v>
      </c>
      <c r="D3582" s="56">
        <v>0.0</v>
      </c>
    </row>
    <row r="3583" ht="15.75" customHeight="1">
      <c r="B3583" s="370">
        <f t="shared" si="2"/>
        <v>0.4143518519</v>
      </c>
      <c r="C3583" s="56">
        <f t="shared" si="3"/>
        <v>35800</v>
      </c>
      <c r="D3583" s="56">
        <v>0.0</v>
      </c>
    </row>
    <row r="3584" ht="15.75" customHeight="1">
      <c r="B3584" s="370">
        <f t="shared" si="2"/>
        <v>0.4144675926</v>
      </c>
      <c r="C3584" s="56">
        <f t="shared" si="3"/>
        <v>35810</v>
      </c>
      <c r="D3584" s="56">
        <v>0.0</v>
      </c>
    </row>
    <row r="3585" ht="15.75" customHeight="1">
      <c r="B3585" s="370">
        <f t="shared" si="2"/>
        <v>0.4145833333</v>
      </c>
      <c r="C3585" s="56">
        <f t="shared" si="3"/>
        <v>35820</v>
      </c>
      <c r="D3585" s="56">
        <v>0.0</v>
      </c>
    </row>
    <row r="3586" ht="15.75" customHeight="1">
      <c r="B3586" s="370">
        <f t="shared" si="2"/>
        <v>0.4146990741</v>
      </c>
      <c r="C3586" s="56">
        <f t="shared" si="3"/>
        <v>35830</v>
      </c>
      <c r="D3586" s="56">
        <v>0.0</v>
      </c>
    </row>
    <row r="3587" ht="15.75" customHeight="1">
      <c r="B3587" s="370">
        <f t="shared" si="2"/>
        <v>0.4148148148</v>
      </c>
      <c r="C3587" s="56">
        <f t="shared" si="3"/>
        <v>35840</v>
      </c>
      <c r="D3587" s="56">
        <v>0.0</v>
      </c>
    </row>
    <row r="3588" ht="15.75" customHeight="1">
      <c r="B3588" s="370">
        <f t="shared" si="2"/>
        <v>0.4149305556</v>
      </c>
      <c r="C3588" s="56">
        <f t="shared" si="3"/>
        <v>35850</v>
      </c>
      <c r="D3588" s="56">
        <v>0.0</v>
      </c>
    </row>
    <row r="3589" ht="15.75" customHeight="1">
      <c r="B3589" s="370">
        <f t="shared" si="2"/>
        <v>0.4150462963</v>
      </c>
      <c r="C3589" s="56">
        <f t="shared" si="3"/>
        <v>35860</v>
      </c>
      <c r="D3589" s="56">
        <v>0.0</v>
      </c>
    </row>
    <row r="3590" ht="15.75" customHeight="1">
      <c r="B3590" s="370">
        <f t="shared" si="2"/>
        <v>0.415162037</v>
      </c>
      <c r="C3590" s="56">
        <f t="shared" si="3"/>
        <v>35870</v>
      </c>
      <c r="D3590" s="56">
        <v>0.0</v>
      </c>
    </row>
    <row r="3591" ht="15.75" customHeight="1">
      <c r="B3591" s="370">
        <f t="shared" si="2"/>
        <v>0.4152777778</v>
      </c>
      <c r="C3591" s="56">
        <f t="shared" si="3"/>
        <v>35880</v>
      </c>
      <c r="D3591" s="56">
        <v>0.0</v>
      </c>
    </row>
    <row r="3592" ht="15.75" customHeight="1">
      <c r="B3592" s="370">
        <f t="shared" si="2"/>
        <v>0.4153935185</v>
      </c>
      <c r="C3592" s="56">
        <f t="shared" si="3"/>
        <v>35890</v>
      </c>
      <c r="D3592" s="56">
        <v>0.0</v>
      </c>
    </row>
    <row r="3593" ht="15.75" customHeight="1">
      <c r="B3593" s="370">
        <f t="shared" si="2"/>
        <v>0.4155092593</v>
      </c>
      <c r="C3593" s="56">
        <f t="shared" si="3"/>
        <v>35900</v>
      </c>
      <c r="D3593" s="56">
        <v>0.0</v>
      </c>
    </row>
    <row r="3594" ht="15.75" customHeight="1">
      <c r="B3594" s="370">
        <f t="shared" si="2"/>
        <v>0.415625</v>
      </c>
      <c r="C3594" s="56">
        <f t="shared" si="3"/>
        <v>35910</v>
      </c>
      <c r="D3594" s="56">
        <v>0.0</v>
      </c>
    </row>
    <row r="3595" ht="15.75" customHeight="1">
      <c r="B3595" s="370">
        <f t="shared" si="2"/>
        <v>0.4157407407</v>
      </c>
      <c r="C3595" s="56">
        <f t="shared" si="3"/>
        <v>35920</v>
      </c>
      <c r="D3595" s="56">
        <v>0.0</v>
      </c>
    </row>
    <row r="3596" ht="15.75" customHeight="1">
      <c r="B3596" s="370">
        <f t="shared" si="2"/>
        <v>0.4158564815</v>
      </c>
      <c r="C3596" s="56">
        <f t="shared" si="3"/>
        <v>35930</v>
      </c>
      <c r="D3596" s="56">
        <v>0.0</v>
      </c>
    </row>
    <row r="3597" ht="15.75" customHeight="1">
      <c r="B3597" s="370">
        <f t="shared" si="2"/>
        <v>0.4159722222</v>
      </c>
      <c r="C3597" s="56">
        <f t="shared" si="3"/>
        <v>35940</v>
      </c>
      <c r="D3597" s="56">
        <v>0.0</v>
      </c>
    </row>
    <row r="3598" ht="15.75" customHeight="1">
      <c r="B3598" s="370">
        <f t="shared" si="2"/>
        <v>0.416087963</v>
      </c>
      <c r="C3598" s="56">
        <f t="shared" si="3"/>
        <v>35950</v>
      </c>
      <c r="D3598" s="56">
        <v>0.0</v>
      </c>
    </row>
    <row r="3599" ht="15.75" customHeight="1">
      <c r="B3599" s="370">
        <f t="shared" si="2"/>
        <v>0.4162037037</v>
      </c>
      <c r="C3599" s="56">
        <f t="shared" si="3"/>
        <v>35960</v>
      </c>
      <c r="D3599" s="56">
        <v>0.0</v>
      </c>
    </row>
    <row r="3600" ht="15.75" customHeight="1">
      <c r="B3600" s="370">
        <f t="shared" si="2"/>
        <v>0.4163194444</v>
      </c>
      <c r="C3600" s="56">
        <f t="shared" si="3"/>
        <v>35970</v>
      </c>
      <c r="D3600" s="56">
        <v>0.0</v>
      </c>
    </row>
    <row r="3601" ht="15.75" customHeight="1">
      <c r="B3601" s="370">
        <f t="shared" si="2"/>
        <v>0.4164351852</v>
      </c>
      <c r="C3601" s="56">
        <f t="shared" si="3"/>
        <v>35980</v>
      </c>
      <c r="D3601" s="56">
        <v>0.0</v>
      </c>
    </row>
    <row r="3602" ht="15.75" customHeight="1">
      <c r="B3602" s="370">
        <f t="shared" si="2"/>
        <v>0.4165509259</v>
      </c>
      <c r="C3602" s="56">
        <f t="shared" si="3"/>
        <v>35990</v>
      </c>
      <c r="D3602" s="56">
        <v>0.0</v>
      </c>
    </row>
    <row r="3603" ht="15.75" customHeight="1">
      <c r="B3603" s="370">
        <f t="shared" si="2"/>
        <v>0.4166666667</v>
      </c>
      <c r="C3603" s="56">
        <f t="shared" si="3"/>
        <v>36000</v>
      </c>
      <c r="D3603" s="56">
        <v>0.0</v>
      </c>
    </row>
    <row r="3604" ht="15.75" customHeight="1">
      <c r="B3604" s="370">
        <f t="shared" si="2"/>
        <v>0.4167824074</v>
      </c>
      <c r="C3604" s="56">
        <f t="shared" si="3"/>
        <v>36010</v>
      </c>
      <c r="D3604" s="56">
        <v>0.0</v>
      </c>
    </row>
    <row r="3605" ht="15.75" customHeight="1">
      <c r="B3605" s="370">
        <f t="shared" si="2"/>
        <v>0.4168981481</v>
      </c>
      <c r="C3605" s="56">
        <f t="shared" si="3"/>
        <v>36020</v>
      </c>
      <c r="D3605" s="56">
        <v>0.0</v>
      </c>
    </row>
    <row r="3606" ht="15.75" customHeight="1">
      <c r="B3606" s="370">
        <f t="shared" si="2"/>
        <v>0.4170138889</v>
      </c>
      <c r="C3606" s="56">
        <f t="shared" si="3"/>
        <v>36030</v>
      </c>
      <c r="D3606" s="56">
        <v>0.0</v>
      </c>
    </row>
    <row r="3607" ht="15.75" customHeight="1">
      <c r="B3607" s="370">
        <f t="shared" si="2"/>
        <v>0.4171296296</v>
      </c>
      <c r="C3607" s="56">
        <f t="shared" si="3"/>
        <v>36040</v>
      </c>
      <c r="D3607" s="56">
        <v>0.0</v>
      </c>
    </row>
    <row r="3608" ht="15.75" customHeight="1">
      <c r="B3608" s="370">
        <f t="shared" si="2"/>
        <v>0.4172453704</v>
      </c>
      <c r="C3608" s="56">
        <f t="shared" si="3"/>
        <v>36050</v>
      </c>
      <c r="D3608" s="56">
        <v>0.0</v>
      </c>
    </row>
    <row r="3609" ht="15.75" customHeight="1">
      <c r="B3609" s="370">
        <f t="shared" si="2"/>
        <v>0.4173611111</v>
      </c>
      <c r="C3609" s="56">
        <f t="shared" si="3"/>
        <v>36060</v>
      </c>
      <c r="D3609" s="56">
        <v>0.0</v>
      </c>
    </row>
    <row r="3610" ht="15.75" customHeight="1">
      <c r="B3610" s="370">
        <f t="shared" si="2"/>
        <v>0.4174768519</v>
      </c>
      <c r="C3610" s="56">
        <f t="shared" si="3"/>
        <v>36070</v>
      </c>
      <c r="D3610" s="56">
        <v>0.0</v>
      </c>
    </row>
    <row r="3611" ht="15.75" customHeight="1">
      <c r="B3611" s="370">
        <f t="shared" si="2"/>
        <v>0.4175925926</v>
      </c>
      <c r="C3611" s="56">
        <f t="shared" si="3"/>
        <v>36080</v>
      </c>
      <c r="D3611" s="56">
        <v>0.0</v>
      </c>
    </row>
    <row r="3612" ht="15.75" customHeight="1">
      <c r="B3612" s="370">
        <f t="shared" si="2"/>
        <v>0.4177083333</v>
      </c>
      <c r="C3612" s="56">
        <f t="shared" si="3"/>
        <v>36090</v>
      </c>
      <c r="D3612" s="56">
        <v>0.0</v>
      </c>
    </row>
    <row r="3613" ht="15.75" customHeight="1">
      <c r="B3613" s="370">
        <f t="shared" si="2"/>
        <v>0.4178240741</v>
      </c>
      <c r="C3613" s="56">
        <f t="shared" si="3"/>
        <v>36100</v>
      </c>
      <c r="D3613" s="56">
        <v>0.0</v>
      </c>
    </row>
    <row r="3614" ht="15.75" customHeight="1">
      <c r="B3614" s="370">
        <f t="shared" si="2"/>
        <v>0.4179398148</v>
      </c>
      <c r="C3614" s="56">
        <f t="shared" si="3"/>
        <v>36110</v>
      </c>
      <c r="D3614" s="56">
        <v>0.0</v>
      </c>
    </row>
    <row r="3615" ht="15.75" customHeight="1">
      <c r="B3615" s="370">
        <f t="shared" si="2"/>
        <v>0.4180555556</v>
      </c>
      <c r="C3615" s="56">
        <f t="shared" si="3"/>
        <v>36120</v>
      </c>
      <c r="D3615" s="56">
        <v>0.0</v>
      </c>
    </row>
    <row r="3616" ht="15.75" customHeight="1">
      <c r="B3616" s="370">
        <f t="shared" si="2"/>
        <v>0.4181712963</v>
      </c>
      <c r="C3616" s="56">
        <f t="shared" si="3"/>
        <v>36130</v>
      </c>
      <c r="D3616" s="56">
        <v>0.0</v>
      </c>
    </row>
    <row r="3617" ht="15.75" customHeight="1">
      <c r="B3617" s="370">
        <f t="shared" si="2"/>
        <v>0.418287037</v>
      </c>
      <c r="C3617" s="56">
        <f t="shared" si="3"/>
        <v>36140</v>
      </c>
      <c r="D3617" s="56">
        <v>0.0</v>
      </c>
    </row>
    <row r="3618" ht="15.75" customHeight="1">
      <c r="B3618" s="370">
        <f t="shared" si="2"/>
        <v>0.4184027778</v>
      </c>
      <c r="C3618" s="56">
        <f t="shared" si="3"/>
        <v>36150</v>
      </c>
      <c r="D3618" s="56">
        <v>0.0</v>
      </c>
    </row>
    <row r="3619" ht="15.75" customHeight="1">
      <c r="B3619" s="370">
        <f t="shared" si="2"/>
        <v>0.4185185185</v>
      </c>
      <c r="C3619" s="56">
        <f t="shared" si="3"/>
        <v>36160</v>
      </c>
      <c r="D3619" s="56">
        <v>0.0</v>
      </c>
    </row>
    <row r="3620" ht="15.75" customHeight="1">
      <c r="B3620" s="370">
        <f t="shared" si="2"/>
        <v>0.4186342593</v>
      </c>
      <c r="C3620" s="56">
        <f t="shared" si="3"/>
        <v>36170</v>
      </c>
      <c r="D3620" s="56">
        <v>0.0</v>
      </c>
    </row>
    <row r="3621" ht="15.75" customHeight="1">
      <c r="B3621" s="370">
        <f t="shared" si="2"/>
        <v>0.41875</v>
      </c>
      <c r="C3621" s="56">
        <f t="shared" si="3"/>
        <v>36180</v>
      </c>
      <c r="D3621" s="56">
        <v>0.0</v>
      </c>
    </row>
    <row r="3622" ht="15.75" customHeight="1">
      <c r="B3622" s="370">
        <f t="shared" si="2"/>
        <v>0.4188657407</v>
      </c>
      <c r="C3622" s="56">
        <f t="shared" si="3"/>
        <v>36190</v>
      </c>
      <c r="D3622" s="56">
        <v>0.0</v>
      </c>
    </row>
    <row r="3623" ht="15.75" customHeight="1">
      <c r="B3623" s="370">
        <f t="shared" si="2"/>
        <v>0.4189814815</v>
      </c>
      <c r="C3623" s="56">
        <f t="shared" si="3"/>
        <v>36200</v>
      </c>
      <c r="D3623" s="56">
        <v>0.0</v>
      </c>
    </row>
    <row r="3624" ht="15.75" customHeight="1">
      <c r="B3624" s="370">
        <f t="shared" si="2"/>
        <v>0.4190972222</v>
      </c>
      <c r="C3624" s="56">
        <f t="shared" si="3"/>
        <v>36210</v>
      </c>
      <c r="D3624" s="56">
        <v>0.0</v>
      </c>
    </row>
    <row r="3625" ht="15.75" customHeight="1">
      <c r="B3625" s="370">
        <f t="shared" si="2"/>
        <v>0.419212963</v>
      </c>
      <c r="C3625" s="56">
        <f t="shared" si="3"/>
        <v>36220</v>
      </c>
      <c r="D3625" s="56">
        <v>0.0</v>
      </c>
    </row>
    <row r="3626" ht="15.75" customHeight="1">
      <c r="B3626" s="370">
        <f t="shared" si="2"/>
        <v>0.4193287037</v>
      </c>
      <c r="C3626" s="56">
        <f t="shared" si="3"/>
        <v>36230</v>
      </c>
      <c r="D3626" s="56">
        <v>0.0</v>
      </c>
    </row>
    <row r="3627" ht="15.75" customHeight="1">
      <c r="B3627" s="370">
        <f t="shared" si="2"/>
        <v>0.4194444444</v>
      </c>
      <c r="C3627" s="56">
        <f t="shared" si="3"/>
        <v>36240</v>
      </c>
      <c r="D3627" s="56">
        <v>0.0</v>
      </c>
    </row>
    <row r="3628" ht="15.75" customHeight="1">
      <c r="B3628" s="370">
        <f t="shared" si="2"/>
        <v>0.4195601852</v>
      </c>
      <c r="C3628" s="56">
        <f t="shared" si="3"/>
        <v>36250</v>
      </c>
      <c r="D3628" s="56">
        <v>0.0</v>
      </c>
    </row>
    <row r="3629" ht="15.75" customHeight="1">
      <c r="B3629" s="370">
        <f t="shared" si="2"/>
        <v>0.4196759259</v>
      </c>
      <c r="C3629" s="56">
        <f t="shared" si="3"/>
        <v>36260</v>
      </c>
      <c r="D3629" s="56">
        <v>0.0</v>
      </c>
    </row>
    <row r="3630" ht="15.75" customHeight="1">
      <c r="B3630" s="370">
        <f t="shared" si="2"/>
        <v>0.4197916667</v>
      </c>
      <c r="C3630" s="56">
        <f t="shared" si="3"/>
        <v>36270</v>
      </c>
      <c r="D3630" s="56">
        <v>0.0</v>
      </c>
    </row>
    <row r="3631" ht="15.75" customHeight="1">
      <c r="B3631" s="370">
        <f t="shared" si="2"/>
        <v>0.4199074074</v>
      </c>
      <c r="C3631" s="56">
        <f t="shared" si="3"/>
        <v>36280</v>
      </c>
      <c r="D3631" s="56">
        <v>0.0</v>
      </c>
    </row>
    <row r="3632" ht="15.75" customHeight="1">
      <c r="B3632" s="370">
        <f t="shared" si="2"/>
        <v>0.4200231481</v>
      </c>
      <c r="C3632" s="56">
        <f t="shared" si="3"/>
        <v>36290</v>
      </c>
      <c r="D3632" s="56">
        <v>0.0</v>
      </c>
    </row>
    <row r="3633" ht="15.75" customHeight="1">
      <c r="B3633" s="370">
        <f t="shared" si="2"/>
        <v>0.4201388889</v>
      </c>
      <c r="C3633" s="56">
        <f t="shared" si="3"/>
        <v>36300</v>
      </c>
      <c r="D3633" s="56">
        <v>0.0</v>
      </c>
    </row>
    <row r="3634" ht="15.75" customHeight="1">
      <c r="B3634" s="370">
        <f t="shared" si="2"/>
        <v>0.4202546296</v>
      </c>
      <c r="C3634" s="56">
        <f t="shared" si="3"/>
        <v>36310</v>
      </c>
      <c r="D3634" s="56">
        <v>0.0</v>
      </c>
    </row>
    <row r="3635" ht="15.75" customHeight="1">
      <c r="B3635" s="370">
        <f t="shared" si="2"/>
        <v>0.4203703704</v>
      </c>
      <c r="C3635" s="56">
        <f t="shared" si="3"/>
        <v>36320</v>
      </c>
      <c r="D3635" s="56">
        <v>0.0</v>
      </c>
    </row>
    <row r="3636" ht="15.75" customHeight="1">
      <c r="B3636" s="370">
        <f t="shared" si="2"/>
        <v>0.4204861111</v>
      </c>
      <c r="C3636" s="56">
        <f t="shared" si="3"/>
        <v>36330</v>
      </c>
      <c r="D3636" s="56">
        <v>0.0</v>
      </c>
    </row>
    <row r="3637" ht="15.75" customHeight="1">
      <c r="B3637" s="370">
        <f t="shared" si="2"/>
        <v>0.4206018519</v>
      </c>
      <c r="C3637" s="56">
        <f t="shared" si="3"/>
        <v>36340</v>
      </c>
      <c r="D3637" s="56">
        <v>0.0</v>
      </c>
    </row>
    <row r="3638" ht="15.75" customHeight="1">
      <c r="B3638" s="370">
        <f t="shared" si="2"/>
        <v>0.4207175926</v>
      </c>
      <c r="C3638" s="56">
        <f t="shared" si="3"/>
        <v>36350</v>
      </c>
      <c r="D3638" s="56">
        <v>0.0</v>
      </c>
    </row>
    <row r="3639" ht="15.75" customHeight="1">
      <c r="B3639" s="370">
        <f t="shared" si="2"/>
        <v>0.4208333333</v>
      </c>
      <c r="C3639" s="56">
        <f t="shared" si="3"/>
        <v>36360</v>
      </c>
      <c r="D3639" s="56">
        <v>0.0</v>
      </c>
    </row>
    <row r="3640" ht="15.75" customHeight="1">
      <c r="B3640" s="370">
        <f t="shared" si="2"/>
        <v>0.4209490741</v>
      </c>
      <c r="C3640" s="56">
        <f t="shared" si="3"/>
        <v>36370</v>
      </c>
      <c r="D3640" s="56">
        <v>0.0</v>
      </c>
    </row>
    <row r="3641" ht="15.75" customHeight="1">
      <c r="B3641" s="370">
        <f t="shared" si="2"/>
        <v>0.4210648148</v>
      </c>
      <c r="C3641" s="56">
        <f t="shared" si="3"/>
        <v>36380</v>
      </c>
      <c r="D3641" s="56">
        <v>0.0</v>
      </c>
    </row>
    <row r="3642" ht="15.75" customHeight="1">
      <c r="B3642" s="370">
        <f t="shared" si="2"/>
        <v>0.4211805556</v>
      </c>
      <c r="C3642" s="56">
        <f t="shared" si="3"/>
        <v>36390</v>
      </c>
      <c r="D3642" s="56">
        <v>0.0</v>
      </c>
    </row>
    <row r="3643" ht="15.75" customHeight="1">
      <c r="B3643" s="370">
        <f t="shared" si="2"/>
        <v>0.4212962963</v>
      </c>
      <c r="C3643" s="56">
        <f t="shared" si="3"/>
        <v>36400</v>
      </c>
      <c r="D3643" s="56">
        <v>0.0</v>
      </c>
    </row>
    <row r="3644" ht="15.75" customHeight="1">
      <c r="B3644" s="370">
        <f t="shared" si="2"/>
        <v>0.421412037</v>
      </c>
      <c r="C3644" s="56">
        <f t="shared" si="3"/>
        <v>36410</v>
      </c>
      <c r="D3644" s="56">
        <v>0.0</v>
      </c>
    </row>
    <row r="3645" ht="15.75" customHeight="1">
      <c r="B3645" s="370">
        <f t="shared" si="2"/>
        <v>0.4215277778</v>
      </c>
      <c r="C3645" s="56">
        <f t="shared" si="3"/>
        <v>36420</v>
      </c>
      <c r="D3645" s="56">
        <v>0.0</v>
      </c>
    </row>
    <row r="3646" ht="15.75" customHeight="1">
      <c r="B3646" s="370">
        <f t="shared" si="2"/>
        <v>0.4216435185</v>
      </c>
      <c r="C3646" s="56">
        <f t="shared" si="3"/>
        <v>36430</v>
      </c>
      <c r="D3646" s="56">
        <v>0.0</v>
      </c>
    </row>
    <row r="3647" ht="15.75" customHeight="1">
      <c r="B3647" s="370">
        <f t="shared" si="2"/>
        <v>0.4217592593</v>
      </c>
      <c r="C3647" s="56">
        <f t="shared" si="3"/>
        <v>36440</v>
      </c>
      <c r="D3647" s="56">
        <v>0.0</v>
      </c>
    </row>
    <row r="3648" ht="15.75" customHeight="1">
      <c r="B3648" s="370">
        <f t="shared" si="2"/>
        <v>0.421875</v>
      </c>
      <c r="C3648" s="56">
        <f t="shared" si="3"/>
        <v>36450</v>
      </c>
      <c r="D3648" s="56">
        <v>0.0</v>
      </c>
    </row>
    <row r="3649" ht="15.75" customHeight="1">
      <c r="B3649" s="370">
        <f t="shared" si="2"/>
        <v>0.4219907407</v>
      </c>
      <c r="C3649" s="56">
        <f t="shared" si="3"/>
        <v>36460</v>
      </c>
      <c r="D3649" s="56">
        <v>0.0</v>
      </c>
    </row>
    <row r="3650" ht="15.75" customHeight="1">
      <c r="B3650" s="370">
        <f t="shared" si="2"/>
        <v>0.4221064815</v>
      </c>
      <c r="C3650" s="56">
        <f t="shared" si="3"/>
        <v>36470</v>
      </c>
      <c r="D3650" s="56">
        <v>0.0</v>
      </c>
    </row>
    <row r="3651" ht="15.75" customHeight="1">
      <c r="B3651" s="370">
        <f t="shared" si="2"/>
        <v>0.4222222222</v>
      </c>
      <c r="C3651" s="56">
        <f t="shared" si="3"/>
        <v>36480</v>
      </c>
      <c r="D3651" s="56">
        <v>0.0</v>
      </c>
    </row>
    <row r="3652" ht="15.75" customHeight="1">
      <c r="B3652" s="370">
        <f t="shared" si="2"/>
        <v>0.422337963</v>
      </c>
      <c r="C3652" s="56">
        <f t="shared" si="3"/>
        <v>36490</v>
      </c>
      <c r="D3652" s="56">
        <v>0.0</v>
      </c>
    </row>
    <row r="3653" ht="15.75" customHeight="1">
      <c r="B3653" s="370">
        <f t="shared" si="2"/>
        <v>0.4224537037</v>
      </c>
      <c r="C3653" s="56">
        <f t="shared" si="3"/>
        <v>36500</v>
      </c>
      <c r="D3653" s="56">
        <v>0.0</v>
      </c>
    </row>
    <row r="3654" ht="15.75" customHeight="1">
      <c r="B3654" s="370">
        <f t="shared" si="2"/>
        <v>0.4225694444</v>
      </c>
      <c r="C3654" s="56">
        <f t="shared" si="3"/>
        <v>36510</v>
      </c>
      <c r="D3654" s="56">
        <v>0.0</v>
      </c>
    </row>
    <row r="3655" ht="15.75" customHeight="1">
      <c r="B3655" s="370">
        <f t="shared" si="2"/>
        <v>0.4226851852</v>
      </c>
      <c r="C3655" s="56">
        <f t="shared" si="3"/>
        <v>36520</v>
      </c>
      <c r="D3655" s="56">
        <v>0.0</v>
      </c>
    </row>
    <row r="3656" ht="15.75" customHeight="1">
      <c r="B3656" s="370">
        <f t="shared" si="2"/>
        <v>0.4228009259</v>
      </c>
      <c r="C3656" s="56">
        <f t="shared" si="3"/>
        <v>36530</v>
      </c>
      <c r="D3656" s="56">
        <v>0.0</v>
      </c>
    </row>
    <row r="3657" ht="15.75" customHeight="1">
      <c r="B3657" s="370">
        <f t="shared" si="2"/>
        <v>0.4229166667</v>
      </c>
      <c r="C3657" s="56">
        <f t="shared" si="3"/>
        <v>36540</v>
      </c>
      <c r="D3657" s="56">
        <v>0.0</v>
      </c>
    </row>
    <row r="3658" ht="15.75" customHeight="1">
      <c r="B3658" s="370">
        <f t="shared" si="2"/>
        <v>0.4230324074</v>
      </c>
      <c r="C3658" s="56">
        <f t="shared" si="3"/>
        <v>36550</v>
      </c>
      <c r="D3658" s="56">
        <v>0.0</v>
      </c>
    </row>
    <row r="3659" ht="15.75" customHeight="1">
      <c r="B3659" s="370">
        <f t="shared" si="2"/>
        <v>0.4231481481</v>
      </c>
      <c r="C3659" s="56">
        <f t="shared" si="3"/>
        <v>36560</v>
      </c>
      <c r="D3659" s="56">
        <v>0.0</v>
      </c>
    </row>
    <row r="3660" ht="15.75" customHeight="1">
      <c r="B3660" s="370">
        <f t="shared" si="2"/>
        <v>0.4232638889</v>
      </c>
      <c r="C3660" s="56">
        <f t="shared" si="3"/>
        <v>36570</v>
      </c>
      <c r="D3660" s="56">
        <v>0.0</v>
      </c>
    </row>
    <row r="3661" ht="15.75" customHeight="1">
      <c r="B3661" s="370">
        <f t="shared" si="2"/>
        <v>0.4233796296</v>
      </c>
      <c r="C3661" s="56">
        <f t="shared" si="3"/>
        <v>36580</v>
      </c>
      <c r="D3661" s="56">
        <v>0.0</v>
      </c>
    </row>
    <row r="3662" ht="15.75" customHeight="1">
      <c r="B3662" s="370">
        <f t="shared" si="2"/>
        <v>0.4234953704</v>
      </c>
      <c r="C3662" s="56">
        <f t="shared" si="3"/>
        <v>36590</v>
      </c>
      <c r="D3662" s="56">
        <v>0.0</v>
      </c>
    </row>
    <row r="3663" ht="15.75" customHeight="1">
      <c r="B3663" s="370">
        <f t="shared" si="2"/>
        <v>0.4236111111</v>
      </c>
      <c r="C3663" s="56">
        <f t="shared" si="3"/>
        <v>36600</v>
      </c>
      <c r="D3663" s="56">
        <v>0.0</v>
      </c>
    </row>
    <row r="3664" ht="15.75" customHeight="1">
      <c r="B3664" s="370">
        <f t="shared" si="2"/>
        <v>0.4237268519</v>
      </c>
      <c r="C3664" s="56">
        <f t="shared" si="3"/>
        <v>36610</v>
      </c>
      <c r="D3664" s="56">
        <v>0.0</v>
      </c>
    </row>
    <row r="3665" ht="15.75" customHeight="1">
      <c r="B3665" s="370">
        <f t="shared" si="2"/>
        <v>0.4238425926</v>
      </c>
      <c r="C3665" s="56">
        <f t="shared" si="3"/>
        <v>36620</v>
      </c>
      <c r="D3665" s="56">
        <v>0.0</v>
      </c>
    </row>
    <row r="3666" ht="15.75" customHeight="1">
      <c r="B3666" s="370">
        <f t="shared" si="2"/>
        <v>0.4239583333</v>
      </c>
      <c r="C3666" s="56">
        <f t="shared" si="3"/>
        <v>36630</v>
      </c>
      <c r="D3666" s="56">
        <v>0.0</v>
      </c>
    </row>
    <row r="3667" ht="15.75" customHeight="1">
      <c r="B3667" s="370">
        <f t="shared" si="2"/>
        <v>0.4240740741</v>
      </c>
      <c r="C3667" s="56">
        <f t="shared" si="3"/>
        <v>36640</v>
      </c>
      <c r="D3667" s="56">
        <v>0.0</v>
      </c>
    </row>
    <row r="3668" ht="15.75" customHeight="1">
      <c r="B3668" s="370">
        <f t="shared" si="2"/>
        <v>0.4241898148</v>
      </c>
      <c r="C3668" s="56">
        <f t="shared" si="3"/>
        <v>36650</v>
      </c>
      <c r="D3668" s="56">
        <v>0.0</v>
      </c>
    </row>
    <row r="3669" ht="15.75" customHeight="1">
      <c r="B3669" s="370">
        <f t="shared" si="2"/>
        <v>0.4243055556</v>
      </c>
      <c r="C3669" s="56">
        <f t="shared" si="3"/>
        <v>36660</v>
      </c>
      <c r="D3669" s="56">
        <v>0.0</v>
      </c>
    </row>
    <row r="3670" ht="15.75" customHeight="1">
      <c r="B3670" s="370">
        <f t="shared" si="2"/>
        <v>0.4244212963</v>
      </c>
      <c r="C3670" s="56">
        <f t="shared" si="3"/>
        <v>36670</v>
      </c>
      <c r="D3670" s="56">
        <v>0.0</v>
      </c>
    </row>
    <row r="3671" ht="15.75" customHeight="1">
      <c r="B3671" s="370">
        <f t="shared" si="2"/>
        <v>0.424537037</v>
      </c>
      <c r="C3671" s="56">
        <f t="shared" si="3"/>
        <v>36680</v>
      </c>
      <c r="D3671" s="56">
        <v>0.0</v>
      </c>
    </row>
    <row r="3672" ht="15.75" customHeight="1">
      <c r="B3672" s="370">
        <f t="shared" si="2"/>
        <v>0.4246527778</v>
      </c>
      <c r="C3672" s="56">
        <f t="shared" si="3"/>
        <v>36690</v>
      </c>
      <c r="D3672" s="56">
        <v>0.0</v>
      </c>
    </row>
    <row r="3673" ht="15.75" customHeight="1">
      <c r="B3673" s="370">
        <f t="shared" si="2"/>
        <v>0.4247685185</v>
      </c>
      <c r="C3673" s="56">
        <f t="shared" si="3"/>
        <v>36700</v>
      </c>
      <c r="D3673" s="56">
        <v>0.0</v>
      </c>
    </row>
    <row r="3674" ht="15.75" customHeight="1">
      <c r="B3674" s="370">
        <f t="shared" si="2"/>
        <v>0.4248842593</v>
      </c>
      <c r="C3674" s="56">
        <f t="shared" si="3"/>
        <v>36710</v>
      </c>
      <c r="D3674" s="56">
        <v>0.0</v>
      </c>
    </row>
    <row r="3675" ht="15.75" customHeight="1">
      <c r="B3675" s="370">
        <f t="shared" si="2"/>
        <v>0.425</v>
      </c>
      <c r="C3675" s="56">
        <f t="shared" si="3"/>
        <v>36720</v>
      </c>
      <c r="D3675" s="56">
        <v>0.0</v>
      </c>
    </row>
    <row r="3676" ht="15.75" customHeight="1">
      <c r="B3676" s="370">
        <f t="shared" si="2"/>
        <v>0.4251157407</v>
      </c>
      <c r="C3676" s="56">
        <f t="shared" si="3"/>
        <v>36730</v>
      </c>
      <c r="D3676" s="56">
        <v>0.0</v>
      </c>
    </row>
    <row r="3677" ht="15.75" customHeight="1">
      <c r="B3677" s="370">
        <f t="shared" si="2"/>
        <v>0.4252314815</v>
      </c>
      <c r="C3677" s="56">
        <f t="shared" si="3"/>
        <v>36740</v>
      </c>
      <c r="D3677" s="56">
        <v>0.0</v>
      </c>
    </row>
    <row r="3678" ht="15.75" customHeight="1">
      <c r="B3678" s="370">
        <f t="shared" si="2"/>
        <v>0.4253472222</v>
      </c>
      <c r="C3678" s="56">
        <f t="shared" si="3"/>
        <v>36750</v>
      </c>
      <c r="D3678" s="56">
        <v>0.0</v>
      </c>
    </row>
    <row r="3679" ht="15.75" customHeight="1">
      <c r="B3679" s="370">
        <f t="shared" si="2"/>
        <v>0.425462963</v>
      </c>
      <c r="C3679" s="56">
        <f t="shared" si="3"/>
        <v>36760</v>
      </c>
      <c r="D3679" s="56">
        <v>0.0</v>
      </c>
    </row>
    <row r="3680" ht="15.75" customHeight="1">
      <c r="B3680" s="370">
        <f t="shared" si="2"/>
        <v>0.4255787037</v>
      </c>
      <c r="C3680" s="56">
        <f t="shared" si="3"/>
        <v>36770</v>
      </c>
      <c r="D3680" s="56">
        <v>0.0</v>
      </c>
    </row>
    <row r="3681" ht="15.75" customHeight="1">
      <c r="B3681" s="370">
        <f t="shared" si="2"/>
        <v>0.4256944444</v>
      </c>
      <c r="C3681" s="56">
        <f t="shared" si="3"/>
        <v>36780</v>
      </c>
      <c r="D3681" s="56">
        <v>0.0</v>
      </c>
    </row>
    <row r="3682" ht="15.75" customHeight="1">
      <c r="B3682" s="370">
        <f t="shared" si="2"/>
        <v>0.4258101852</v>
      </c>
      <c r="C3682" s="56">
        <f t="shared" si="3"/>
        <v>36790</v>
      </c>
      <c r="D3682" s="56">
        <v>0.0</v>
      </c>
    </row>
    <row r="3683" ht="15.75" customHeight="1">
      <c r="B3683" s="370">
        <f t="shared" si="2"/>
        <v>0.4259259259</v>
      </c>
      <c r="C3683" s="56">
        <f t="shared" si="3"/>
        <v>36800</v>
      </c>
      <c r="D3683" s="56">
        <v>0.0</v>
      </c>
    </row>
    <row r="3684" ht="15.75" customHeight="1">
      <c r="B3684" s="370">
        <f t="shared" si="2"/>
        <v>0.4260416667</v>
      </c>
      <c r="C3684" s="56">
        <f t="shared" si="3"/>
        <v>36810</v>
      </c>
      <c r="D3684" s="56">
        <v>0.0</v>
      </c>
    </row>
    <row r="3685" ht="15.75" customHeight="1">
      <c r="B3685" s="370">
        <f t="shared" si="2"/>
        <v>0.4261574074</v>
      </c>
      <c r="C3685" s="56">
        <f t="shared" si="3"/>
        <v>36820</v>
      </c>
      <c r="D3685" s="56">
        <v>0.0</v>
      </c>
    </row>
    <row r="3686" ht="15.75" customHeight="1">
      <c r="B3686" s="370">
        <f t="shared" si="2"/>
        <v>0.4262731481</v>
      </c>
      <c r="C3686" s="56">
        <f t="shared" si="3"/>
        <v>36830</v>
      </c>
      <c r="D3686" s="56">
        <v>0.0</v>
      </c>
    </row>
    <row r="3687" ht="15.75" customHeight="1">
      <c r="B3687" s="370">
        <f t="shared" si="2"/>
        <v>0.4263888889</v>
      </c>
      <c r="C3687" s="56">
        <f t="shared" si="3"/>
        <v>36840</v>
      </c>
      <c r="D3687" s="56">
        <v>0.0</v>
      </c>
    </row>
    <row r="3688" ht="15.75" customHeight="1">
      <c r="B3688" s="370">
        <f t="shared" si="2"/>
        <v>0.4265046296</v>
      </c>
      <c r="C3688" s="56">
        <f t="shared" si="3"/>
        <v>36850</v>
      </c>
      <c r="D3688" s="56">
        <v>0.0</v>
      </c>
    </row>
    <row r="3689" ht="15.75" customHeight="1">
      <c r="B3689" s="370">
        <f t="shared" si="2"/>
        <v>0.4266203704</v>
      </c>
      <c r="C3689" s="56">
        <f t="shared" si="3"/>
        <v>36860</v>
      </c>
      <c r="D3689" s="56">
        <v>0.0</v>
      </c>
    </row>
    <row r="3690" ht="15.75" customHeight="1">
      <c r="B3690" s="370">
        <f t="shared" si="2"/>
        <v>0.4267361111</v>
      </c>
      <c r="C3690" s="56">
        <f t="shared" si="3"/>
        <v>36870</v>
      </c>
      <c r="D3690" s="56">
        <v>0.0</v>
      </c>
    </row>
    <row r="3691" ht="15.75" customHeight="1">
      <c r="B3691" s="370">
        <f t="shared" si="2"/>
        <v>0.4268518519</v>
      </c>
      <c r="C3691" s="56">
        <f t="shared" si="3"/>
        <v>36880</v>
      </c>
      <c r="D3691" s="56">
        <v>0.0</v>
      </c>
    </row>
    <row r="3692" ht="15.75" customHeight="1">
      <c r="B3692" s="370">
        <f t="shared" si="2"/>
        <v>0.4269675926</v>
      </c>
      <c r="C3692" s="56">
        <f t="shared" si="3"/>
        <v>36890</v>
      </c>
      <c r="D3692" s="56">
        <v>0.0</v>
      </c>
    </row>
    <row r="3693" ht="15.75" customHeight="1">
      <c r="B3693" s="370">
        <f t="shared" si="2"/>
        <v>0.4270833333</v>
      </c>
      <c r="C3693" s="56">
        <f t="shared" si="3"/>
        <v>36900</v>
      </c>
      <c r="D3693" s="56">
        <v>0.0</v>
      </c>
    </row>
    <row r="3694" ht="15.75" customHeight="1">
      <c r="B3694" s="370">
        <f t="shared" si="2"/>
        <v>0.4271990741</v>
      </c>
      <c r="C3694" s="56">
        <f t="shared" si="3"/>
        <v>36910</v>
      </c>
      <c r="D3694" s="56">
        <v>0.0</v>
      </c>
    </row>
    <row r="3695" ht="15.75" customHeight="1">
      <c r="B3695" s="370">
        <f t="shared" si="2"/>
        <v>0.4273148148</v>
      </c>
      <c r="C3695" s="56">
        <f t="shared" si="3"/>
        <v>36920</v>
      </c>
      <c r="D3695" s="56">
        <v>0.0</v>
      </c>
    </row>
    <row r="3696" ht="15.75" customHeight="1">
      <c r="B3696" s="370">
        <f t="shared" si="2"/>
        <v>0.4274305556</v>
      </c>
      <c r="C3696" s="56">
        <f t="shared" si="3"/>
        <v>36930</v>
      </c>
      <c r="D3696" s="56">
        <v>0.0</v>
      </c>
    </row>
    <row r="3697" ht="15.75" customHeight="1">
      <c r="B3697" s="370">
        <f t="shared" si="2"/>
        <v>0.4275462963</v>
      </c>
      <c r="C3697" s="56">
        <f t="shared" si="3"/>
        <v>36940</v>
      </c>
      <c r="D3697" s="56">
        <v>0.0</v>
      </c>
    </row>
    <row r="3698" ht="15.75" customHeight="1">
      <c r="B3698" s="370">
        <f t="shared" si="2"/>
        <v>0.427662037</v>
      </c>
      <c r="C3698" s="56">
        <f t="shared" si="3"/>
        <v>36950</v>
      </c>
      <c r="D3698" s="56">
        <v>0.0</v>
      </c>
    </row>
    <row r="3699" ht="15.75" customHeight="1">
      <c r="B3699" s="370">
        <f t="shared" si="2"/>
        <v>0.4277777778</v>
      </c>
      <c r="C3699" s="56">
        <f t="shared" si="3"/>
        <v>36960</v>
      </c>
      <c r="D3699" s="56">
        <v>0.0</v>
      </c>
    </row>
    <row r="3700" ht="15.75" customHeight="1">
      <c r="B3700" s="370">
        <f t="shared" si="2"/>
        <v>0.4278935185</v>
      </c>
      <c r="C3700" s="56">
        <f t="shared" si="3"/>
        <v>36970</v>
      </c>
      <c r="D3700" s="56">
        <v>0.0</v>
      </c>
    </row>
    <row r="3701" ht="15.75" customHeight="1">
      <c r="B3701" s="370">
        <f t="shared" si="2"/>
        <v>0.4280092593</v>
      </c>
      <c r="C3701" s="56">
        <f t="shared" si="3"/>
        <v>36980</v>
      </c>
      <c r="D3701" s="56">
        <v>0.0</v>
      </c>
    </row>
    <row r="3702" ht="15.75" customHeight="1">
      <c r="B3702" s="370">
        <f t="shared" si="2"/>
        <v>0.428125</v>
      </c>
      <c r="C3702" s="56">
        <f t="shared" si="3"/>
        <v>36990</v>
      </c>
      <c r="D3702" s="56">
        <v>0.0</v>
      </c>
    </row>
    <row r="3703" ht="15.75" customHeight="1">
      <c r="B3703" s="370">
        <f t="shared" si="2"/>
        <v>0.4282407407</v>
      </c>
      <c r="C3703" s="56">
        <f t="shared" si="3"/>
        <v>37000</v>
      </c>
      <c r="D3703" s="56">
        <v>0.0</v>
      </c>
    </row>
    <row r="3704" ht="15.75" customHeight="1">
      <c r="B3704" s="370">
        <f t="shared" si="2"/>
        <v>0.4283564815</v>
      </c>
      <c r="C3704" s="56">
        <f t="shared" si="3"/>
        <v>37010</v>
      </c>
      <c r="D3704" s="56">
        <v>0.0</v>
      </c>
    </row>
    <row r="3705" ht="15.75" customHeight="1">
      <c r="B3705" s="370">
        <f t="shared" si="2"/>
        <v>0.4284722222</v>
      </c>
      <c r="C3705" s="56">
        <f t="shared" si="3"/>
        <v>37020</v>
      </c>
      <c r="D3705" s="56">
        <v>0.0</v>
      </c>
    </row>
    <row r="3706" ht="15.75" customHeight="1">
      <c r="B3706" s="370">
        <f t="shared" si="2"/>
        <v>0.428587963</v>
      </c>
      <c r="C3706" s="56">
        <f t="shared" si="3"/>
        <v>37030</v>
      </c>
      <c r="D3706" s="56">
        <v>0.0</v>
      </c>
    </row>
    <row r="3707" ht="15.75" customHeight="1">
      <c r="B3707" s="370">
        <f t="shared" si="2"/>
        <v>0.4287037037</v>
      </c>
      <c r="C3707" s="56">
        <f t="shared" si="3"/>
        <v>37040</v>
      </c>
      <c r="D3707" s="56">
        <v>0.0</v>
      </c>
    </row>
    <row r="3708" ht="15.75" customHeight="1">
      <c r="B3708" s="370">
        <f t="shared" si="2"/>
        <v>0.4288194444</v>
      </c>
      <c r="C3708" s="56">
        <f t="shared" si="3"/>
        <v>37050</v>
      </c>
      <c r="D3708" s="56">
        <v>0.0</v>
      </c>
    </row>
    <row r="3709" ht="15.75" customHeight="1">
      <c r="B3709" s="370">
        <f t="shared" si="2"/>
        <v>0.4289351852</v>
      </c>
      <c r="C3709" s="56">
        <f t="shared" si="3"/>
        <v>37060</v>
      </c>
      <c r="D3709" s="56">
        <v>0.0</v>
      </c>
    </row>
    <row r="3710" ht="15.75" customHeight="1">
      <c r="B3710" s="370">
        <f t="shared" si="2"/>
        <v>0.4290509259</v>
      </c>
      <c r="C3710" s="56">
        <f t="shared" si="3"/>
        <v>37070</v>
      </c>
      <c r="D3710" s="56">
        <v>0.0</v>
      </c>
    </row>
    <row r="3711" ht="15.75" customHeight="1">
      <c r="B3711" s="370">
        <f t="shared" si="2"/>
        <v>0.4291666667</v>
      </c>
      <c r="C3711" s="56">
        <f t="shared" si="3"/>
        <v>37080</v>
      </c>
      <c r="D3711" s="56">
        <v>0.0</v>
      </c>
    </row>
    <row r="3712" ht="15.75" customHeight="1">
      <c r="B3712" s="370">
        <f t="shared" si="2"/>
        <v>0.4292824074</v>
      </c>
      <c r="C3712" s="56">
        <f t="shared" si="3"/>
        <v>37090</v>
      </c>
      <c r="D3712" s="56">
        <v>0.0</v>
      </c>
    </row>
    <row r="3713" ht="15.75" customHeight="1">
      <c r="B3713" s="370">
        <f t="shared" si="2"/>
        <v>0.4293981481</v>
      </c>
      <c r="C3713" s="56">
        <f t="shared" si="3"/>
        <v>37100</v>
      </c>
      <c r="D3713" s="56">
        <v>0.0</v>
      </c>
    </row>
    <row r="3714" ht="15.75" customHeight="1">
      <c r="B3714" s="370">
        <f t="shared" si="2"/>
        <v>0.4295138889</v>
      </c>
      <c r="C3714" s="56">
        <f t="shared" si="3"/>
        <v>37110</v>
      </c>
      <c r="D3714" s="56">
        <v>0.0</v>
      </c>
    </row>
    <row r="3715" ht="15.75" customHeight="1">
      <c r="B3715" s="370">
        <f t="shared" si="2"/>
        <v>0.4296296296</v>
      </c>
      <c r="C3715" s="56">
        <f t="shared" si="3"/>
        <v>37120</v>
      </c>
      <c r="D3715" s="56">
        <v>0.0</v>
      </c>
    </row>
    <row r="3716" ht="15.75" customHeight="1">
      <c r="B3716" s="370">
        <f t="shared" si="2"/>
        <v>0.4297453704</v>
      </c>
      <c r="C3716" s="56">
        <f t="shared" si="3"/>
        <v>37130</v>
      </c>
      <c r="D3716" s="56">
        <v>0.0</v>
      </c>
    </row>
    <row r="3717" ht="15.75" customHeight="1">
      <c r="B3717" s="370">
        <f t="shared" si="2"/>
        <v>0.4298611111</v>
      </c>
      <c r="C3717" s="56">
        <f t="shared" si="3"/>
        <v>37140</v>
      </c>
      <c r="D3717" s="56">
        <v>0.0</v>
      </c>
    </row>
    <row r="3718" ht="15.75" customHeight="1">
      <c r="B3718" s="370">
        <f t="shared" si="2"/>
        <v>0.4299768519</v>
      </c>
      <c r="C3718" s="56">
        <f t="shared" si="3"/>
        <v>37150</v>
      </c>
      <c r="D3718" s="56">
        <v>0.0</v>
      </c>
    </row>
    <row r="3719" ht="15.75" customHeight="1">
      <c r="B3719" s="370">
        <f t="shared" si="2"/>
        <v>0.4300925926</v>
      </c>
      <c r="C3719" s="56">
        <f t="shared" si="3"/>
        <v>37160</v>
      </c>
      <c r="D3719" s="56">
        <v>0.0</v>
      </c>
    </row>
    <row r="3720" ht="15.75" customHeight="1">
      <c r="B3720" s="370">
        <f t="shared" si="2"/>
        <v>0.4302083333</v>
      </c>
      <c r="C3720" s="56">
        <f t="shared" si="3"/>
        <v>37170</v>
      </c>
      <c r="D3720" s="56">
        <v>0.0</v>
      </c>
    </row>
    <row r="3721" ht="15.75" customHeight="1">
      <c r="B3721" s="370">
        <f t="shared" si="2"/>
        <v>0.4303240741</v>
      </c>
      <c r="C3721" s="56">
        <f t="shared" si="3"/>
        <v>37180</v>
      </c>
      <c r="D3721" s="56">
        <v>0.0</v>
      </c>
    </row>
    <row r="3722" ht="15.75" customHeight="1">
      <c r="B3722" s="370">
        <f t="shared" si="2"/>
        <v>0.4304398148</v>
      </c>
      <c r="C3722" s="56">
        <f t="shared" si="3"/>
        <v>37190</v>
      </c>
      <c r="D3722" s="56">
        <v>0.0</v>
      </c>
    </row>
    <row r="3723" ht="15.75" customHeight="1">
      <c r="B3723" s="370">
        <f t="shared" si="2"/>
        <v>0.4305555556</v>
      </c>
      <c r="C3723" s="56">
        <f t="shared" si="3"/>
        <v>37200</v>
      </c>
      <c r="D3723" s="56">
        <v>0.0</v>
      </c>
    </row>
    <row r="3724" ht="15.75" customHeight="1">
      <c r="B3724" s="370">
        <f t="shared" si="2"/>
        <v>0.4306712963</v>
      </c>
      <c r="C3724" s="56">
        <f t="shared" si="3"/>
        <v>37210</v>
      </c>
      <c r="D3724" s="56">
        <v>0.0</v>
      </c>
    </row>
    <row r="3725" ht="15.75" customHeight="1">
      <c r="B3725" s="370">
        <f t="shared" si="2"/>
        <v>0.430787037</v>
      </c>
      <c r="C3725" s="56">
        <f t="shared" si="3"/>
        <v>37220</v>
      </c>
      <c r="D3725" s="56">
        <v>0.0</v>
      </c>
    </row>
    <row r="3726" ht="15.75" customHeight="1">
      <c r="B3726" s="370">
        <f t="shared" si="2"/>
        <v>0.4309027778</v>
      </c>
      <c r="C3726" s="56">
        <f t="shared" si="3"/>
        <v>37230</v>
      </c>
      <c r="D3726" s="56">
        <v>0.0</v>
      </c>
    </row>
    <row r="3727" ht="15.75" customHeight="1">
      <c r="B3727" s="370">
        <f t="shared" si="2"/>
        <v>0.4310185185</v>
      </c>
      <c r="C3727" s="56">
        <f t="shared" si="3"/>
        <v>37240</v>
      </c>
      <c r="D3727" s="56">
        <v>0.0</v>
      </c>
    </row>
    <row r="3728" ht="15.75" customHeight="1">
      <c r="B3728" s="370">
        <f t="shared" si="2"/>
        <v>0.4311342593</v>
      </c>
      <c r="C3728" s="56">
        <f t="shared" si="3"/>
        <v>37250</v>
      </c>
      <c r="D3728" s="56">
        <v>0.0</v>
      </c>
    </row>
    <row r="3729" ht="15.75" customHeight="1">
      <c r="B3729" s="370">
        <f t="shared" si="2"/>
        <v>0.43125</v>
      </c>
      <c r="C3729" s="56">
        <f t="shared" si="3"/>
        <v>37260</v>
      </c>
      <c r="D3729" s="56">
        <v>0.0</v>
      </c>
    </row>
    <row r="3730" ht="15.75" customHeight="1">
      <c r="B3730" s="370">
        <f t="shared" si="2"/>
        <v>0.4313657407</v>
      </c>
      <c r="C3730" s="56">
        <f t="shared" si="3"/>
        <v>37270</v>
      </c>
      <c r="D3730" s="56">
        <v>0.0</v>
      </c>
    </row>
    <row r="3731" ht="15.75" customHeight="1">
      <c r="B3731" s="370">
        <f t="shared" si="2"/>
        <v>0.4314814815</v>
      </c>
      <c r="C3731" s="56">
        <f t="shared" si="3"/>
        <v>37280</v>
      </c>
      <c r="D3731" s="56">
        <v>0.0</v>
      </c>
    </row>
    <row r="3732" ht="15.75" customHeight="1">
      <c r="B3732" s="370">
        <f t="shared" si="2"/>
        <v>0.4315972222</v>
      </c>
      <c r="C3732" s="56">
        <f t="shared" si="3"/>
        <v>37290</v>
      </c>
      <c r="D3732" s="56">
        <v>0.0</v>
      </c>
    </row>
    <row r="3733" ht="15.75" customHeight="1">
      <c r="B3733" s="370">
        <f t="shared" si="2"/>
        <v>0.431712963</v>
      </c>
      <c r="C3733" s="56">
        <f t="shared" si="3"/>
        <v>37300</v>
      </c>
      <c r="D3733" s="56">
        <v>0.0</v>
      </c>
    </row>
    <row r="3734" ht="15.75" customHeight="1">
      <c r="B3734" s="370">
        <f t="shared" si="2"/>
        <v>0.4318287037</v>
      </c>
      <c r="C3734" s="56">
        <f t="shared" si="3"/>
        <v>37310</v>
      </c>
      <c r="D3734" s="56">
        <v>0.0</v>
      </c>
    </row>
    <row r="3735" ht="15.75" customHeight="1">
      <c r="B3735" s="370">
        <f t="shared" si="2"/>
        <v>0.4319444444</v>
      </c>
      <c r="C3735" s="56">
        <f t="shared" si="3"/>
        <v>37320</v>
      </c>
      <c r="D3735" s="56">
        <v>0.0</v>
      </c>
    </row>
    <row r="3736" ht="15.75" customHeight="1">
      <c r="B3736" s="370">
        <f t="shared" si="2"/>
        <v>0.4320601852</v>
      </c>
      <c r="C3736" s="56">
        <f t="shared" si="3"/>
        <v>37330</v>
      </c>
      <c r="D3736" s="56">
        <v>0.0</v>
      </c>
    </row>
    <row r="3737" ht="15.75" customHeight="1">
      <c r="B3737" s="370">
        <f t="shared" si="2"/>
        <v>0.4321759259</v>
      </c>
      <c r="C3737" s="56">
        <f t="shared" si="3"/>
        <v>37340</v>
      </c>
      <c r="D3737" s="56">
        <v>0.0</v>
      </c>
    </row>
    <row r="3738" ht="15.75" customHeight="1">
      <c r="B3738" s="370">
        <f t="shared" si="2"/>
        <v>0.4322916667</v>
      </c>
      <c r="C3738" s="56">
        <f t="shared" si="3"/>
        <v>37350</v>
      </c>
      <c r="D3738" s="56">
        <v>0.0</v>
      </c>
    </row>
    <row r="3739" ht="15.75" customHeight="1">
      <c r="B3739" s="370">
        <f t="shared" si="2"/>
        <v>0.4324074074</v>
      </c>
      <c r="C3739" s="56">
        <f t="shared" si="3"/>
        <v>37360</v>
      </c>
      <c r="D3739" s="56">
        <v>0.0</v>
      </c>
    </row>
    <row r="3740" ht="15.75" customHeight="1">
      <c r="B3740" s="370">
        <f t="shared" si="2"/>
        <v>0.4325231481</v>
      </c>
      <c r="C3740" s="56">
        <f t="shared" si="3"/>
        <v>37370</v>
      </c>
      <c r="D3740" s="56">
        <v>2.727</v>
      </c>
    </row>
    <row r="3741" ht="15.75" customHeight="1">
      <c r="B3741" s="370">
        <f t="shared" si="2"/>
        <v>0.4326388889</v>
      </c>
      <c r="C3741" s="56">
        <f t="shared" si="3"/>
        <v>37380</v>
      </c>
      <c r="D3741" s="56">
        <v>3.025</v>
      </c>
    </row>
    <row r="3742" ht="15.75" customHeight="1">
      <c r="B3742" s="370">
        <f t="shared" si="2"/>
        <v>0.4327546296</v>
      </c>
      <c r="C3742" s="56">
        <f t="shared" si="3"/>
        <v>37390</v>
      </c>
      <c r="D3742" s="56">
        <v>3.186</v>
      </c>
    </row>
    <row r="3743" ht="15.75" customHeight="1">
      <c r="B3743" s="370">
        <f t="shared" si="2"/>
        <v>0.4328703704</v>
      </c>
      <c r="C3743" s="56">
        <f t="shared" si="3"/>
        <v>37400</v>
      </c>
      <c r="D3743" s="56">
        <v>3.057</v>
      </c>
    </row>
    <row r="3744" ht="15.75" customHeight="1">
      <c r="B3744" s="370">
        <f t="shared" si="2"/>
        <v>0.4329861111</v>
      </c>
      <c r="C3744" s="56">
        <f t="shared" si="3"/>
        <v>37410</v>
      </c>
      <c r="D3744" s="56">
        <v>2.901</v>
      </c>
    </row>
    <row r="3745" ht="15.75" customHeight="1">
      <c r="B3745" s="370">
        <f t="shared" si="2"/>
        <v>0.4331018519</v>
      </c>
      <c r="C3745" s="56">
        <f t="shared" si="3"/>
        <v>37420</v>
      </c>
      <c r="D3745" s="56">
        <v>2.861</v>
      </c>
    </row>
    <row r="3746" ht="15.75" customHeight="1">
      <c r="B3746" s="370">
        <f t="shared" si="2"/>
        <v>0.4332175926</v>
      </c>
      <c r="C3746" s="56">
        <f t="shared" si="3"/>
        <v>37430</v>
      </c>
      <c r="D3746" s="56">
        <v>2.938</v>
      </c>
    </row>
    <row r="3747" ht="15.75" customHeight="1">
      <c r="B3747" s="370">
        <f t="shared" si="2"/>
        <v>0.4333333333</v>
      </c>
      <c r="C3747" s="56">
        <f t="shared" si="3"/>
        <v>37440</v>
      </c>
      <c r="D3747" s="56">
        <v>2.844</v>
      </c>
    </row>
    <row r="3748" ht="15.75" customHeight="1">
      <c r="B3748" s="370">
        <f t="shared" si="2"/>
        <v>0.4334490741</v>
      </c>
      <c r="C3748" s="56">
        <f t="shared" si="3"/>
        <v>37450</v>
      </c>
      <c r="D3748" s="56">
        <v>2.732</v>
      </c>
    </row>
    <row r="3749" ht="15.75" customHeight="1">
      <c r="B3749" s="370">
        <f t="shared" si="2"/>
        <v>0.4335648148</v>
      </c>
      <c r="C3749" s="56">
        <f t="shared" si="3"/>
        <v>37460</v>
      </c>
      <c r="D3749" s="56">
        <v>2.556</v>
      </c>
    </row>
    <row r="3750" ht="15.75" customHeight="1">
      <c r="B3750" s="370">
        <f t="shared" si="2"/>
        <v>0.4336805556</v>
      </c>
      <c r="C3750" s="56">
        <f t="shared" si="3"/>
        <v>37470</v>
      </c>
      <c r="D3750" s="56">
        <v>2.378</v>
      </c>
    </row>
    <row r="3751" ht="15.75" customHeight="1">
      <c r="B3751" s="370">
        <f t="shared" si="2"/>
        <v>0.4337962963</v>
      </c>
      <c r="C3751" s="56">
        <f t="shared" si="3"/>
        <v>37480</v>
      </c>
      <c r="D3751" s="56">
        <v>2.315</v>
      </c>
    </row>
    <row r="3752" ht="15.75" customHeight="1">
      <c r="B3752" s="370">
        <f t="shared" si="2"/>
        <v>0.433912037</v>
      </c>
      <c r="C3752" s="56">
        <f t="shared" si="3"/>
        <v>37490</v>
      </c>
      <c r="D3752" s="56">
        <v>3.245</v>
      </c>
    </row>
    <row r="3753" ht="15.75" customHeight="1">
      <c r="B3753" s="370">
        <f t="shared" si="2"/>
        <v>0.4340277778</v>
      </c>
      <c r="C3753" s="56">
        <f t="shared" si="3"/>
        <v>37500</v>
      </c>
      <c r="D3753" s="56">
        <v>3.48</v>
      </c>
    </row>
    <row r="3754" ht="15.75" customHeight="1">
      <c r="B3754" s="370">
        <f t="shared" si="2"/>
        <v>0.4341435185</v>
      </c>
      <c r="C3754" s="56">
        <f t="shared" si="3"/>
        <v>37510</v>
      </c>
      <c r="D3754" s="56">
        <v>3.497</v>
      </c>
    </row>
    <row r="3755" ht="15.75" customHeight="1">
      <c r="B3755" s="370">
        <f t="shared" si="2"/>
        <v>0.4342592593</v>
      </c>
      <c r="C3755" s="56">
        <f t="shared" si="3"/>
        <v>37520</v>
      </c>
      <c r="D3755" s="56">
        <v>3.503</v>
      </c>
    </row>
    <row r="3756" ht="15.75" customHeight="1">
      <c r="B3756" s="370">
        <f t="shared" si="2"/>
        <v>0.434375</v>
      </c>
      <c r="C3756" s="56">
        <f t="shared" si="3"/>
        <v>37530</v>
      </c>
      <c r="D3756" s="56">
        <v>3.13</v>
      </c>
    </row>
    <row r="3757" ht="15.75" customHeight="1">
      <c r="B3757" s="370">
        <f t="shared" si="2"/>
        <v>0.4344907407</v>
      </c>
      <c r="C3757" s="56">
        <f t="shared" si="3"/>
        <v>37540</v>
      </c>
      <c r="D3757" s="56">
        <v>2.381</v>
      </c>
    </row>
    <row r="3758" ht="15.75" customHeight="1">
      <c r="B3758" s="370">
        <f t="shared" si="2"/>
        <v>0.4346064815</v>
      </c>
      <c r="C3758" s="56">
        <f t="shared" si="3"/>
        <v>37550</v>
      </c>
      <c r="D3758" s="56">
        <v>2.029</v>
      </c>
    </row>
    <row r="3759" ht="15.75" customHeight="1">
      <c r="B3759" s="370">
        <f t="shared" si="2"/>
        <v>0.4347222222</v>
      </c>
      <c r="C3759" s="56">
        <f t="shared" si="3"/>
        <v>37560</v>
      </c>
      <c r="D3759" s="56">
        <v>2.375</v>
      </c>
    </row>
    <row r="3760" ht="15.75" customHeight="1">
      <c r="B3760" s="370">
        <f t="shared" si="2"/>
        <v>0.434837963</v>
      </c>
      <c r="C3760" s="56">
        <f t="shared" si="3"/>
        <v>37570</v>
      </c>
      <c r="D3760" s="56">
        <v>2.734</v>
      </c>
    </row>
    <row r="3761" ht="15.75" customHeight="1">
      <c r="B3761" s="370">
        <f t="shared" si="2"/>
        <v>0.4349537037</v>
      </c>
      <c r="C3761" s="56">
        <f t="shared" si="3"/>
        <v>37580</v>
      </c>
      <c r="D3761" s="56">
        <v>3.054</v>
      </c>
    </row>
    <row r="3762" ht="15.75" customHeight="1">
      <c r="B3762" s="370">
        <f t="shared" si="2"/>
        <v>0.4350694444</v>
      </c>
      <c r="C3762" s="56">
        <f t="shared" si="3"/>
        <v>37590</v>
      </c>
      <c r="D3762" s="56">
        <v>3.294</v>
      </c>
    </row>
    <row r="3763" ht="15.75" customHeight="1">
      <c r="B3763" s="370">
        <f t="shared" si="2"/>
        <v>0.4351851852</v>
      </c>
      <c r="C3763" s="56">
        <f t="shared" si="3"/>
        <v>37600</v>
      </c>
      <c r="D3763" s="56">
        <v>3.163</v>
      </c>
    </row>
    <row r="3764" ht="15.75" customHeight="1">
      <c r="B3764" s="370">
        <f t="shared" si="2"/>
        <v>0.4353009259</v>
      </c>
      <c r="C3764" s="56">
        <f t="shared" si="3"/>
        <v>37610</v>
      </c>
      <c r="D3764" s="56">
        <v>3.128</v>
      </c>
    </row>
    <row r="3765" ht="15.75" customHeight="1">
      <c r="B3765" s="370">
        <f t="shared" si="2"/>
        <v>0.4354166667</v>
      </c>
      <c r="C3765" s="56">
        <f t="shared" si="3"/>
        <v>37620</v>
      </c>
      <c r="D3765" s="56">
        <v>2.811</v>
      </c>
    </row>
    <row r="3766" ht="15.75" customHeight="1">
      <c r="B3766" s="370">
        <f t="shared" si="2"/>
        <v>0.4355324074</v>
      </c>
      <c r="C3766" s="56">
        <f t="shared" si="3"/>
        <v>37630</v>
      </c>
      <c r="D3766" s="56">
        <v>2.797</v>
      </c>
    </row>
    <row r="3767" ht="15.75" customHeight="1">
      <c r="B3767" s="370">
        <f t="shared" si="2"/>
        <v>0.4356481481</v>
      </c>
      <c r="C3767" s="56">
        <f t="shared" si="3"/>
        <v>37640</v>
      </c>
      <c r="D3767" s="56">
        <v>2.782</v>
      </c>
    </row>
    <row r="3768" ht="15.75" customHeight="1">
      <c r="B3768" s="370">
        <f t="shared" si="2"/>
        <v>0.4357638889</v>
      </c>
      <c r="C3768" s="56">
        <f t="shared" si="3"/>
        <v>37650</v>
      </c>
      <c r="D3768" s="56">
        <v>2.754</v>
      </c>
    </row>
    <row r="3769" ht="15.75" customHeight="1">
      <c r="B3769" s="370">
        <f t="shared" si="2"/>
        <v>0.4358796296</v>
      </c>
      <c r="C3769" s="56">
        <f t="shared" si="3"/>
        <v>37660</v>
      </c>
      <c r="D3769" s="56">
        <v>2.654</v>
      </c>
    </row>
    <row r="3770" ht="15.75" customHeight="1">
      <c r="B3770" s="370">
        <f t="shared" si="2"/>
        <v>0.4359953704</v>
      </c>
      <c r="C3770" s="56">
        <f t="shared" si="3"/>
        <v>37670</v>
      </c>
      <c r="D3770" s="56">
        <v>2.54</v>
      </c>
    </row>
    <row r="3771" ht="15.75" customHeight="1">
      <c r="B3771" s="370">
        <f t="shared" si="2"/>
        <v>0.4361111111</v>
      </c>
      <c r="C3771" s="56">
        <f t="shared" si="3"/>
        <v>37680</v>
      </c>
      <c r="D3771" s="56">
        <v>2.267</v>
      </c>
    </row>
    <row r="3772" ht="15.75" customHeight="1">
      <c r="B3772" s="370">
        <f t="shared" si="2"/>
        <v>0.4362268519</v>
      </c>
      <c r="C3772" s="56">
        <f t="shared" si="3"/>
        <v>37690</v>
      </c>
      <c r="D3772" s="56">
        <v>3.119</v>
      </c>
    </row>
    <row r="3773" ht="15.75" customHeight="1">
      <c r="B3773" s="370">
        <f t="shared" si="2"/>
        <v>0.4363425926</v>
      </c>
      <c r="C3773" s="56">
        <f t="shared" si="3"/>
        <v>37700</v>
      </c>
      <c r="D3773" s="56">
        <v>3.413</v>
      </c>
    </row>
    <row r="3774" ht="15.75" customHeight="1">
      <c r="B3774" s="370">
        <f t="shared" si="2"/>
        <v>0.4364583333</v>
      </c>
      <c r="C3774" s="56">
        <f t="shared" si="3"/>
        <v>37710</v>
      </c>
      <c r="D3774" s="56">
        <v>3.451</v>
      </c>
    </row>
    <row r="3775" ht="15.75" customHeight="1">
      <c r="B3775" s="370">
        <f t="shared" si="2"/>
        <v>0.4365740741</v>
      </c>
      <c r="C3775" s="56">
        <f t="shared" si="3"/>
        <v>37720</v>
      </c>
      <c r="D3775" s="56">
        <v>3.487</v>
      </c>
    </row>
    <row r="3776" ht="15.75" customHeight="1">
      <c r="B3776" s="370">
        <f t="shared" si="2"/>
        <v>0.4366898148</v>
      </c>
      <c r="C3776" s="56">
        <f t="shared" si="3"/>
        <v>37730</v>
      </c>
      <c r="D3776" s="56">
        <v>3.196</v>
      </c>
    </row>
    <row r="3777" ht="15.75" customHeight="1">
      <c r="B3777" s="370">
        <f t="shared" si="2"/>
        <v>0.4368055556</v>
      </c>
      <c r="C3777" s="56">
        <f t="shared" si="3"/>
        <v>37740</v>
      </c>
      <c r="D3777" s="56">
        <v>2.502</v>
      </c>
    </row>
    <row r="3778" ht="15.75" customHeight="1">
      <c r="B3778" s="370">
        <f t="shared" si="2"/>
        <v>0.4369212963</v>
      </c>
      <c r="C3778" s="56">
        <f t="shared" si="3"/>
        <v>37750</v>
      </c>
      <c r="D3778" s="56">
        <v>2.02</v>
      </c>
    </row>
    <row r="3779" ht="15.75" customHeight="1">
      <c r="B3779" s="370">
        <f t="shared" si="2"/>
        <v>0.437037037</v>
      </c>
      <c r="C3779" s="56">
        <f t="shared" si="3"/>
        <v>37760</v>
      </c>
      <c r="D3779" s="56">
        <v>2.156</v>
      </c>
    </row>
    <row r="3780" ht="15.75" customHeight="1">
      <c r="B3780" s="370">
        <f t="shared" si="2"/>
        <v>0.4371527778</v>
      </c>
      <c r="C3780" s="56">
        <f t="shared" si="3"/>
        <v>37770</v>
      </c>
      <c r="D3780" s="56">
        <v>2.631</v>
      </c>
    </row>
    <row r="3781" ht="15.75" customHeight="1">
      <c r="B3781" s="370">
        <f t="shared" si="2"/>
        <v>0.4372685185</v>
      </c>
      <c r="C3781" s="56">
        <f t="shared" si="3"/>
        <v>37780</v>
      </c>
      <c r="D3781" s="56">
        <v>3.049</v>
      </c>
    </row>
    <row r="3782" ht="15.75" customHeight="1">
      <c r="B3782" s="370">
        <f t="shared" si="2"/>
        <v>0.4373842593</v>
      </c>
      <c r="C3782" s="56">
        <f t="shared" si="3"/>
        <v>37790</v>
      </c>
      <c r="D3782" s="56">
        <v>3.383</v>
      </c>
    </row>
    <row r="3783" ht="15.75" customHeight="1">
      <c r="B3783" s="370">
        <f t="shared" si="2"/>
        <v>0.4375</v>
      </c>
      <c r="C3783" s="56">
        <f t="shared" si="3"/>
        <v>37800</v>
      </c>
      <c r="D3783" s="56">
        <v>3.324</v>
      </c>
    </row>
    <row r="3784" ht="15.75" customHeight="1">
      <c r="B3784" s="370">
        <f t="shared" si="2"/>
        <v>0.4376157407</v>
      </c>
      <c r="C3784" s="56">
        <f t="shared" si="3"/>
        <v>37810</v>
      </c>
      <c r="D3784" s="56">
        <v>3.258</v>
      </c>
    </row>
    <row r="3785" ht="15.75" customHeight="1">
      <c r="B3785" s="370">
        <f t="shared" si="2"/>
        <v>0.4377314815</v>
      </c>
      <c r="C3785" s="56">
        <f t="shared" si="3"/>
        <v>37820</v>
      </c>
      <c r="D3785" s="56">
        <v>3.032</v>
      </c>
    </row>
    <row r="3786" ht="15.75" customHeight="1">
      <c r="B3786" s="370">
        <f t="shared" si="2"/>
        <v>0.4378472222</v>
      </c>
      <c r="C3786" s="56">
        <f t="shared" si="3"/>
        <v>37830</v>
      </c>
      <c r="D3786" s="56">
        <v>2.58</v>
      </c>
    </row>
    <row r="3787" ht="15.75" customHeight="1">
      <c r="B3787" s="370">
        <f t="shared" si="2"/>
        <v>0.437962963</v>
      </c>
      <c r="C3787" s="56">
        <f t="shared" si="3"/>
        <v>37840</v>
      </c>
      <c r="D3787" s="56">
        <v>2.684</v>
      </c>
    </row>
    <row r="3788" ht="15.75" customHeight="1">
      <c r="B3788" s="370">
        <f t="shared" si="2"/>
        <v>0.4380787037</v>
      </c>
      <c r="C3788" s="56">
        <f t="shared" si="3"/>
        <v>37850</v>
      </c>
      <c r="D3788" s="56">
        <v>2.741</v>
      </c>
    </row>
    <row r="3789" ht="15.75" customHeight="1">
      <c r="B3789" s="370">
        <f t="shared" si="2"/>
        <v>0.4381944444</v>
      </c>
      <c r="C3789" s="56">
        <f t="shared" si="3"/>
        <v>37860</v>
      </c>
      <c r="D3789" s="56">
        <v>2.705</v>
      </c>
    </row>
    <row r="3790" ht="15.75" customHeight="1">
      <c r="B3790" s="370">
        <f t="shared" si="2"/>
        <v>0.4383101852</v>
      </c>
      <c r="C3790" s="56">
        <f t="shared" si="3"/>
        <v>37870</v>
      </c>
      <c r="D3790" s="56">
        <v>2.664</v>
      </c>
    </row>
    <row r="3791" ht="15.75" customHeight="1">
      <c r="B3791" s="370">
        <f t="shared" si="2"/>
        <v>0.4384259259</v>
      </c>
      <c r="C3791" s="56">
        <f t="shared" si="3"/>
        <v>37880</v>
      </c>
      <c r="D3791" s="56">
        <v>2.389</v>
      </c>
    </row>
    <row r="3792" ht="15.75" customHeight="1">
      <c r="B3792" s="370">
        <f t="shared" si="2"/>
        <v>0.4385416667</v>
      </c>
      <c r="C3792" s="56">
        <f t="shared" si="3"/>
        <v>37890</v>
      </c>
      <c r="D3792" s="56">
        <v>2.958</v>
      </c>
    </row>
    <row r="3793" ht="15.75" customHeight="1">
      <c r="B3793" s="370">
        <f t="shared" si="2"/>
        <v>0.4386574074</v>
      </c>
      <c r="C3793" s="56">
        <f t="shared" si="3"/>
        <v>37900</v>
      </c>
      <c r="D3793" s="56">
        <v>3.316</v>
      </c>
    </row>
    <row r="3794" ht="15.75" customHeight="1">
      <c r="B3794" s="370">
        <f t="shared" si="2"/>
        <v>0.4387731481</v>
      </c>
      <c r="C3794" s="56">
        <f t="shared" si="3"/>
        <v>37910</v>
      </c>
      <c r="D3794" s="56">
        <v>3.369</v>
      </c>
    </row>
    <row r="3795" ht="15.75" customHeight="1">
      <c r="B3795" s="370">
        <f t="shared" si="2"/>
        <v>0.4388888889</v>
      </c>
      <c r="C3795" s="56">
        <f t="shared" si="3"/>
        <v>37920</v>
      </c>
      <c r="D3795" s="56">
        <v>3.443</v>
      </c>
    </row>
    <row r="3796" ht="15.75" customHeight="1">
      <c r="B3796" s="370">
        <f t="shared" si="2"/>
        <v>0.4390046296</v>
      </c>
      <c r="C3796" s="56">
        <f t="shared" si="3"/>
        <v>37930</v>
      </c>
      <c r="D3796" s="56">
        <v>3.234</v>
      </c>
    </row>
    <row r="3797" ht="15.75" customHeight="1">
      <c r="B3797" s="370">
        <f t="shared" si="2"/>
        <v>0.4391203704</v>
      </c>
      <c r="C3797" s="56">
        <f t="shared" si="3"/>
        <v>37940</v>
      </c>
      <c r="D3797" s="56">
        <v>2.68</v>
      </c>
    </row>
    <row r="3798" ht="15.75" customHeight="1">
      <c r="B3798" s="370">
        <f t="shared" si="2"/>
        <v>0.4392361111</v>
      </c>
      <c r="C3798" s="56">
        <f t="shared" si="3"/>
        <v>37950</v>
      </c>
      <c r="D3798" s="56">
        <v>2.206</v>
      </c>
    </row>
    <row r="3799" ht="15.75" customHeight="1">
      <c r="B3799" s="370">
        <f t="shared" si="2"/>
        <v>0.4393518519</v>
      </c>
      <c r="C3799" s="56">
        <f t="shared" si="3"/>
        <v>37960</v>
      </c>
      <c r="D3799" s="56">
        <v>2.015</v>
      </c>
    </row>
    <row r="3800" ht="15.75" customHeight="1">
      <c r="B3800" s="370">
        <f t="shared" si="2"/>
        <v>0.4394675926</v>
      </c>
      <c r="C3800" s="56">
        <f t="shared" si="3"/>
        <v>37970</v>
      </c>
      <c r="D3800" s="56">
        <v>2.494</v>
      </c>
    </row>
    <row r="3801" ht="15.75" customHeight="1">
      <c r="B3801" s="370">
        <f t="shared" si="2"/>
        <v>0.4395833333</v>
      </c>
      <c r="C3801" s="56">
        <f t="shared" si="3"/>
        <v>37980</v>
      </c>
      <c r="D3801" s="56">
        <v>3.006</v>
      </c>
    </row>
    <row r="3802" ht="15.75" customHeight="1">
      <c r="B3802" s="370">
        <f t="shared" si="2"/>
        <v>0.4396990741</v>
      </c>
      <c r="C3802" s="56">
        <f t="shared" si="3"/>
        <v>37990</v>
      </c>
      <c r="D3802" s="56">
        <v>3.432</v>
      </c>
    </row>
    <row r="3803" ht="15.75" customHeight="1">
      <c r="B3803" s="370">
        <f t="shared" si="2"/>
        <v>0.4398148148</v>
      </c>
      <c r="C3803" s="56">
        <f t="shared" si="3"/>
        <v>38000</v>
      </c>
      <c r="D3803" s="56">
        <v>3.418</v>
      </c>
    </row>
    <row r="3804" ht="15.75" customHeight="1">
      <c r="B3804" s="370">
        <f t="shared" si="2"/>
        <v>0.4399305556</v>
      </c>
      <c r="C3804" s="56">
        <f t="shared" si="3"/>
        <v>38010</v>
      </c>
      <c r="D3804" s="56">
        <v>3.361</v>
      </c>
    </row>
    <row r="3805" ht="15.75" customHeight="1">
      <c r="B3805" s="370">
        <f t="shared" si="2"/>
        <v>0.4400462963</v>
      </c>
      <c r="C3805" s="56">
        <f t="shared" si="3"/>
        <v>38020</v>
      </c>
      <c r="D3805" s="56">
        <v>3.148</v>
      </c>
    </row>
    <row r="3806" ht="15.75" customHeight="1">
      <c r="B3806" s="370">
        <f t="shared" si="2"/>
        <v>0.440162037</v>
      </c>
      <c r="C3806" s="56">
        <f t="shared" si="3"/>
        <v>38030</v>
      </c>
      <c r="D3806" s="56">
        <v>2.428</v>
      </c>
    </row>
    <row r="3807" ht="15.75" customHeight="1">
      <c r="B3807" s="370">
        <f t="shared" si="2"/>
        <v>0.4402777778</v>
      </c>
      <c r="C3807" s="56">
        <f t="shared" si="3"/>
        <v>38040</v>
      </c>
      <c r="D3807" s="56">
        <v>2.528</v>
      </c>
    </row>
    <row r="3808" ht="15.75" customHeight="1">
      <c r="B3808" s="370">
        <f t="shared" si="2"/>
        <v>0.4403935185</v>
      </c>
      <c r="C3808" s="56">
        <f t="shared" si="3"/>
        <v>38050</v>
      </c>
      <c r="D3808" s="56">
        <v>2.691</v>
      </c>
    </row>
    <row r="3809" ht="15.75" customHeight="1">
      <c r="B3809" s="370">
        <f t="shared" si="2"/>
        <v>0.4405092593</v>
      </c>
      <c r="C3809" s="56">
        <f t="shared" si="3"/>
        <v>38060</v>
      </c>
      <c r="D3809" s="56">
        <v>2.721</v>
      </c>
    </row>
    <row r="3810" ht="15.75" customHeight="1">
      <c r="B3810" s="370">
        <f t="shared" si="2"/>
        <v>0.440625</v>
      </c>
      <c r="C3810" s="56">
        <f t="shared" si="3"/>
        <v>38070</v>
      </c>
      <c r="D3810" s="56">
        <v>2.757</v>
      </c>
    </row>
    <row r="3811" ht="15.75" customHeight="1">
      <c r="B3811" s="370">
        <f t="shared" si="2"/>
        <v>0.4407407407</v>
      </c>
      <c r="C3811" s="56">
        <f t="shared" si="3"/>
        <v>38080</v>
      </c>
      <c r="D3811" s="56">
        <v>2.651</v>
      </c>
    </row>
    <row r="3812" ht="15.75" customHeight="1">
      <c r="B3812" s="370">
        <f t="shared" si="2"/>
        <v>0.4408564815</v>
      </c>
      <c r="C3812" s="56">
        <f t="shared" si="3"/>
        <v>38090</v>
      </c>
      <c r="D3812" s="56">
        <v>2.698</v>
      </c>
    </row>
    <row r="3813" ht="15.75" customHeight="1">
      <c r="B3813" s="370">
        <f t="shared" si="2"/>
        <v>0.4409722222</v>
      </c>
      <c r="C3813" s="56">
        <f t="shared" si="3"/>
        <v>38100</v>
      </c>
      <c r="D3813" s="56">
        <v>3.193</v>
      </c>
    </row>
    <row r="3814" ht="15.75" customHeight="1">
      <c r="B3814" s="370">
        <f t="shared" si="2"/>
        <v>0.441087963</v>
      </c>
      <c r="C3814" s="56">
        <f t="shared" si="3"/>
        <v>38110</v>
      </c>
      <c r="D3814" s="56">
        <v>3.27</v>
      </c>
    </row>
    <row r="3815" ht="15.75" customHeight="1">
      <c r="B3815" s="370">
        <f t="shared" si="2"/>
        <v>0.4412037037</v>
      </c>
      <c r="C3815" s="56">
        <f t="shared" si="3"/>
        <v>38120</v>
      </c>
      <c r="D3815" s="56">
        <v>3.364</v>
      </c>
    </row>
    <row r="3816" ht="15.75" customHeight="1">
      <c r="B3816" s="370">
        <f t="shared" si="2"/>
        <v>0.4413194444</v>
      </c>
      <c r="C3816" s="56">
        <f t="shared" si="3"/>
        <v>38130</v>
      </c>
      <c r="D3816" s="56">
        <v>3.232</v>
      </c>
    </row>
    <row r="3817" ht="15.75" customHeight="1">
      <c r="B3817" s="370">
        <f t="shared" si="2"/>
        <v>0.4414351852</v>
      </c>
      <c r="C3817" s="56">
        <f t="shared" si="3"/>
        <v>38140</v>
      </c>
      <c r="D3817" s="56">
        <v>2.778</v>
      </c>
    </row>
    <row r="3818" ht="15.75" customHeight="1">
      <c r="B3818" s="370">
        <f t="shared" si="2"/>
        <v>0.4415509259</v>
      </c>
      <c r="C3818" s="56">
        <f t="shared" si="3"/>
        <v>38150</v>
      </c>
      <c r="D3818" s="56">
        <v>2.388</v>
      </c>
    </row>
    <row r="3819" ht="15.75" customHeight="1">
      <c r="B3819" s="370">
        <f t="shared" si="2"/>
        <v>0.4416666667</v>
      </c>
      <c r="C3819" s="56">
        <f t="shared" si="3"/>
        <v>38160</v>
      </c>
      <c r="D3819" s="56">
        <v>1.947</v>
      </c>
    </row>
    <row r="3820" ht="15.75" customHeight="1">
      <c r="B3820" s="370">
        <f t="shared" si="2"/>
        <v>0.4417824074</v>
      </c>
      <c r="C3820" s="56">
        <f t="shared" si="3"/>
        <v>38170</v>
      </c>
      <c r="D3820" s="56">
        <v>2.325</v>
      </c>
    </row>
    <row r="3821" ht="15.75" customHeight="1">
      <c r="B3821" s="370">
        <f t="shared" si="2"/>
        <v>0.4418981481</v>
      </c>
      <c r="C3821" s="56">
        <f t="shared" si="3"/>
        <v>38180</v>
      </c>
      <c r="D3821" s="56">
        <v>2.928</v>
      </c>
    </row>
    <row r="3822" ht="15.75" customHeight="1">
      <c r="B3822" s="370">
        <f t="shared" si="2"/>
        <v>0.4420138889</v>
      </c>
      <c r="C3822" s="56">
        <f t="shared" si="3"/>
        <v>38190</v>
      </c>
      <c r="D3822" s="56">
        <v>3.445</v>
      </c>
    </row>
    <row r="3823" ht="15.75" customHeight="1">
      <c r="B3823" s="370">
        <f t="shared" si="2"/>
        <v>0.4421296296</v>
      </c>
      <c r="C3823" s="56">
        <f t="shared" si="3"/>
        <v>38200</v>
      </c>
      <c r="D3823" s="56">
        <v>3.478</v>
      </c>
    </row>
    <row r="3824" ht="15.75" customHeight="1">
      <c r="B3824" s="370">
        <f t="shared" si="2"/>
        <v>0.4422453704</v>
      </c>
      <c r="C3824" s="56">
        <f t="shared" si="3"/>
        <v>38210</v>
      </c>
      <c r="D3824" s="56">
        <v>3.445</v>
      </c>
    </row>
    <row r="3825" ht="15.75" customHeight="1">
      <c r="B3825" s="370">
        <f t="shared" si="2"/>
        <v>0.4423611111</v>
      </c>
      <c r="C3825" s="56">
        <f t="shared" si="3"/>
        <v>38220</v>
      </c>
      <c r="D3825" s="56">
        <v>3.312</v>
      </c>
    </row>
    <row r="3826" ht="15.75" customHeight="1">
      <c r="B3826" s="370">
        <f t="shared" si="2"/>
        <v>0.4424768519</v>
      </c>
      <c r="C3826" s="56">
        <f t="shared" si="3"/>
        <v>38230</v>
      </c>
      <c r="D3826" s="56">
        <v>2.607</v>
      </c>
    </row>
    <row r="3827" ht="15.75" customHeight="1">
      <c r="B3827" s="370">
        <f t="shared" si="2"/>
        <v>0.4425925926</v>
      </c>
      <c r="C3827" s="56">
        <f t="shared" si="3"/>
        <v>38240</v>
      </c>
      <c r="D3827" s="56">
        <v>2.387</v>
      </c>
    </row>
    <row r="3828" ht="15.75" customHeight="1">
      <c r="B3828" s="370">
        <f t="shared" si="2"/>
        <v>0.4427083333</v>
      </c>
      <c r="C3828" s="56">
        <f t="shared" si="3"/>
        <v>38250</v>
      </c>
      <c r="D3828" s="56">
        <v>2.612</v>
      </c>
    </row>
    <row r="3829" ht="15.75" customHeight="1">
      <c r="B3829" s="370">
        <f t="shared" si="2"/>
        <v>0.4428240741</v>
      </c>
      <c r="C3829" s="56">
        <f t="shared" si="3"/>
        <v>38260</v>
      </c>
      <c r="D3829" s="56">
        <v>2.703</v>
      </c>
    </row>
    <row r="3830" ht="15.75" customHeight="1">
      <c r="B3830" s="370">
        <f t="shared" si="2"/>
        <v>0.4429398148</v>
      </c>
      <c r="C3830" s="56">
        <f t="shared" si="3"/>
        <v>38270</v>
      </c>
      <c r="D3830" s="56">
        <v>2.815</v>
      </c>
    </row>
    <row r="3831" ht="15.75" customHeight="1">
      <c r="B3831" s="370">
        <f t="shared" si="2"/>
        <v>0.4430555556</v>
      </c>
      <c r="C3831" s="56">
        <f t="shared" si="3"/>
        <v>38280</v>
      </c>
      <c r="D3831" s="56">
        <v>2.802</v>
      </c>
    </row>
    <row r="3832" ht="15.75" customHeight="1">
      <c r="B3832" s="370">
        <f t="shared" si="2"/>
        <v>0.4431712963</v>
      </c>
      <c r="C3832" s="56">
        <f t="shared" si="3"/>
        <v>38290</v>
      </c>
      <c r="D3832" s="56">
        <v>2.771</v>
      </c>
    </row>
    <row r="3833" ht="15.75" customHeight="1">
      <c r="B3833" s="370">
        <f t="shared" si="2"/>
        <v>0.443287037</v>
      </c>
      <c r="C3833" s="56">
        <f t="shared" si="3"/>
        <v>38300</v>
      </c>
      <c r="D3833" s="56">
        <v>3.02</v>
      </c>
    </row>
    <row r="3834" ht="15.75" customHeight="1">
      <c r="B3834" s="370">
        <f t="shared" si="2"/>
        <v>0.4434027778</v>
      </c>
      <c r="C3834" s="56">
        <f t="shared" si="3"/>
        <v>38310</v>
      </c>
      <c r="D3834" s="56">
        <v>3.142</v>
      </c>
    </row>
    <row r="3835" ht="15.75" customHeight="1">
      <c r="B3835" s="370">
        <f t="shared" si="2"/>
        <v>0.4435185185</v>
      </c>
      <c r="C3835" s="56">
        <f t="shared" si="3"/>
        <v>38320</v>
      </c>
      <c r="D3835" s="56">
        <v>3.243</v>
      </c>
    </row>
    <row r="3836" ht="15.75" customHeight="1">
      <c r="B3836" s="370">
        <f t="shared" si="2"/>
        <v>0.4436342593</v>
      </c>
      <c r="C3836" s="56">
        <f t="shared" si="3"/>
        <v>38330</v>
      </c>
      <c r="D3836" s="56">
        <v>3.193</v>
      </c>
    </row>
    <row r="3837" ht="15.75" customHeight="1">
      <c r="B3837" s="370">
        <f t="shared" si="2"/>
        <v>0.44375</v>
      </c>
      <c r="C3837" s="56">
        <f t="shared" si="3"/>
        <v>38340</v>
      </c>
      <c r="D3837" s="56">
        <v>2.843</v>
      </c>
    </row>
    <row r="3838" ht="15.75" customHeight="1">
      <c r="B3838" s="370">
        <f t="shared" si="2"/>
        <v>0.4438657407</v>
      </c>
      <c r="C3838" s="56">
        <f t="shared" si="3"/>
        <v>38350</v>
      </c>
      <c r="D3838" s="56">
        <v>2.504</v>
      </c>
    </row>
    <row r="3839" ht="15.75" customHeight="1">
      <c r="B3839" s="370">
        <f t="shared" si="2"/>
        <v>0.4439814815</v>
      </c>
      <c r="C3839" s="56">
        <f t="shared" si="3"/>
        <v>38360</v>
      </c>
      <c r="D3839" s="56">
        <v>2.219</v>
      </c>
    </row>
    <row r="3840" ht="15.75" customHeight="1">
      <c r="B3840" s="370">
        <f t="shared" si="2"/>
        <v>0.4440972222</v>
      </c>
      <c r="C3840" s="56">
        <f t="shared" si="3"/>
        <v>38370</v>
      </c>
      <c r="D3840" s="56">
        <v>2.046</v>
      </c>
    </row>
    <row r="3841" ht="15.75" customHeight="1">
      <c r="B3841" s="370">
        <f t="shared" si="2"/>
        <v>0.444212963</v>
      </c>
      <c r="C3841" s="56">
        <f t="shared" si="3"/>
        <v>38380</v>
      </c>
      <c r="D3841" s="56">
        <v>2.814</v>
      </c>
    </row>
    <row r="3842" ht="15.75" customHeight="1">
      <c r="B3842" s="370">
        <f t="shared" si="2"/>
        <v>0.4443287037</v>
      </c>
      <c r="C3842" s="56">
        <f t="shared" si="3"/>
        <v>38390</v>
      </c>
      <c r="D3842" s="56">
        <v>3.429</v>
      </c>
    </row>
    <row r="3843" ht="15.75" customHeight="1">
      <c r="B3843" s="370">
        <f t="shared" si="2"/>
        <v>0.4444444444</v>
      </c>
      <c r="C3843" s="56">
        <f t="shared" si="3"/>
        <v>38400</v>
      </c>
      <c r="D3843" s="56">
        <v>3.518</v>
      </c>
    </row>
    <row r="3844" ht="15.75" customHeight="1">
      <c r="B3844" s="370">
        <f t="shared" si="2"/>
        <v>0.4445601852</v>
      </c>
      <c r="C3844" s="56">
        <f t="shared" si="3"/>
        <v>38410</v>
      </c>
      <c r="D3844" s="56">
        <v>3.493</v>
      </c>
    </row>
    <row r="3845" ht="15.75" customHeight="1">
      <c r="B3845" s="370">
        <f t="shared" si="2"/>
        <v>0.4446759259</v>
      </c>
      <c r="C3845" s="56">
        <f t="shared" si="3"/>
        <v>38420</v>
      </c>
      <c r="D3845" s="56">
        <v>3.409</v>
      </c>
    </row>
    <row r="3846" ht="15.75" customHeight="1">
      <c r="B3846" s="370">
        <f t="shared" si="2"/>
        <v>0.4447916667</v>
      </c>
      <c r="C3846" s="56">
        <f t="shared" si="3"/>
        <v>38430</v>
      </c>
      <c r="D3846" s="56">
        <v>2.813</v>
      </c>
    </row>
    <row r="3847" ht="15.75" customHeight="1">
      <c r="B3847" s="370">
        <f t="shared" si="2"/>
        <v>0.4449074074</v>
      </c>
      <c r="C3847" s="56">
        <f t="shared" si="3"/>
        <v>38440</v>
      </c>
      <c r="D3847" s="56">
        <v>2.151</v>
      </c>
    </row>
    <row r="3848" ht="15.75" customHeight="1">
      <c r="B3848" s="370">
        <f t="shared" si="2"/>
        <v>0.4450231481</v>
      </c>
      <c r="C3848" s="56">
        <f t="shared" si="3"/>
        <v>38450</v>
      </c>
      <c r="D3848" s="56">
        <v>2.493</v>
      </c>
    </row>
    <row r="3849" ht="15.75" customHeight="1">
      <c r="B3849" s="370">
        <f t="shared" si="2"/>
        <v>0.4451388889</v>
      </c>
      <c r="C3849" s="56">
        <f t="shared" si="3"/>
        <v>38460</v>
      </c>
      <c r="D3849" s="56">
        <v>2.651</v>
      </c>
    </row>
    <row r="3850" ht="15.75" customHeight="1">
      <c r="B3850" s="370">
        <f t="shared" si="2"/>
        <v>0.4452546296</v>
      </c>
      <c r="C3850" s="56">
        <f t="shared" si="3"/>
        <v>38470</v>
      </c>
      <c r="D3850" s="56">
        <v>2.835</v>
      </c>
    </row>
    <row r="3851" ht="15.75" customHeight="1">
      <c r="B3851" s="370">
        <f t="shared" si="2"/>
        <v>0.4453703704</v>
      </c>
      <c r="C3851" s="56">
        <f t="shared" si="3"/>
        <v>38480</v>
      </c>
      <c r="D3851" s="56">
        <v>2.917</v>
      </c>
    </row>
    <row r="3852" ht="15.75" customHeight="1">
      <c r="B3852" s="370">
        <f t="shared" si="2"/>
        <v>0.4454861111</v>
      </c>
      <c r="C3852" s="56">
        <f t="shared" si="3"/>
        <v>38490</v>
      </c>
      <c r="D3852" s="56">
        <v>2.896</v>
      </c>
    </row>
    <row r="3853" ht="15.75" customHeight="1">
      <c r="B3853" s="370">
        <f t="shared" si="2"/>
        <v>0.4456018519</v>
      </c>
      <c r="C3853" s="56">
        <f t="shared" si="3"/>
        <v>38500</v>
      </c>
      <c r="D3853" s="56">
        <v>2.887</v>
      </c>
    </row>
    <row r="3854" ht="15.75" customHeight="1">
      <c r="B3854" s="370">
        <f t="shared" si="2"/>
        <v>0.4457175926</v>
      </c>
      <c r="C3854" s="56">
        <f t="shared" si="3"/>
        <v>38510</v>
      </c>
      <c r="D3854" s="56">
        <v>2.918</v>
      </c>
    </row>
    <row r="3855" ht="15.75" customHeight="1">
      <c r="B3855" s="370">
        <f t="shared" si="2"/>
        <v>0.4458333333</v>
      </c>
      <c r="C3855" s="56">
        <f t="shared" si="3"/>
        <v>38520</v>
      </c>
      <c r="D3855" s="56">
        <v>3.111</v>
      </c>
    </row>
    <row r="3856" ht="15.75" customHeight="1">
      <c r="B3856" s="370">
        <f t="shared" si="2"/>
        <v>0.4459490741</v>
      </c>
      <c r="C3856" s="56">
        <f t="shared" si="3"/>
        <v>38530</v>
      </c>
      <c r="D3856" s="56">
        <v>3.123</v>
      </c>
    </row>
    <row r="3857" ht="15.75" customHeight="1">
      <c r="B3857" s="370">
        <f t="shared" si="2"/>
        <v>0.4460648148</v>
      </c>
      <c r="C3857" s="56">
        <f t="shared" si="3"/>
        <v>38540</v>
      </c>
      <c r="D3857" s="56">
        <v>2.869</v>
      </c>
    </row>
    <row r="3858" ht="15.75" customHeight="1">
      <c r="B3858" s="370">
        <f t="shared" si="2"/>
        <v>0.4461805556</v>
      </c>
      <c r="C3858" s="56">
        <f t="shared" si="3"/>
        <v>38550</v>
      </c>
      <c r="D3858" s="56">
        <v>2.638</v>
      </c>
    </row>
    <row r="3859" ht="15.75" customHeight="1">
      <c r="B3859" s="370">
        <f t="shared" si="2"/>
        <v>0.4462962963</v>
      </c>
      <c r="C3859" s="56">
        <f t="shared" si="3"/>
        <v>38560</v>
      </c>
      <c r="D3859" s="56">
        <v>2.386</v>
      </c>
    </row>
    <row r="3860" ht="15.75" customHeight="1">
      <c r="B3860" s="370">
        <f t="shared" si="2"/>
        <v>0.446412037</v>
      </c>
      <c r="C3860" s="56">
        <f t="shared" si="3"/>
        <v>38570</v>
      </c>
      <c r="D3860" s="56">
        <v>2.09</v>
      </c>
    </row>
    <row r="3861" ht="15.75" customHeight="1">
      <c r="B3861" s="370">
        <f t="shared" si="2"/>
        <v>0.4465277778</v>
      </c>
      <c r="C3861" s="56">
        <f t="shared" si="3"/>
        <v>38580</v>
      </c>
      <c r="D3861" s="56">
        <v>2.661</v>
      </c>
    </row>
    <row r="3862" ht="15.75" customHeight="1">
      <c r="B3862" s="370">
        <f t="shared" si="2"/>
        <v>0.4466435185</v>
      </c>
      <c r="C3862" s="56">
        <f t="shared" si="3"/>
        <v>38590</v>
      </c>
      <c r="D3862" s="56">
        <v>3.381</v>
      </c>
    </row>
    <row r="3863" ht="15.75" customHeight="1">
      <c r="B3863" s="370">
        <f t="shared" si="2"/>
        <v>0.4467592593</v>
      </c>
      <c r="C3863" s="56">
        <f t="shared" si="3"/>
        <v>38600</v>
      </c>
      <c r="D3863" s="56">
        <v>3.524</v>
      </c>
    </row>
    <row r="3864" ht="15.75" customHeight="1">
      <c r="B3864" s="370">
        <f t="shared" si="2"/>
        <v>0.446875</v>
      </c>
      <c r="C3864" s="56">
        <f t="shared" si="3"/>
        <v>38610</v>
      </c>
      <c r="D3864" s="56">
        <v>3.515</v>
      </c>
    </row>
    <row r="3865" ht="15.75" customHeight="1">
      <c r="B3865" s="370">
        <f t="shared" si="2"/>
        <v>0.4469907407</v>
      </c>
      <c r="C3865" s="56">
        <f t="shared" si="3"/>
        <v>38620</v>
      </c>
      <c r="D3865" s="56">
        <v>3.466</v>
      </c>
    </row>
    <row r="3866" ht="15.75" customHeight="1">
      <c r="B3866" s="370">
        <f t="shared" si="2"/>
        <v>0.4471064815</v>
      </c>
      <c r="C3866" s="56">
        <f t="shared" si="3"/>
        <v>38630</v>
      </c>
      <c r="D3866" s="56">
        <v>2.931</v>
      </c>
    </row>
    <row r="3867" ht="15.75" customHeight="1">
      <c r="B3867" s="370">
        <f t="shared" si="2"/>
        <v>0.4472222222</v>
      </c>
      <c r="C3867" s="56">
        <f t="shared" si="3"/>
        <v>38640</v>
      </c>
      <c r="D3867" s="56">
        <v>2.085</v>
      </c>
    </row>
    <row r="3868" ht="15.75" customHeight="1">
      <c r="B3868" s="370">
        <f t="shared" si="2"/>
        <v>0.447337963</v>
      </c>
      <c r="C3868" s="56">
        <f t="shared" si="3"/>
        <v>38650</v>
      </c>
      <c r="D3868" s="56">
        <v>2.306</v>
      </c>
    </row>
    <row r="3869" ht="15.75" customHeight="1">
      <c r="B3869" s="370">
        <f t="shared" si="2"/>
        <v>0.4474537037</v>
      </c>
      <c r="C3869" s="56">
        <f t="shared" si="3"/>
        <v>38660</v>
      </c>
      <c r="D3869" s="56">
        <v>2.561</v>
      </c>
    </row>
    <row r="3870" ht="15.75" customHeight="1">
      <c r="B3870" s="370">
        <f t="shared" si="2"/>
        <v>0.4475694444</v>
      </c>
      <c r="C3870" s="56">
        <f t="shared" si="3"/>
        <v>38670</v>
      </c>
      <c r="D3870" s="56">
        <v>2.821</v>
      </c>
    </row>
    <row r="3871" ht="15.75" customHeight="1">
      <c r="B3871" s="370">
        <f t="shared" si="2"/>
        <v>0.4476851852</v>
      </c>
      <c r="C3871" s="56">
        <f t="shared" si="3"/>
        <v>38680</v>
      </c>
      <c r="D3871" s="56">
        <v>3.0</v>
      </c>
    </row>
    <row r="3872" ht="15.75" customHeight="1">
      <c r="B3872" s="370">
        <f t="shared" si="2"/>
        <v>0.4478009259</v>
      </c>
      <c r="C3872" s="56">
        <f t="shared" si="3"/>
        <v>38690</v>
      </c>
      <c r="D3872" s="56">
        <v>3.118</v>
      </c>
    </row>
    <row r="3873" ht="15.75" customHeight="1">
      <c r="B3873" s="370">
        <f t="shared" si="2"/>
        <v>0.4479166667</v>
      </c>
      <c r="C3873" s="56">
        <f t="shared" si="3"/>
        <v>38700</v>
      </c>
      <c r="D3873" s="56">
        <v>2.947</v>
      </c>
    </row>
    <row r="3874" ht="15.75" customHeight="1">
      <c r="B3874" s="370">
        <f t="shared" si="2"/>
        <v>0.4480324074</v>
      </c>
      <c r="C3874" s="56">
        <f t="shared" si="3"/>
        <v>38710</v>
      </c>
      <c r="D3874" s="56">
        <v>2.902</v>
      </c>
    </row>
    <row r="3875" ht="15.75" customHeight="1">
      <c r="B3875" s="370">
        <f t="shared" si="2"/>
        <v>0.4481481481</v>
      </c>
      <c r="C3875" s="56">
        <f t="shared" si="3"/>
        <v>38720</v>
      </c>
      <c r="D3875" s="56">
        <v>2.914</v>
      </c>
    </row>
    <row r="3876" ht="15.75" customHeight="1">
      <c r="B3876" s="370">
        <f t="shared" si="2"/>
        <v>0.4482638889</v>
      </c>
      <c r="C3876" s="56">
        <f t="shared" si="3"/>
        <v>38730</v>
      </c>
      <c r="D3876" s="56">
        <v>3.016</v>
      </c>
    </row>
    <row r="3877" ht="15.75" customHeight="1">
      <c r="B3877" s="370">
        <f t="shared" si="2"/>
        <v>0.4483796296</v>
      </c>
      <c r="C3877" s="56">
        <f t="shared" si="3"/>
        <v>38740</v>
      </c>
      <c r="D3877" s="56">
        <v>2.86</v>
      </c>
    </row>
    <row r="3878" ht="15.75" customHeight="1">
      <c r="B3878" s="370">
        <f t="shared" si="2"/>
        <v>0.4484953704</v>
      </c>
      <c r="C3878" s="56">
        <f t="shared" si="3"/>
        <v>38750</v>
      </c>
      <c r="D3878" s="56">
        <v>2.712</v>
      </c>
    </row>
    <row r="3879" ht="15.75" customHeight="1">
      <c r="B3879" s="370">
        <f t="shared" si="2"/>
        <v>0.4486111111</v>
      </c>
      <c r="C3879" s="56">
        <f t="shared" si="3"/>
        <v>38760</v>
      </c>
      <c r="D3879" s="56">
        <v>2.517</v>
      </c>
    </row>
    <row r="3880" ht="15.75" customHeight="1">
      <c r="B3880" s="370">
        <f t="shared" si="2"/>
        <v>0.4487268519</v>
      </c>
      <c r="C3880" s="56">
        <f t="shared" si="3"/>
        <v>38770</v>
      </c>
      <c r="D3880" s="56">
        <v>2.222</v>
      </c>
    </row>
    <row r="3881" ht="15.75" customHeight="1">
      <c r="B3881" s="370">
        <f t="shared" si="2"/>
        <v>0.4488425926</v>
      </c>
      <c r="C3881" s="56">
        <f t="shared" si="3"/>
        <v>38780</v>
      </c>
      <c r="D3881" s="56">
        <v>2.49</v>
      </c>
    </row>
    <row r="3882" ht="15.75" customHeight="1">
      <c r="B3882" s="370">
        <f t="shared" si="2"/>
        <v>0.4489583333</v>
      </c>
      <c r="C3882" s="56">
        <f t="shared" si="3"/>
        <v>38790</v>
      </c>
      <c r="D3882" s="56">
        <v>3.299</v>
      </c>
    </row>
    <row r="3883" ht="15.75" customHeight="1">
      <c r="B3883" s="370">
        <f t="shared" si="2"/>
        <v>0.4490740741</v>
      </c>
      <c r="C3883" s="56">
        <f t="shared" si="3"/>
        <v>38800</v>
      </c>
      <c r="D3883" s="56">
        <v>3.496</v>
      </c>
    </row>
    <row r="3884" ht="15.75" customHeight="1">
      <c r="B3884" s="370">
        <f t="shared" si="2"/>
        <v>0.4491898148</v>
      </c>
      <c r="C3884" s="56">
        <f t="shared" si="3"/>
        <v>38810</v>
      </c>
      <c r="D3884" s="56">
        <v>3.509</v>
      </c>
    </row>
    <row r="3885" ht="15.75" customHeight="1">
      <c r="B3885" s="370">
        <f t="shared" si="2"/>
        <v>0.4493055556</v>
      </c>
      <c r="C3885" s="56">
        <f t="shared" si="3"/>
        <v>38820</v>
      </c>
      <c r="D3885" s="56">
        <v>3.502</v>
      </c>
    </row>
    <row r="3886" ht="15.75" customHeight="1">
      <c r="B3886" s="370">
        <f t="shared" si="2"/>
        <v>0.4494212963</v>
      </c>
      <c r="C3886" s="56">
        <f t="shared" si="3"/>
        <v>38830</v>
      </c>
      <c r="D3886" s="56">
        <v>3.086</v>
      </c>
    </row>
    <row r="3887" ht="15.75" customHeight="1">
      <c r="B3887" s="370">
        <f t="shared" si="2"/>
        <v>0.449537037</v>
      </c>
      <c r="C3887" s="56">
        <f t="shared" si="3"/>
        <v>38840</v>
      </c>
      <c r="D3887" s="56">
        <v>2.272</v>
      </c>
    </row>
    <row r="3888" ht="15.75" customHeight="1">
      <c r="B3888" s="370">
        <f t="shared" si="2"/>
        <v>0.4496527778</v>
      </c>
      <c r="C3888" s="56">
        <f t="shared" si="3"/>
        <v>38850</v>
      </c>
      <c r="D3888" s="56">
        <v>2.164</v>
      </c>
    </row>
    <row r="3889" ht="15.75" customHeight="1">
      <c r="B3889" s="370">
        <f t="shared" si="2"/>
        <v>0.4497685185</v>
      </c>
      <c r="C3889" s="56">
        <f t="shared" si="3"/>
        <v>38860</v>
      </c>
      <c r="D3889" s="56">
        <v>2.446</v>
      </c>
    </row>
    <row r="3890" ht="15.75" customHeight="1">
      <c r="B3890" s="370">
        <f t="shared" si="2"/>
        <v>0.4498842593</v>
      </c>
      <c r="C3890" s="56">
        <f t="shared" si="3"/>
        <v>38870</v>
      </c>
      <c r="D3890" s="56">
        <v>2.769</v>
      </c>
    </row>
    <row r="3891" ht="15.75" customHeight="1">
      <c r="B3891" s="370">
        <f t="shared" si="2"/>
        <v>0.45</v>
      </c>
      <c r="C3891" s="56">
        <f t="shared" si="3"/>
        <v>38880</v>
      </c>
      <c r="D3891" s="56">
        <v>3.046</v>
      </c>
    </row>
    <row r="3892" ht="15.75" customHeight="1">
      <c r="B3892" s="370">
        <f t="shared" si="2"/>
        <v>0.4501157407</v>
      </c>
      <c r="C3892" s="56">
        <f t="shared" si="3"/>
        <v>38890</v>
      </c>
      <c r="D3892" s="56">
        <v>3.252</v>
      </c>
    </row>
    <row r="3893" ht="15.75" customHeight="1">
      <c r="B3893" s="370">
        <f t="shared" si="2"/>
        <v>0.4502314815</v>
      </c>
      <c r="C3893" s="56">
        <f t="shared" si="3"/>
        <v>38900</v>
      </c>
      <c r="D3893" s="56">
        <v>3.138</v>
      </c>
    </row>
    <row r="3894" ht="15.75" customHeight="1">
      <c r="B3894" s="370">
        <f t="shared" si="2"/>
        <v>0.4503472222</v>
      </c>
      <c r="C3894" s="56">
        <f t="shared" si="3"/>
        <v>38910</v>
      </c>
      <c r="D3894" s="56">
        <v>2.986</v>
      </c>
    </row>
    <row r="3895" ht="15.75" customHeight="1">
      <c r="B3895" s="370">
        <f t="shared" si="2"/>
        <v>0.450462963</v>
      </c>
      <c r="C3895" s="56">
        <f t="shared" si="3"/>
        <v>38920</v>
      </c>
      <c r="D3895" s="56">
        <v>2.771</v>
      </c>
    </row>
    <row r="3896" ht="15.75" customHeight="1">
      <c r="B3896" s="370">
        <f t="shared" si="2"/>
        <v>0.4505787037</v>
      </c>
      <c r="C3896" s="56">
        <f t="shared" si="3"/>
        <v>38930</v>
      </c>
      <c r="D3896" s="56">
        <v>2.842</v>
      </c>
    </row>
    <row r="3897" ht="15.75" customHeight="1">
      <c r="B3897" s="370">
        <f t="shared" si="2"/>
        <v>0.4506944444</v>
      </c>
      <c r="C3897" s="56">
        <f t="shared" si="3"/>
        <v>38940</v>
      </c>
      <c r="D3897" s="56">
        <v>2.815</v>
      </c>
    </row>
    <row r="3898" ht="15.75" customHeight="1">
      <c r="B3898" s="370">
        <f t="shared" si="2"/>
        <v>0.4508101852</v>
      </c>
      <c r="C3898" s="56">
        <f t="shared" si="3"/>
        <v>38950</v>
      </c>
      <c r="D3898" s="56">
        <v>2.746</v>
      </c>
    </row>
    <row r="3899" ht="15.75" customHeight="1">
      <c r="B3899" s="370">
        <f t="shared" si="2"/>
        <v>0.4509259259</v>
      </c>
      <c r="C3899" s="56">
        <f t="shared" si="3"/>
        <v>38960</v>
      </c>
      <c r="D3899" s="56">
        <v>2.618</v>
      </c>
    </row>
    <row r="3900" ht="15.75" customHeight="1">
      <c r="B3900" s="370">
        <f t="shared" si="2"/>
        <v>0.4510416667</v>
      </c>
      <c r="C3900" s="56">
        <f t="shared" si="3"/>
        <v>38970</v>
      </c>
      <c r="D3900" s="56">
        <v>2.468</v>
      </c>
    </row>
    <row r="3901" ht="15.75" customHeight="1">
      <c r="B3901" s="370">
        <f t="shared" si="2"/>
        <v>0.4511574074</v>
      </c>
      <c r="C3901" s="56">
        <f t="shared" si="3"/>
        <v>38980</v>
      </c>
      <c r="D3901" s="56">
        <v>2.229</v>
      </c>
    </row>
    <row r="3902" ht="15.75" customHeight="1">
      <c r="B3902" s="370">
        <f t="shared" si="2"/>
        <v>0.4512731481</v>
      </c>
      <c r="C3902" s="56">
        <f t="shared" si="3"/>
        <v>38990</v>
      </c>
      <c r="D3902" s="56">
        <v>3.178</v>
      </c>
    </row>
    <row r="3903" ht="15.75" customHeight="1">
      <c r="B3903" s="370">
        <f t="shared" si="2"/>
        <v>0.4513888889</v>
      </c>
      <c r="C3903" s="56">
        <f t="shared" si="3"/>
        <v>39000</v>
      </c>
      <c r="D3903" s="56">
        <v>3.45</v>
      </c>
    </row>
    <row r="3904" ht="15.75" customHeight="1">
      <c r="B3904" s="370">
        <f t="shared" si="2"/>
        <v>0.4515046296</v>
      </c>
      <c r="C3904" s="56">
        <f t="shared" si="3"/>
        <v>39010</v>
      </c>
      <c r="D3904" s="56">
        <v>3.474</v>
      </c>
    </row>
    <row r="3905" ht="15.75" customHeight="1">
      <c r="B3905" s="370">
        <f t="shared" si="2"/>
        <v>0.4516203704</v>
      </c>
      <c r="C3905" s="56">
        <f t="shared" si="3"/>
        <v>39020</v>
      </c>
      <c r="D3905" s="56">
        <v>3.501</v>
      </c>
    </row>
    <row r="3906" ht="15.75" customHeight="1">
      <c r="B3906" s="370">
        <f t="shared" si="2"/>
        <v>0.4517361111</v>
      </c>
      <c r="C3906" s="56">
        <f t="shared" si="3"/>
        <v>39030</v>
      </c>
      <c r="D3906" s="56">
        <v>3.172</v>
      </c>
    </row>
    <row r="3907" ht="15.75" customHeight="1">
      <c r="B3907" s="370">
        <f t="shared" si="2"/>
        <v>0.4518518519</v>
      </c>
      <c r="C3907" s="56">
        <f t="shared" si="3"/>
        <v>39040</v>
      </c>
      <c r="D3907" s="56">
        <v>2.474</v>
      </c>
    </row>
    <row r="3908" ht="15.75" customHeight="1">
      <c r="B3908" s="370">
        <f t="shared" si="2"/>
        <v>0.4519675926</v>
      </c>
      <c r="C3908" s="56">
        <f t="shared" si="3"/>
        <v>39050</v>
      </c>
      <c r="D3908" s="56">
        <v>1.951</v>
      </c>
    </row>
    <row r="3909" ht="15.75" customHeight="1">
      <c r="B3909" s="370">
        <f t="shared" si="2"/>
        <v>0.4520833333</v>
      </c>
      <c r="C3909" s="56">
        <f t="shared" si="3"/>
        <v>39060</v>
      </c>
      <c r="D3909" s="56">
        <v>2.29</v>
      </c>
    </row>
    <row r="3910" ht="15.75" customHeight="1">
      <c r="B3910" s="370">
        <f t="shared" si="2"/>
        <v>0.4521990741</v>
      </c>
      <c r="C3910" s="56">
        <f t="shared" si="3"/>
        <v>39070</v>
      </c>
      <c r="D3910" s="56">
        <v>2.683</v>
      </c>
    </row>
    <row r="3911" ht="15.75" customHeight="1">
      <c r="B3911" s="370">
        <f t="shared" si="2"/>
        <v>0.4523148148</v>
      </c>
      <c r="C3911" s="56">
        <f t="shared" si="3"/>
        <v>39080</v>
      </c>
      <c r="D3911" s="56">
        <v>3.055</v>
      </c>
    </row>
    <row r="3912" ht="15.75" customHeight="1">
      <c r="B3912" s="370">
        <f t="shared" si="2"/>
        <v>0.4524305556</v>
      </c>
      <c r="C3912" s="56">
        <f t="shared" si="3"/>
        <v>39090</v>
      </c>
      <c r="D3912" s="56">
        <v>3.342</v>
      </c>
    </row>
    <row r="3913" ht="15.75" customHeight="1">
      <c r="B3913" s="370">
        <f t="shared" si="2"/>
        <v>0.4525462963</v>
      </c>
      <c r="C3913" s="56">
        <f t="shared" si="3"/>
        <v>39100</v>
      </c>
      <c r="D3913" s="56">
        <v>3.243</v>
      </c>
    </row>
    <row r="3914" ht="15.75" customHeight="1">
      <c r="B3914" s="370">
        <f t="shared" si="2"/>
        <v>0.452662037</v>
      </c>
      <c r="C3914" s="56">
        <f t="shared" si="3"/>
        <v>39110</v>
      </c>
      <c r="D3914" s="56">
        <v>3.201</v>
      </c>
    </row>
    <row r="3915" ht="15.75" customHeight="1">
      <c r="B3915" s="370">
        <f t="shared" si="2"/>
        <v>0.4527777778</v>
      </c>
      <c r="C3915" s="56">
        <f t="shared" si="3"/>
        <v>39120</v>
      </c>
      <c r="D3915" s="56">
        <v>2.927</v>
      </c>
    </row>
    <row r="3916" ht="15.75" customHeight="1">
      <c r="B3916" s="370">
        <f t="shared" si="2"/>
        <v>0.4528935185</v>
      </c>
      <c r="C3916" s="56">
        <f t="shared" si="3"/>
        <v>39130</v>
      </c>
      <c r="D3916" s="56">
        <v>2.703</v>
      </c>
    </row>
    <row r="3917" ht="15.75" customHeight="1">
      <c r="B3917" s="370">
        <f t="shared" si="2"/>
        <v>0.4530092593</v>
      </c>
      <c r="C3917" s="56">
        <f t="shared" si="3"/>
        <v>39140</v>
      </c>
      <c r="D3917" s="56">
        <v>2.733</v>
      </c>
    </row>
    <row r="3918" ht="15.75" customHeight="1">
      <c r="B3918" s="370">
        <f t="shared" si="2"/>
        <v>0.453125</v>
      </c>
      <c r="C3918" s="56">
        <f t="shared" si="3"/>
        <v>39150</v>
      </c>
      <c r="D3918" s="56">
        <v>2.752</v>
      </c>
    </row>
    <row r="3919" ht="15.75" customHeight="1">
      <c r="B3919" s="370">
        <f t="shared" si="2"/>
        <v>0.4532407407</v>
      </c>
      <c r="C3919" s="56">
        <f t="shared" si="3"/>
        <v>39160</v>
      </c>
      <c r="D3919" s="56">
        <v>2.685</v>
      </c>
    </row>
    <row r="3920" ht="15.75" customHeight="1">
      <c r="B3920" s="370">
        <f t="shared" si="2"/>
        <v>0.4533564815</v>
      </c>
      <c r="C3920" s="56">
        <f t="shared" si="3"/>
        <v>39170</v>
      </c>
      <c r="D3920" s="56">
        <v>2.611</v>
      </c>
    </row>
    <row r="3921" ht="15.75" customHeight="1">
      <c r="B3921" s="370">
        <f t="shared" si="2"/>
        <v>0.4534722222</v>
      </c>
      <c r="C3921" s="56">
        <f t="shared" si="3"/>
        <v>39180</v>
      </c>
      <c r="D3921" s="56">
        <v>2.379</v>
      </c>
    </row>
    <row r="3922" ht="15.75" customHeight="1">
      <c r="B3922" s="370">
        <f t="shared" si="2"/>
        <v>0.453587963</v>
      </c>
      <c r="C3922" s="56">
        <f t="shared" si="3"/>
        <v>39190</v>
      </c>
      <c r="D3922" s="56">
        <v>3.028</v>
      </c>
    </row>
    <row r="3923" ht="15.75" customHeight="1">
      <c r="B3923" s="370">
        <f t="shared" si="2"/>
        <v>0.4537037037</v>
      </c>
      <c r="C3923" s="56">
        <f t="shared" si="3"/>
        <v>39200</v>
      </c>
      <c r="D3923" s="56">
        <v>3.37</v>
      </c>
    </row>
    <row r="3924" ht="15.75" customHeight="1">
      <c r="B3924" s="370">
        <f t="shared" si="2"/>
        <v>0.4538194444</v>
      </c>
      <c r="C3924" s="56">
        <f t="shared" si="3"/>
        <v>39210</v>
      </c>
      <c r="D3924" s="56">
        <v>3.413</v>
      </c>
    </row>
    <row r="3925" ht="15.75" customHeight="1">
      <c r="B3925" s="370">
        <f t="shared" si="2"/>
        <v>0.4539351852</v>
      </c>
      <c r="C3925" s="56">
        <f t="shared" si="3"/>
        <v>39220</v>
      </c>
      <c r="D3925" s="56">
        <v>3.464</v>
      </c>
    </row>
    <row r="3926" ht="15.75" customHeight="1">
      <c r="B3926" s="370">
        <f t="shared" si="2"/>
        <v>0.4540509259</v>
      </c>
      <c r="C3926" s="56">
        <f t="shared" si="3"/>
        <v>39230</v>
      </c>
      <c r="D3926" s="56">
        <v>3.227</v>
      </c>
    </row>
    <row r="3927" ht="15.75" customHeight="1">
      <c r="B3927" s="370">
        <f t="shared" si="2"/>
        <v>0.4541666667</v>
      </c>
      <c r="C3927" s="56">
        <f t="shared" si="3"/>
        <v>39240</v>
      </c>
      <c r="D3927" s="56">
        <v>2.592</v>
      </c>
    </row>
    <row r="3928" ht="15.75" customHeight="1">
      <c r="B3928" s="370">
        <f t="shared" si="2"/>
        <v>0.4542824074</v>
      </c>
      <c r="C3928" s="56">
        <f t="shared" si="3"/>
        <v>39250</v>
      </c>
      <c r="D3928" s="56">
        <v>2.127</v>
      </c>
    </row>
    <row r="3929" ht="15.75" customHeight="1">
      <c r="B3929" s="370">
        <f t="shared" si="2"/>
        <v>0.4543981481</v>
      </c>
      <c r="C3929" s="56">
        <f t="shared" si="3"/>
        <v>39260</v>
      </c>
      <c r="D3929" s="56">
        <v>2.041</v>
      </c>
    </row>
    <row r="3930" ht="15.75" customHeight="1">
      <c r="B3930" s="370">
        <f t="shared" si="2"/>
        <v>0.4545138889</v>
      </c>
      <c r="C3930" s="56">
        <f t="shared" si="3"/>
        <v>39270</v>
      </c>
      <c r="D3930" s="56">
        <v>2.561</v>
      </c>
    </row>
    <row r="3931" ht="15.75" customHeight="1">
      <c r="B3931" s="370">
        <f t="shared" si="2"/>
        <v>0.4546296296</v>
      </c>
      <c r="C3931" s="56">
        <f t="shared" si="3"/>
        <v>39280</v>
      </c>
      <c r="D3931" s="56">
        <v>3.031</v>
      </c>
    </row>
    <row r="3932" ht="15.75" customHeight="1">
      <c r="B3932" s="370">
        <f t="shared" si="2"/>
        <v>0.4547453704</v>
      </c>
      <c r="C3932" s="56">
        <f t="shared" si="3"/>
        <v>39290</v>
      </c>
      <c r="D3932" s="56">
        <v>3.414</v>
      </c>
    </row>
    <row r="3933" ht="15.75" customHeight="1">
      <c r="B3933" s="370">
        <f t="shared" si="2"/>
        <v>0.4548611111</v>
      </c>
      <c r="C3933" s="56">
        <f t="shared" si="3"/>
        <v>39300</v>
      </c>
      <c r="D3933" s="56">
        <v>3.377</v>
      </c>
    </row>
    <row r="3934" ht="15.75" customHeight="1">
      <c r="B3934" s="370">
        <f t="shared" si="2"/>
        <v>0.4549768519</v>
      </c>
      <c r="C3934" s="56">
        <f t="shared" si="3"/>
        <v>39310</v>
      </c>
      <c r="D3934" s="56">
        <v>3.318</v>
      </c>
    </row>
    <row r="3935" ht="15.75" customHeight="1">
      <c r="B3935" s="370">
        <f t="shared" si="2"/>
        <v>0.4550925926</v>
      </c>
      <c r="C3935" s="56">
        <f t="shared" si="3"/>
        <v>39320</v>
      </c>
      <c r="D3935" s="56">
        <v>3.119</v>
      </c>
    </row>
    <row r="3936" ht="15.75" customHeight="1">
      <c r="B3936" s="370">
        <f t="shared" si="2"/>
        <v>0.4552083333</v>
      </c>
      <c r="C3936" s="56">
        <f t="shared" si="3"/>
        <v>39330</v>
      </c>
      <c r="D3936" s="56">
        <v>2.458</v>
      </c>
    </row>
    <row r="3937" ht="15.75" customHeight="1">
      <c r="B3937" s="370">
        <f t="shared" si="2"/>
        <v>0.4553240741</v>
      </c>
      <c r="C3937" s="56">
        <f t="shared" si="3"/>
        <v>39340</v>
      </c>
      <c r="D3937" s="56">
        <v>2.616</v>
      </c>
    </row>
    <row r="3938" ht="15.75" customHeight="1">
      <c r="B3938" s="370">
        <f t="shared" si="2"/>
        <v>0.4554398148</v>
      </c>
      <c r="C3938" s="56">
        <f t="shared" si="3"/>
        <v>39350</v>
      </c>
      <c r="D3938" s="56">
        <v>2.721</v>
      </c>
    </row>
    <row r="3939" ht="15.75" customHeight="1">
      <c r="B3939" s="370">
        <f t="shared" si="2"/>
        <v>0.4555555556</v>
      </c>
      <c r="C3939" s="56">
        <f t="shared" si="3"/>
        <v>39360</v>
      </c>
      <c r="D3939" s="56">
        <v>2.718</v>
      </c>
    </row>
    <row r="3940" ht="15.75" customHeight="1">
      <c r="B3940" s="370">
        <f t="shared" si="2"/>
        <v>0.4556712963</v>
      </c>
      <c r="C3940" s="56">
        <f t="shared" si="3"/>
        <v>39370</v>
      </c>
      <c r="D3940" s="56">
        <v>2.718</v>
      </c>
    </row>
    <row r="3941" ht="15.75" customHeight="1">
      <c r="B3941" s="370">
        <f t="shared" si="2"/>
        <v>0.455787037</v>
      </c>
      <c r="C3941" s="56">
        <f t="shared" si="3"/>
        <v>39380</v>
      </c>
      <c r="D3941" s="56">
        <v>2.502</v>
      </c>
    </row>
    <row r="3942" ht="15.75" customHeight="1">
      <c r="B3942" s="370">
        <f t="shared" si="2"/>
        <v>0.4559027778</v>
      </c>
      <c r="C3942" s="56">
        <f t="shared" si="3"/>
        <v>39390</v>
      </c>
      <c r="D3942" s="56">
        <v>2.86</v>
      </c>
    </row>
    <row r="3943" ht="15.75" customHeight="1">
      <c r="B3943" s="370">
        <f t="shared" si="2"/>
        <v>0.4560185185</v>
      </c>
      <c r="C3943" s="56">
        <f t="shared" si="3"/>
        <v>39400</v>
      </c>
      <c r="D3943" s="56">
        <v>3.237</v>
      </c>
    </row>
    <row r="3944" ht="15.75" customHeight="1">
      <c r="B3944" s="370">
        <f t="shared" si="2"/>
        <v>0.4561342593</v>
      </c>
      <c r="C3944" s="56">
        <f t="shared" si="3"/>
        <v>39410</v>
      </c>
      <c r="D3944" s="56">
        <v>3.318</v>
      </c>
    </row>
    <row r="3945" ht="15.75" customHeight="1">
      <c r="B3945" s="370">
        <f t="shared" si="2"/>
        <v>0.45625</v>
      </c>
      <c r="C3945" s="56">
        <f t="shared" si="3"/>
        <v>39420</v>
      </c>
      <c r="D3945" s="56">
        <v>3.405</v>
      </c>
    </row>
    <row r="3946" ht="15.75" customHeight="1">
      <c r="B3946" s="370">
        <f t="shared" si="2"/>
        <v>0.4563657407</v>
      </c>
      <c r="C3946" s="56">
        <f t="shared" si="3"/>
        <v>39430</v>
      </c>
      <c r="D3946" s="56">
        <v>3.237</v>
      </c>
    </row>
    <row r="3947" ht="15.75" customHeight="1">
      <c r="B3947" s="370">
        <f t="shared" si="2"/>
        <v>0.4564814815</v>
      </c>
      <c r="C3947" s="56">
        <f t="shared" si="3"/>
        <v>39440</v>
      </c>
      <c r="D3947" s="56">
        <v>2.737</v>
      </c>
    </row>
    <row r="3948" ht="15.75" customHeight="1">
      <c r="B3948" s="370">
        <f t="shared" si="2"/>
        <v>0.4565972222</v>
      </c>
      <c r="C3948" s="56">
        <f t="shared" si="3"/>
        <v>39450</v>
      </c>
      <c r="D3948" s="56">
        <v>2.318</v>
      </c>
    </row>
    <row r="3949" ht="15.75" customHeight="1">
      <c r="B3949" s="370">
        <f t="shared" si="2"/>
        <v>0.456712963</v>
      </c>
      <c r="C3949" s="56">
        <f t="shared" si="3"/>
        <v>39460</v>
      </c>
      <c r="D3949" s="56">
        <v>1.938</v>
      </c>
    </row>
    <row r="3950" ht="15.75" customHeight="1">
      <c r="B3950" s="370">
        <f t="shared" si="2"/>
        <v>0.4568287037</v>
      </c>
      <c r="C3950" s="56">
        <f t="shared" si="3"/>
        <v>39470</v>
      </c>
      <c r="D3950" s="56">
        <v>2.398</v>
      </c>
    </row>
    <row r="3951" ht="15.75" customHeight="1">
      <c r="B3951" s="370">
        <f t="shared" si="2"/>
        <v>0.4569444444</v>
      </c>
      <c r="C3951" s="56">
        <f t="shared" si="3"/>
        <v>39480</v>
      </c>
      <c r="D3951" s="56">
        <v>2.965</v>
      </c>
    </row>
    <row r="3952" ht="15.75" customHeight="1">
      <c r="B3952" s="370">
        <f t="shared" si="2"/>
        <v>0.4570601852</v>
      </c>
      <c r="C3952" s="56">
        <f t="shared" si="3"/>
        <v>39490</v>
      </c>
      <c r="D3952" s="56">
        <v>3.445</v>
      </c>
    </row>
    <row r="3953" ht="15.75" customHeight="1">
      <c r="B3953" s="370">
        <f t="shared" si="2"/>
        <v>0.4571759259</v>
      </c>
      <c r="C3953" s="56">
        <f t="shared" si="3"/>
        <v>39500</v>
      </c>
      <c r="D3953" s="56">
        <v>3.458</v>
      </c>
    </row>
    <row r="3954" ht="15.75" customHeight="1">
      <c r="B3954" s="370">
        <f t="shared" si="2"/>
        <v>0.4572916667</v>
      </c>
      <c r="C3954" s="56">
        <f t="shared" si="3"/>
        <v>39510</v>
      </c>
      <c r="D3954" s="56">
        <v>3.406</v>
      </c>
    </row>
    <row r="3955" ht="15.75" customHeight="1">
      <c r="B3955" s="370">
        <f t="shared" si="2"/>
        <v>0.4574074074</v>
      </c>
      <c r="C3955" s="56">
        <f t="shared" si="3"/>
        <v>39520</v>
      </c>
      <c r="D3955" s="56">
        <v>3.23</v>
      </c>
    </row>
    <row r="3956" ht="15.75" customHeight="1">
      <c r="B3956" s="370">
        <f t="shared" si="2"/>
        <v>0.4575231481</v>
      </c>
      <c r="C3956" s="56">
        <f t="shared" si="3"/>
        <v>39530</v>
      </c>
      <c r="D3956" s="56">
        <v>2.539</v>
      </c>
    </row>
    <row r="3957" ht="15.75" customHeight="1">
      <c r="B3957" s="370">
        <f t="shared" si="2"/>
        <v>0.4576388889</v>
      </c>
      <c r="C3957" s="56">
        <f t="shared" si="3"/>
        <v>39540</v>
      </c>
      <c r="D3957" s="56">
        <v>2.426</v>
      </c>
    </row>
    <row r="3958" ht="15.75" customHeight="1">
      <c r="B3958" s="370">
        <f t="shared" si="2"/>
        <v>0.4577546296</v>
      </c>
      <c r="C3958" s="56">
        <f t="shared" si="3"/>
        <v>39550</v>
      </c>
      <c r="D3958" s="56">
        <v>2.652</v>
      </c>
    </row>
    <row r="3959" ht="15.75" customHeight="1">
      <c r="B3959" s="370">
        <f t="shared" si="2"/>
        <v>0.4578703704</v>
      </c>
      <c r="C3959" s="56">
        <f t="shared" si="3"/>
        <v>39560</v>
      </c>
      <c r="D3959" s="56">
        <v>2.716</v>
      </c>
    </row>
    <row r="3960" ht="15.75" customHeight="1">
      <c r="B3960" s="370">
        <f t="shared" si="2"/>
        <v>0.4579861111</v>
      </c>
      <c r="C3960" s="56">
        <f t="shared" si="3"/>
        <v>39570</v>
      </c>
      <c r="D3960" s="56">
        <v>2.792</v>
      </c>
    </row>
    <row r="3961" ht="15.75" customHeight="1">
      <c r="B3961" s="370">
        <f t="shared" si="2"/>
        <v>0.4581018519</v>
      </c>
      <c r="C3961" s="56">
        <f t="shared" si="3"/>
        <v>39580</v>
      </c>
      <c r="D3961" s="56">
        <v>2.736</v>
      </c>
    </row>
    <row r="3962" ht="15.75" customHeight="1">
      <c r="B3962" s="370">
        <f t="shared" si="2"/>
        <v>0.4582175926</v>
      </c>
      <c r="C3962" s="56">
        <f t="shared" si="3"/>
        <v>39590</v>
      </c>
      <c r="D3962" s="56">
        <v>2.677</v>
      </c>
    </row>
    <row r="3963" ht="15.75" customHeight="1">
      <c r="B3963" s="370">
        <f t="shared" si="2"/>
        <v>0.4583333333</v>
      </c>
      <c r="C3963" s="56">
        <f t="shared" si="3"/>
        <v>39600</v>
      </c>
      <c r="D3963" s="56">
        <v>3.118</v>
      </c>
    </row>
    <row r="3964" ht="15.75" customHeight="1">
      <c r="B3964" s="370">
        <f t="shared" si="2"/>
        <v>0.4584490741</v>
      </c>
      <c r="C3964" s="56">
        <f t="shared" si="3"/>
        <v>39610</v>
      </c>
      <c r="D3964" s="56">
        <v>3.196</v>
      </c>
    </row>
    <row r="3965" ht="15.75" customHeight="1">
      <c r="B3965" s="370">
        <f t="shared" si="2"/>
        <v>0.4585648148</v>
      </c>
      <c r="C3965" s="56">
        <f t="shared" si="3"/>
        <v>39620</v>
      </c>
      <c r="D3965" s="56">
        <v>3.308</v>
      </c>
    </row>
    <row r="3966" ht="15.75" customHeight="1">
      <c r="B3966" s="370">
        <f t="shared" si="2"/>
        <v>0.4586805556</v>
      </c>
      <c r="C3966" s="56">
        <f t="shared" si="3"/>
        <v>39630</v>
      </c>
      <c r="D3966" s="56">
        <v>3.217</v>
      </c>
    </row>
    <row r="3967" ht="15.75" customHeight="1">
      <c r="B3967" s="370">
        <f t="shared" si="2"/>
        <v>0.4587962963</v>
      </c>
      <c r="C3967" s="56">
        <f t="shared" si="3"/>
        <v>39640</v>
      </c>
      <c r="D3967" s="56">
        <v>2.817</v>
      </c>
    </row>
    <row r="3968" ht="15.75" customHeight="1">
      <c r="B3968" s="370">
        <f t="shared" si="2"/>
        <v>0.458912037</v>
      </c>
      <c r="C3968" s="56">
        <f t="shared" si="3"/>
        <v>39650</v>
      </c>
      <c r="D3968" s="56">
        <v>2.468</v>
      </c>
    </row>
    <row r="3969" ht="15.75" customHeight="1">
      <c r="B3969" s="370">
        <f t="shared" si="2"/>
        <v>0.4590277778</v>
      </c>
      <c r="C3969" s="56">
        <f t="shared" si="3"/>
        <v>39660</v>
      </c>
      <c r="D3969" s="56">
        <v>2.06</v>
      </c>
    </row>
    <row r="3970" ht="15.75" customHeight="1">
      <c r="B3970" s="370">
        <f t="shared" si="2"/>
        <v>0.4591435185</v>
      </c>
      <c r="C3970" s="56">
        <f t="shared" si="3"/>
        <v>39670</v>
      </c>
      <c r="D3970" s="56">
        <v>2.22</v>
      </c>
    </row>
    <row r="3971" ht="15.75" customHeight="1">
      <c r="B3971" s="370">
        <f t="shared" si="2"/>
        <v>0.4592592593</v>
      </c>
      <c r="C3971" s="56">
        <f t="shared" si="3"/>
        <v>39680</v>
      </c>
      <c r="D3971" s="56">
        <v>2.871</v>
      </c>
    </row>
    <row r="3972" ht="15.75" customHeight="1">
      <c r="B3972" s="370">
        <f t="shared" si="2"/>
        <v>0.459375</v>
      </c>
      <c r="C3972" s="56">
        <f t="shared" si="3"/>
        <v>39690</v>
      </c>
      <c r="D3972" s="56">
        <v>3.44</v>
      </c>
    </row>
    <row r="3973" ht="15.75" customHeight="1">
      <c r="B3973" s="370">
        <f t="shared" si="2"/>
        <v>0.4594907407</v>
      </c>
      <c r="C3973" s="56">
        <f t="shared" si="3"/>
        <v>39700</v>
      </c>
      <c r="D3973" s="56">
        <v>3.502</v>
      </c>
    </row>
    <row r="3974" ht="15.75" customHeight="1">
      <c r="B3974" s="370">
        <f t="shared" si="2"/>
        <v>0.4596064815</v>
      </c>
      <c r="C3974" s="56">
        <f t="shared" si="3"/>
        <v>39710</v>
      </c>
      <c r="D3974" s="56">
        <v>3.475</v>
      </c>
    </row>
    <row r="3975" ht="15.75" customHeight="1">
      <c r="B3975" s="370">
        <f t="shared" si="2"/>
        <v>0.4597222222</v>
      </c>
      <c r="C3975" s="56">
        <f t="shared" si="3"/>
        <v>39720</v>
      </c>
      <c r="D3975" s="56">
        <v>3.367</v>
      </c>
    </row>
    <row r="3976" ht="15.75" customHeight="1">
      <c r="B3976" s="370">
        <f t="shared" si="2"/>
        <v>0.459837963</v>
      </c>
      <c r="C3976" s="56">
        <f t="shared" si="3"/>
        <v>39730</v>
      </c>
      <c r="D3976" s="56">
        <v>2.727</v>
      </c>
    </row>
    <row r="3977" ht="15.75" customHeight="1">
      <c r="B3977" s="370">
        <f t="shared" si="2"/>
        <v>0.4599537037</v>
      </c>
      <c r="C3977" s="56">
        <f t="shared" si="3"/>
        <v>39740</v>
      </c>
      <c r="D3977" s="56">
        <v>2.285</v>
      </c>
    </row>
    <row r="3978" ht="15.75" customHeight="1">
      <c r="B3978" s="370">
        <f t="shared" si="2"/>
        <v>0.4600694444</v>
      </c>
      <c r="C3978" s="56">
        <f t="shared" si="3"/>
        <v>39750</v>
      </c>
      <c r="D3978" s="56">
        <v>2.553</v>
      </c>
    </row>
    <row r="3979" ht="15.75" customHeight="1">
      <c r="B3979" s="370">
        <f t="shared" si="2"/>
        <v>0.4601851852</v>
      </c>
      <c r="C3979" s="56">
        <f t="shared" si="3"/>
        <v>39760</v>
      </c>
      <c r="D3979" s="56">
        <v>2.678</v>
      </c>
    </row>
    <row r="3980" ht="15.75" customHeight="1">
      <c r="B3980" s="370">
        <f t="shared" si="2"/>
        <v>0.4603009259</v>
      </c>
      <c r="C3980" s="56">
        <f t="shared" si="3"/>
        <v>39770</v>
      </c>
      <c r="D3980" s="56">
        <v>2.83</v>
      </c>
    </row>
    <row r="3981" ht="15.75" customHeight="1">
      <c r="B3981" s="370">
        <f t="shared" si="2"/>
        <v>0.4604166667</v>
      </c>
      <c r="C3981" s="56">
        <f t="shared" si="3"/>
        <v>39780</v>
      </c>
      <c r="D3981" s="56">
        <v>2.868</v>
      </c>
    </row>
    <row r="3982" ht="15.75" customHeight="1">
      <c r="B3982" s="370">
        <f t="shared" si="2"/>
        <v>0.4605324074</v>
      </c>
      <c r="C3982" s="56">
        <f t="shared" si="3"/>
        <v>39790</v>
      </c>
      <c r="D3982" s="56">
        <v>2.871</v>
      </c>
    </row>
    <row r="3983" ht="15.75" customHeight="1">
      <c r="B3983" s="370">
        <f t="shared" si="2"/>
        <v>0.4606481481</v>
      </c>
      <c r="C3983" s="56">
        <f t="shared" si="3"/>
        <v>39800</v>
      </c>
      <c r="D3983" s="56">
        <v>2.915</v>
      </c>
    </row>
    <row r="3984" ht="15.75" customHeight="1">
      <c r="B3984" s="370">
        <f t="shared" si="2"/>
        <v>0.4607638889</v>
      </c>
      <c r="C3984" s="56">
        <f t="shared" si="3"/>
        <v>39810</v>
      </c>
      <c r="D3984" s="56">
        <v>3.062</v>
      </c>
    </row>
    <row r="3985" ht="15.75" customHeight="1">
      <c r="B3985" s="370">
        <f t="shared" si="2"/>
        <v>0.4608796296</v>
      </c>
      <c r="C3985" s="56">
        <f t="shared" si="3"/>
        <v>39820</v>
      </c>
      <c r="D3985" s="56">
        <v>3.157</v>
      </c>
    </row>
    <row r="3986" ht="15.75" customHeight="1">
      <c r="B3986" s="370">
        <f t="shared" si="2"/>
        <v>0.4609953704</v>
      </c>
      <c r="C3986" s="56">
        <f t="shared" si="3"/>
        <v>39830</v>
      </c>
      <c r="D3986" s="56">
        <v>3.158</v>
      </c>
    </row>
    <row r="3987" ht="15.75" customHeight="1">
      <c r="B3987" s="370">
        <f t="shared" si="2"/>
        <v>0.4611111111</v>
      </c>
      <c r="C3987" s="56">
        <f t="shared" si="3"/>
        <v>39840</v>
      </c>
      <c r="D3987" s="56">
        <v>2.862</v>
      </c>
    </row>
    <row r="3988" ht="15.75" customHeight="1">
      <c r="B3988" s="370">
        <f t="shared" si="2"/>
        <v>0.4612268519</v>
      </c>
      <c r="C3988" s="56">
        <f t="shared" si="3"/>
        <v>39850</v>
      </c>
      <c r="D3988" s="56">
        <v>2.578</v>
      </c>
    </row>
    <row r="3989" ht="15.75" customHeight="1">
      <c r="B3989" s="370">
        <f t="shared" si="2"/>
        <v>0.4613425926</v>
      </c>
      <c r="C3989" s="56">
        <f t="shared" si="3"/>
        <v>39860</v>
      </c>
      <c r="D3989" s="56">
        <v>2.311</v>
      </c>
    </row>
    <row r="3990" ht="15.75" customHeight="1">
      <c r="B3990" s="370">
        <f t="shared" si="2"/>
        <v>0.4614583333</v>
      </c>
      <c r="C3990" s="56">
        <f t="shared" si="3"/>
        <v>39870</v>
      </c>
      <c r="D3990" s="56">
        <v>2.007</v>
      </c>
    </row>
    <row r="3991" ht="15.75" customHeight="1">
      <c r="B3991" s="370">
        <f t="shared" si="2"/>
        <v>0.4615740741</v>
      </c>
      <c r="C3991" s="56">
        <f t="shared" si="3"/>
        <v>39880</v>
      </c>
      <c r="D3991" s="56">
        <v>2.738</v>
      </c>
    </row>
    <row r="3992" ht="15.75" customHeight="1">
      <c r="B3992" s="370">
        <f t="shared" si="2"/>
        <v>0.4616898148</v>
      </c>
      <c r="C3992" s="56">
        <f t="shared" si="3"/>
        <v>39890</v>
      </c>
      <c r="D3992" s="56">
        <v>3.408</v>
      </c>
    </row>
    <row r="3993" ht="15.75" customHeight="1">
      <c r="B3993" s="370">
        <f t="shared" si="2"/>
        <v>0.4618055556</v>
      </c>
      <c r="C3993" s="56">
        <f t="shared" si="3"/>
        <v>39900</v>
      </c>
      <c r="D3993" s="56">
        <v>3.526</v>
      </c>
    </row>
    <row r="3994" ht="15.75" customHeight="1">
      <c r="B3994" s="370">
        <f t="shared" si="2"/>
        <v>0.4619212963</v>
      </c>
      <c r="C3994" s="56">
        <f t="shared" si="3"/>
        <v>39910</v>
      </c>
      <c r="D3994" s="56">
        <v>3.509</v>
      </c>
    </row>
    <row r="3995" ht="15.75" customHeight="1">
      <c r="B3995" s="370">
        <f t="shared" si="2"/>
        <v>0.462037037</v>
      </c>
      <c r="C3995" s="56">
        <f t="shared" si="3"/>
        <v>39920</v>
      </c>
      <c r="D3995" s="56">
        <v>3.446</v>
      </c>
    </row>
    <row r="3996" ht="15.75" customHeight="1">
      <c r="B3996" s="370">
        <f t="shared" si="2"/>
        <v>0.4621527778</v>
      </c>
      <c r="C3996" s="56">
        <f t="shared" si="3"/>
        <v>39930</v>
      </c>
      <c r="D3996" s="56">
        <v>2.898</v>
      </c>
    </row>
    <row r="3997" ht="15.75" customHeight="1">
      <c r="B3997" s="370">
        <f t="shared" si="2"/>
        <v>0.4622685185</v>
      </c>
      <c r="C3997" s="56">
        <f t="shared" si="3"/>
        <v>39940</v>
      </c>
      <c r="D3997" s="56">
        <v>2.035</v>
      </c>
    </row>
    <row r="3998" ht="15.75" customHeight="1">
      <c r="B3998" s="370">
        <f t="shared" si="2"/>
        <v>0.4623842593</v>
      </c>
      <c r="C3998" s="56">
        <f t="shared" si="3"/>
        <v>39950</v>
      </c>
      <c r="D3998" s="56">
        <v>2.418</v>
      </c>
    </row>
    <row r="3999" ht="15.75" customHeight="1">
      <c r="B3999" s="370">
        <f t="shared" si="2"/>
        <v>0.4625</v>
      </c>
      <c r="C3999" s="56">
        <f t="shared" si="3"/>
        <v>39960</v>
      </c>
      <c r="D3999" s="56">
        <v>2.61</v>
      </c>
    </row>
    <row r="4000" ht="15.75" customHeight="1">
      <c r="B4000" s="370">
        <f t="shared" si="2"/>
        <v>0.4626157407</v>
      </c>
      <c r="C4000" s="56">
        <f t="shared" si="3"/>
        <v>39970</v>
      </c>
      <c r="D4000" s="56">
        <v>2.831</v>
      </c>
    </row>
    <row r="4001" ht="15.75" customHeight="1">
      <c r="B4001" s="370">
        <f t="shared" si="2"/>
        <v>0.4627314815</v>
      </c>
      <c r="C4001" s="56">
        <f t="shared" si="3"/>
        <v>39980</v>
      </c>
      <c r="D4001" s="56">
        <v>2.966</v>
      </c>
    </row>
    <row r="4002" ht="15.75" customHeight="1">
      <c r="B4002" s="370">
        <f t="shared" si="2"/>
        <v>0.4628472222</v>
      </c>
      <c r="C4002" s="56">
        <f t="shared" si="3"/>
        <v>39990</v>
      </c>
      <c r="D4002" s="56">
        <v>2.998</v>
      </c>
    </row>
    <row r="4003" ht="15.75" customHeight="1">
      <c r="B4003" s="370">
        <f t="shared" si="2"/>
        <v>0.462962963</v>
      </c>
      <c r="C4003" s="56">
        <f t="shared" si="3"/>
        <v>40000</v>
      </c>
      <c r="D4003" s="56">
        <v>2.906</v>
      </c>
    </row>
    <row r="4004" ht="15.75" customHeight="1">
      <c r="B4004" s="370">
        <f t="shared" si="2"/>
        <v>0.4630787037</v>
      </c>
      <c r="C4004" s="56">
        <f t="shared" si="3"/>
        <v>40010</v>
      </c>
      <c r="D4004" s="56">
        <v>2.879</v>
      </c>
    </row>
    <row r="4005" ht="15.75" customHeight="1">
      <c r="B4005" s="370">
        <f t="shared" si="2"/>
        <v>0.4631944444</v>
      </c>
      <c r="C4005" s="56">
        <f t="shared" si="3"/>
        <v>40020</v>
      </c>
      <c r="D4005" s="56">
        <v>3.025</v>
      </c>
    </row>
    <row r="4006" ht="15.75" customHeight="1">
      <c r="B4006" s="370">
        <f t="shared" si="2"/>
        <v>0.4633101852</v>
      </c>
      <c r="C4006" s="56">
        <f t="shared" si="3"/>
        <v>40030</v>
      </c>
      <c r="D4006" s="56">
        <v>3.071</v>
      </c>
    </row>
    <row r="4007" ht="15.75" customHeight="1">
      <c r="B4007" s="370">
        <f t="shared" si="2"/>
        <v>0.4634259259</v>
      </c>
      <c r="C4007" s="56">
        <f t="shared" si="3"/>
        <v>40040</v>
      </c>
      <c r="D4007" s="56">
        <v>2.87</v>
      </c>
    </row>
    <row r="4008" ht="15.75" customHeight="1">
      <c r="B4008" s="370">
        <f t="shared" si="2"/>
        <v>0.4635416667</v>
      </c>
      <c r="C4008" s="56">
        <f t="shared" si="3"/>
        <v>40050</v>
      </c>
      <c r="D4008" s="56">
        <v>2.68</v>
      </c>
    </row>
    <row r="4009" ht="15.75" customHeight="1">
      <c r="B4009" s="370">
        <f t="shared" si="2"/>
        <v>0.4636574074</v>
      </c>
      <c r="C4009" s="56">
        <f t="shared" si="3"/>
        <v>40060</v>
      </c>
      <c r="D4009" s="56">
        <v>2.462</v>
      </c>
    </row>
    <row r="4010" ht="15.75" customHeight="1">
      <c r="B4010" s="370">
        <f t="shared" si="2"/>
        <v>0.4637731481</v>
      </c>
      <c r="C4010" s="56">
        <f t="shared" si="3"/>
        <v>40070</v>
      </c>
      <c r="D4010" s="56">
        <v>2.201</v>
      </c>
    </row>
    <row r="4011" ht="15.75" customHeight="1">
      <c r="B4011" s="370">
        <f t="shared" si="2"/>
        <v>0.4638888889</v>
      </c>
      <c r="C4011" s="56">
        <f t="shared" si="3"/>
        <v>40080</v>
      </c>
      <c r="D4011" s="56">
        <v>2.556</v>
      </c>
    </row>
    <row r="4012" ht="15.75" customHeight="1">
      <c r="B4012" s="370">
        <f t="shared" si="2"/>
        <v>0.4640046296</v>
      </c>
      <c r="C4012" s="56">
        <f t="shared" si="3"/>
        <v>40090</v>
      </c>
      <c r="D4012" s="56">
        <v>3.34</v>
      </c>
    </row>
    <row r="4013" ht="15.75" customHeight="1">
      <c r="B4013" s="370">
        <f t="shared" si="2"/>
        <v>0.4641203704</v>
      </c>
      <c r="C4013" s="56">
        <f t="shared" si="3"/>
        <v>40100</v>
      </c>
      <c r="D4013" s="56">
        <v>3.515</v>
      </c>
    </row>
    <row r="4014" ht="15.75" customHeight="1">
      <c r="B4014" s="370">
        <f t="shared" si="2"/>
        <v>0.4642361111</v>
      </c>
      <c r="C4014" s="56">
        <f t="shared" si="3"/>
        <v>40110</v>
      </c>
      <c r="D4014" s="56">
        <v>3.514</v>
      </c>
    </row>
    <row r="4015" ht="15.75" customHeight="1">
      <c r="B4015" s="370">
        <f t="shared" si="2"/>
        <v>0.4643518519</v>
      </c>
      <c r="C4015" s="56">
        <f t="shared" si="3"/>
        <v>40120</v>
      </c>
      <c r="D4015" s="56">
        <v>3.488</v>
      </c>
    </row>
    <row r="4016" ht="15.75" customHeight="1">
      <c r="B4016" s="370">
        <f t="shared" si="2"/>
        <v>0.4644675926</v>
      </c>
      <c r="C4016" s="56">
        <f t="shared" si="3"/>
        <v>40130</v>
      </c>
      <c r="D4016" s="56">
        <v>3.012</v>
      </c>
    </row>
    <row r="4017" ht="15.75" customHeight="1">
      <c r="B4017" s="370">
        <f t="shared" si="2"/>
        <v>0.4645833333</v>
      </c>
      <c r="C4017" s="56">
        <f t="shared" si="3"/>
        <v>40140</v>
      </c>
      <c r="D4017" s="56">
        <v>2.199</v>
      </c>
    </row>
    <row r="4018" ht="15.75" customHeight="1">
      <c r="B4018" s="370">
        <f t="shared" si="2"/>
        <v>0.4646990741</v>
      </c>
      <c r="C4018" s="56">
        <f t="shared" si="3"/>
        <v>40150</v>
      </c>
      <c r="D4018" s="56">
        <v>2.199</v>
      </c>
    </row>
    <row r="4019" ht="15.75" customHeight="1">
      <c r="B4019" s="370">
        <f t="shared" si="2"/>
        <v>0.4648148148</v>
      </c>
      <c r="C4019" s="56">
        <f t="shared" si="3"/>
        <v>40160</v>
      </c>
      <c r="D4019" s="56">
        <v>2.5</v>
      </c>
    </row>
    <row r="4020" ht="15.75" customHeight="1">
      <c r="B4020" s="370">
        <f t="shared" si="2"/>
        <v>0.4649305556</v>
      </c>
      <c r="C4020" s="56">
        <f t="shared" si="3"/>
        <v>40170</v>
      </c>
      <c r="D4020" s="56">
        <v>2.797</v>
      </c>
    </row>
    <row r="4021" ht="15.75" customHeight="1">
      <c r="B4021" s="370">
        <f t="shared" si="2"/>
        <v>0.4650462963</v>
      </c>
      <c r="C4021" s="56">
        <f t="shared" si="3"/>
        <v>40180</v>
      </c>
      <c r="D4021" s="56">
        <v>3.029</v>
      </c>
    </row>
    <row r="4022" ht="15.75" customHeight="1">
      <c r="B4022" s="370">
        <f t="shared" si="2"/>
        <v>0.465162037</v>
      </c>
      <c r="C4022" s="56">
        <f t="shared" si="3"/>
        <v>40190</v>
      </c>
      <c r="D4022" s="56">
        <v>3.192</v>
      </c>
    </row>
    <row r="4023" ht="15.75" customHeight="1">
      <c r="B4023" s="370">
        <f t="shared" si="2"/>
        <v>0.4652777778</v>
      </c>
      <c r="C4023" s="56">
        <f t="shared" si="3"/>
        <v>40200</v>
      </c>
      <c r="D4023" s="56">
        <v>3.051</v>
      </c>
    </row>
    <row r="4024" ht="15.75" customHeight="1">
      <c r="B4024" s="370">
        <f t="shared" si="2"/>
        <v>0.4653935185</v>
      </c>
      <c r="C4024" s="56">
        <f t="shared" si="3"/>
        <v>40210</v>
      </c>
      <c r="D4024" s="56">
        <v>2.984</v>
      </c>
    </row>
    <row r="4025" ht="15.75" customHeight="1">
      <c r="B4025" s="370">
        <f t="shared" si="2"/>
        <v>0.4655092593</v>
      </c>
      <c r="C4025" s="56">
        <f t="shared" si="3"/>
        <v>40220</v>
      </c>
      <c r="D4025" s="56">
        <v>2.804</v>
      </c>
    </row>
    <row r="4026" ht="15.75" customHeight="1">
      <c r="B4026" s="370">
        <f t="shared" si="2"/>
        <v>0.465625</v>
      </c>
      <c r="C4026" s="56">
        <f t="shared" si="3"/>
        <v>40230</v>
      </c>
      <c r="D4026" s="56">
        <v>2.944</v>
      </c>
    </row>
    <row r="4027" ht="15.75" customHeight="1">
      <c r="B4027" s="370">
        <f t="shared" si="2"/>
        <v>0.4657407407</v>
      </c>
      <c r="C4027" s="56">
        <f t="shared" si="3"/>
        <v>40240</v>
      </c>
      <c r="D4027" s="56">
        <v>2.841</v>
      </c>
    </row>
    <row r="4028" ht="15.75" customHeight="1">
      <c r="B4028" s="370">
        <f t="shared" si="2"/>
        <v>0.4658564815</v>
      </c>
      <c r="C4028" s="56">
        <f t="shared" si="3"/>
        <v>40250</v>
      </c>
      <c r="D4028" s="56">
        <v>2.735</v>
      </c>
    </row>
    <row r="4029" ht="15.75" customHeight="1">
      <c r="B4029" s="370">
        <f t="shared" si="2"/>
        <v>0.4659722222</v>
      </c>
      <c r="C4029" s="56">
        <f t="shared" si="3"/>
        <v>40260</v>
      </c>
      <c r="D4029" s="56">
        <v>2.574</v>
      </c>
    </row>
    <row r="4030" ht="15.75" customHeight="1">
      <c r="B4030" s="370">
        <f t="shared" si="2"/>
        <v>0.466087963</v>
      </c>
      <c r="C4030" s="56">
        <f t="shared" si="3"/>
        <v>40270</v>
      </c>
      <c r="D4030" s="56">
        <v>2.33</v>
      </c>
    </row>
    <row r="4031" ht="15.75" customHeight="1">
      <c r="B4031" s="370">
        <f t="shared" si="2"/>
        <v>0.4662037037</v>
      </c>
      <c r="C4031" s="56">
        <f t="shared" si="3"/>
        <v>40280</v>
      </c>
      <c r="D4031" s="56">
        <v>2.383</v>
      </c>
    </row>
    <row r="4032" ht="15.75" customHeight="1">
      <c r="B4032" s="370">
        <f t="shared" si="2"/>
        <v>0.4663194444</v>
      </c>
      <c r="C4032" s="56">
        <f t="shared" si="3"/>
        <v>40290</v>
      </c>
      <c r="D4032" s="56">
        <v>3.24</v>
      </c>
    </row>
    <row r="4033" ht="15.75" customHeight="1">
      <c r="B4033" s="370">
        <f t="shared" si="2"/>
        <v>0.4664351852</v>
      </c>
      <c r="C4033" s="56">
        <f t="shared" si="3"/>
        <v>40300</v>
      </c>
      <c r="D4033" s="56">
        <v>3.471</v>
      </c>
    </row>
    <row r="4034" ht="15.75" customHeight="1">
      <c r="B4034" s="370">
        <f t="shared" si="2"/>
        <v>0.4665509259</v>
      </c>
      <c r="C4034" s="56">
        <f t="shared" si="3"/>
        <v>40310</v>
      </c>
      <c r="D4034" s="56">
        <v>3.495</v>
      </c>
    </row>
    <row r="4035" ht="15.75" customHeight="1">
      <c r="B4035" s="370">
        <f t="shared" si="2"/>
        <v>0.4666666667</v>
      </c>
      <c r="C4035" s="56">
        <f t="shared" si="3"/>
        <v>40320</v>
      </c>
      <c r="D4035" s="56">
        <v>3.505</v>
      </c>
    </row>
    <row r="4036" ht="15.75" customHeight="1">
      <c r="B4036" s="370">
        <f t="shared" si="2"/>
        <v>0.4667824074</v>
      </c>
      <c r="C4036" s="56">
        <f t="shared" si="3"/>
        <v>40330</v>
      </c>
      <c r="D4036" s="56">
        <v>3.136</v>
      </c>
    </row>
    <row r="4037" ht="15.75" customHeight="1">
      <c r="B4037" s="370">
        <f t="shared" si="2"/>
        <v>0.4668981481</v>
      </c>
      <c r="C4037" s="56">
        <f t="shared" si="3"/>
        <v>40340</v>
      </c>
      <c r="D4037" s="56">
        <v>2.391</v>
      </c>
    </row>
    <row r="4038" ht="15.75" customHeight="1">
      <c r="B4038" s="370">
        <f t="shared" si="2"/>
        <v>0.4670138889</v>
      </c>
      <c r="C4038" s="56">
        <f t="shared" si="3"/>
        <v>40350</v>
      </c>
      <c r="D4038" s="56">
        <v>2.056</v>
      </c>
    </row>
    <row r="4039" ht="15.75" customHeight="1">
      <c r="B4039" s="370">
        <f t="shared" si="2"/>
        <v>0.4671296296</v>
      </c>
      <c r="C4039" s="56">
        <f t="shared" si="3"/>
        <v>40360</v>
      </c>
      <c r="D4039" s="56">
        <v>2.364</v>
      </c>
    </row>
    <row r="4040" ht="15.75" customHeight="1">
      <c r="B4040" s="370">
        <f t="shared" si="2"/>
        <v>0.4672453704</v>
      </c>
      <c r="C4040" s="56">
        <f t="shared" si="3"/>
        <v>40370</v>
      </c>
      <c r="D4040" s="56">
        <v>2.727</v>
      </c>
    </row>
    <row r="4041" ht="15.75" customHeight="1">
      <c r="B4041" s="370">
        <f t="shared" si="2"/>
        <v>0.4673611111</v>
      </c>
      <c r="C4041" s="56">
        <f t="shared" si="3"/>
        <v>40380</v>
      </c>
      <c r="D4041" s="56">
        <v>3.056</v>
      </c>
    </row>
    <row r="4042" ht="15.75" customHeight="1">
      <c r="B4042" s="370">
        <f t="shared" si="2"/>
        <v>0.4674768519</v>
      </c>
      <c r="C4042" s="56">
        <f t="shared" si="3"/>
        <v>40390</v>
      </c>
      <c r="D4042" s="56">
        <v>3.307</v>
      </c>
    </row>
    <row r="4043" ht="15.75" customHeight="1">
      <c r="B4043" s="370">
        <f t="shared" si="2"/>
        <v>0.4675925926</v>
      </c>
      <c r="C4043" s="56">
        <f t="shared" si="3"/>
        <v>40400</v>
      </c>
      <c r="D4043" s="56">
        <v>3.21</v>
      </c>
    </row>
    <row r="4044" ht="15.75" customHeight="1">
      <c r="B4044" s="370">
        <f t="shared" si="2"/>
        <v>0.4677083333</v>
      </c>
      <c r="C4044" s="56">
        <f t="shared" si="3"/>
        <v>40410</v>
      </c>
      <c r="D4044" s="56">
        <v>3.078</v>
      </c>
    </row>
    <row r="4045" ht="15.75" customHeight="1">
      <c r="B4045" s="370">
        <f t="shared" si="2"/>
        <v>0.4678240741</v>
      </c>
      <c r="C4045" s="56">
        <f t="shared" si="3"/>
        <v>40420</v>
      </c>
      <c r="D4045" s="56">
        <v>2.873</v>
      </c>
    </row>
    <row r="4046" ht="15.75" customHeight="1">
      <c r="B4046" s="370">
        <f t="shared" si="2"/>
        <v>0.4679398148</v>
      </c>
      <c r="C4046" s="56">
        <f t="shared" si="3"/>
        <v>40430</v>
      </c>
      <c r="D4046" s="56">
        <v>2.739</v>
      </c>
    </row>
    <row r="4047" ht="15.75" customHeight="1">
      <c r="B4047" s="370">
        <f t="shared" si="2"/>
        <v>0.4680555556</v>
      </c>
      <c r="C4047" s="56">
        <f t="shared" si="3"/>
        <v>40440</v>
      </c>
      <c r="D4047" s="56">
        <v>2.775</v>
      </c>
    </row>
    <row r="4048" ht="15.75" customHeight="1">
      <c r="B4048" s="370">
        <f t="shared" si="2"/>
        <v>0.4681712963</v>
      </c>
      <c r="C4048" s="56">
        <f t="shared" si="3"/>
        <v>40450</v>
      </c>
      <c r="D4048" s="56">
        <v>2.753</v>
      </c>
    </row>
    <row r="4049" ht="15.75" customHeight="1">
      <c r="B4049" s="370">
        <f t="shared" si="2"/>
        <v>0.468287037</v>
      </c>
      <c r="C4049" s="56">
        <f t="shared" si="3"/>
        <v>40460</v>
      </c>
      <c r="D4049" s="56">
        <v>2.66</v>
      </c>
    </row>
    <row r="4050" ht="15.75" customHeight="1">
      <c r="B4050" s="370">
        <f t="shared" si="2"/>
        <v>0.4684027778</v>
      </c>
      <c r="C4050" s="56">
        <f t="shared" si="3"/>
        <v>40470</v>
      </c>
      <c r="D4050" s="56">
        <v>2.55</v>
      </c>
    </row>
    <row r="4051" ht="15.75" customHeight="1">
      <c r="B4051" s="370">
        <f t="shared" si="2"/>
        <v>0.4685185185</v>
      </c>
      <c r="C4051" s="56">
        <f t="shared" si="3"/>
        <v>40480</v>
      </c>
      <c r="D4051" s="56">
        <v>2.231</v>
      </c>
    </row>
    <row r="4052" ht="15.75" customHeight="1">
      <c r="B4052" s="370">
        <f t="shared" si="2"/>
        <v>0.4686342593</v>
      </c>
      <c r="C4052" s="56">
        <f t="shared" si="3"/>
        <v>40490</v>
      </c>
      <c r="D4052" s="56">
        <v>3.103</v>
      </c>
    </row>
    <row r="4053" ht="15.75" customHeight="1">
      <c r="B4053" s="370">
        <f t="shared" si="2"/>
        <v>0.46875</v>
      </c>
      <c r="C4053" s="56">
        <f t="shared" si="3"/>
        <v>40500</v>
      </c>
      <c r="D4053" s="56">
        <v>3.408</v>
      </c>
    </row>
    <row r="4054" ht="15.75" customHeight="1">
      <c r="B4054" s="370">
        <f t="shared" si="2"/>
        <v>0.4688657407</v>
      </c>
      <c r="C4054" s="56">
        <f t="shared" si="3"/>
        <v>40510</v>
      </c>
      <c r="D4054" s="56">
        <v>3.443</v>
      </c>
    </row>
    <row r="4055" ht="15.75" customHeight="1">
      <c r="B4055" s="370">
        <f t="shared" si="2"/>
        <v>0.4689814815</v>
      </c>
      <c r="C4055" s="56">
        <f t="shared" si="3"/>
        <v>40520</v>
      </c>
      <c r="D4055" s="56">
        <v>3.487</v>
      </c>
    </row>
    <row r="4056" ht="15.75" customHeight="1">
      <c r="B4056" s="370">
        <f t="shared" si="2"/>
        <v>0.4690972222</v>
      </c>
      <c r="C4056" s="56">
        <f t="shared" si="3"/>
        <v>40530</v>
      </c>
      <c r="D4056" s="56">
        <v>3.201</v>
      </c>
    </row>
    <row r="4057" ht="15.75" customHeight="1">
      <c r="B4057" s="370">
        <f t="shared" si="2"/>
        <v>0.469212963</v>
      </c>
      <c r="C4057" s="56">
        <f t="shared" si="3"/>
        <v>40540</v>
      </c>
      <c r="D4057" s="56">
        <v>2.559</v>
      </c>
    </row>
    <row r="4058" ht="15.75" customHeight="1">
      <c r="B4058" s="370">
        <f t="shared" si="2"/>
        <v>0.4693287037</v>
      </c>
      <c r="C4058" s="56">
        <f t="shared" si="3"/>
        <v>40550</v>
      </c>
      <c r="D4058" s="56">
        <v>1.961</v>
      </c>
    </row>
    <row r="4059" ht="15.75" customHeight="1">
      <c r="B4059" s="370">
        <f t="shared" si="2"/>
        <v>0.4694444444</v>
      </c>
      <c r="C4059" s="56">
        <f t="shared" si="3"/>
        <v>40560</v>
      </c>
      <c r="D4059" s="56">
        <v>2.195</v>
      </c>
    </row>
    <row r="4060" ht="15.75" customHeight="1">
      <c r="B4060" s="370">
        <f t="shared" si="2"/>
        <v>0.4695601852</v>
      </c>
      <c r="C4060" s="56">
        <f t="shared" si="3"/>
        <v>40570</v>
      </c>
      <c r="D4060" s="56">
        <v>2.623</v>
      </c>
    </row>
    <row r="4061" ht="15.75" customHeight="1">
      <c r="B4061" s="370">
        <f t="shared" si="2"/>
        <v>0.4696759259</v>
      </c>
      <c r="C4061" s="56">
        <f t="shared" si="3"/>
        <v>40580</v>
      </c>
      <c r="D4061" s="56">
        <v>3.046</v>
      </c>
    </row>
    <row r="4062" ht="15.75" customHeight="1">
      <c r="B4062" s="370">
        <f t="shared" si="2"/>
        <v>0.4697916667</v>
      </c>
      <c r="C4062" s="56">
        <f t="shared" si="3"/>
        <v>40590</v>
      </c>
      <c r="D4062" s="56">
        <v>3.381</v>
      </c>
    </row>
    <row r="4063" ht="15.75" customHeight="1">
      <c r="B4063" s="370">
        <f t="shared" si="2"/>
        <v>0.4699074074</v>
      </c>
      <c r="C4063" s="56">
        <f t="shared" si="3"/>
        <v>40600</v>
      </c>
      <c r="D4063" s="56">
        <v>3.314</v>
      </c>
    </row>
    <row r="4064" ht="15.75" customHeight="1">
      <c r="B4064" s="370">
        <f t="shared" si="2"/>
        <v>0.4700231481</v>
      </c>
      <c r="C4064" s="56">
        <f t="shared" si="3"/>
        <v>40610</v>
      </c>
      <c r="D4064" s="56">
        <v>3.266</v>
      </c>
    </row>
    <row r="4065" ht="15.75" customHeight="1">
      <c r="B4065" s="370">
        <f t="shared" si="2"/>
        <v>0.4701388889</v>
      </c>
      <c r="C4065" s="56">
        <f t="shared" si="3"/>
        <v>40620</v>
      </c>
      <c r="D4065" s="56">
        <v>3.036</v>
      </c>
    </row>
    <row r="4066" ht="15.75" customHeight="1">
      <c r="B4066" s="370">
        <f t="shared" si="2"/>
        <v>0.4702546296</v>
      </c>
      <c r="C4066" s="56">
        <f t="shared" si="3"/>
        <v>40630</v>
      </c>
      <c r="D4066" s="56">
        <v>2.598</v>
      </c>
    </row>
    <row r="4067" ht="15.75" customHeight="1">
      <c r="B4067" s="370">
        <f t="shared" si="2"/>
        <v>0.4703703704</v>
      </c>
      <c r="C4067" s="56">
        <f t="shared" si="3"/>
        <v>40640</v>
      </c>
      <c r="D4067" s="56">
        <v>2.675</v>
      </c>
    </row>
    <row r="4068" ht="15.75" customHeight="1">
      <c r="B4068" s="370">
        <f t="shared" si="2"/>
        <v>0.4704861111</v>
      </c>
      <c r="C4068" s="56">
        <f t="shared" si="3"/>
        <v>40650</v>
      </c>
      <c r="D4068" s="56">
        <v>2.737</v>
      </c>
    </row>
    <row r="4069" ht="15.75" customHeight="1">
      <c r="B4069" s="370">
        <f t="shared" si="2"/>
        <v>0.4706018519</v>
      </c>
      <c r="C4069" s="56">
        <f t="shared" si="3"/>
        <v>40660</v>
      </c>
      <c r="D4069" s="56">
        <v>2.708</v>
      </c>
    </row>
    <row r="4070" ht="15.75" customHeight="1">
      <c r="B4070" s="370">
        <f t="shared" si="2"/>
        <v>0.4707175926</v>
      </c>
      <c r="C4070" s="56">
        <f t="shared" si="3"/>
        <v>40670</v>
      </c>
      <c r="D4070" s="56">
        <v>2.672</v>
      </c>
    </row>
    <row r="4071" ht="15.75" customHeight="1">
      <c r="B4071" s="370">
        <f t="shared" si="2"/>
        <v>0.4708333333</v>
      </c>
      <c r="C4071" s="56">
        <f t="shared" si="3"/>
        <v>40680</v>
      </c>
      <c r="D4071" s="56">
        <v>2.485</v>
      </c>
    </row>
    <row r="4072" ht="15.75" customHeight="1">
      <c r="B4072" s="370">
        <f t="shared" si="2"/>
        <v>0.4709490741</v>
      </c>
      <c r="C4072" s="56">
        <f t="shared" si="3"/>
        <v>40690</v>
      </c>
      <c r="D4072" s="56">
        <v>2.921</v>
      </c>
    </row>
    <row r="4073" ht="15.75" customHeight="1">
      <c r="B4073" s="370">
        <f t="shared" si="2"/>
        <v>0.4710648148</v>
      </c>
      <c r="C4073" s="56">
        <f t="shared" si="3"/>
        <v>40700</v>
      </c>
      <c r="D4073" s="56">
        <v>3.309</v>
      </c>
    </row>
    <row r="4074" ht="15.75" customHeight="1">
      <c r="B4074" s="370">
        <f t="shared" si="2"/>
        <v>0.4711805556</v>
      </c>
      <c r="C4074" s="56">
        <f t="shared" si="3"/>
        <v>40710</v>
      </c>
      <c r="D4074" s="56">
        <v>3.367</v>
      </c>
    </row>
    <row r="4075" ht="15.75" customHeight="1">
      <c r="B4075" s="370">
        <f t="shared" si="2"/>
        <v>0.4712962963</v>
      </c>
      <c r="C4075" s="56">
        <f t="shared" si="3"/>
        <v>40720</v>
      </c>
      <c r="D4075" s="56">
        <v>3.433</v>
      </c>
    </row>
    <row r="4076" ht="15.75" customHeight="1">
      <c r="B4076" s="370">
        <f t="shared" si="2"/>
        <v>0.471412037</v>
      </c>
      <c r="C4076" s="56">
        <f t="shared" si="3"/>
        <v>40730</v>
      </c>
      <c r="D4076" s="56">
        <v>3.234</v>
      </c>
    </row>
    <row r="4077" ht="15.75" customHeight="1">
      <c r="B4077" s="370">
        <f t="shared" si="2"/>
        <v>0.4715277778</v>
      </c>
      <c r="C4077" s="56">
        <f t="shared" si="3"/>
        <v>40740</v>
      </c>
      <c r="D4077" s="56">
        <v>2.67</v>
      </c>
    </row>
    <row r="4078" ht="15.75" customHeight="1">
      <c r="B4078" s="370">
        <f t="shared" si="2"/>
        <v>0.4716435185</v>
      </c>
      <c r="C4078" s="56">
        <f t="shared" si="3"/>
        <v>40750</v>
      </c>
      <c r="D4078" s="56">
        <v>2.232</v>
      </c>
    </row>
    <row r="4079" ht="15.75" customHeight="1">
      <c r="B4079" s="370">
        <f t="shared" si="2"/>
        <v>0.4717592593</v>
      </c>
      <c r="C4079" s="56">
        <f t="shared" si="3"/>
        <v>40760</v>
      </c>
      <c r="D4079" s="56">
        <v>1.938</v>
      </c>
    </row>
    <row r="4080" ht="15.75" customHeight="1">
      <c r="B4080" s="370">
        <f t="shared" si="2"/>
        <v>0.471875</v>
      </c>
      <c r="C4080" s="56">
        <f t="shared" si="3"/>
        <v>40770</v>
      </c>
      <c r="D4080" s="56">
        <v>2.482</v>
      </c>
    </row>
    <row r="4081" ht="15.75" customHeight="1">
      <c r="B4081" s="370">
        <f t="shared" si="2"/>
        <v>0.4719907407</v>
      </c>
      <c r="C4081" s="56">
        <f t="shared" si="3"/>
        <v>40780</v>
      </c>
      <c r="D4081" s="56">
        <v>3.002</v>
      </c>
    </row>
    <row r="4082" ht="15.75" customHeight="1">
      <c r="B4082" s="370">
        <f t="shared" si="2"/>
        <v>0.4721064815</v>
      </c>
      <c r="C4082" s="56">
        <f t="shared" si="3"/>
        <v>40790</v>
      </c>
      <c r="D4082" s="56">
        <v>3.435</v>
      </c>
    </row>
    <row r="4083" ht="15.75" customHeight="1">
      <c r="B4083" s="370">
        <f t="shared" si="2"/>
        <v>0.4722222222</v>
      </c>
      <c r="C4083" s="56">
        <f t="shared" si="3"/>
        <v>40800</v>
      </c>
      <c r="D4083" s="56">
        <v>3.423</v>
      </c>
    </row>
    <row r="4084" ht="15.75" customHeight="1">
      <c r="B4084" s="370">
        <f t="shared" si="2"/>
        <v>0.472337963</v>
      </c>
      <c r="C4084" s="56">
        <f t="shared" si="3"/>
        <v>40810</v>
      </c>
      <c r="D4084" s="56">
        <v>3.371</v>
      </c>
    </row>
    <row r="4085" ht="15.75" customHeight="1">
      <c r="B4085" s="370">
        <f t="shared" si="2"/>
        <v>0.4724537037</v>
      </c>
      <c r="C4085" s="56">
        <f t="shared" si="3"/>
        <v>40820</v>
      </c>
      <c r="D4085" s="56">
        <v>3.194</v>
      </c>
    </row>
    <row r="4086" ht="15.75" customHeight="1">
      <c r="B4086" s="370">
        <f t="shared" si="2"/>
        <v>0.4725694444</v>
      </c>
      <c r="C4086" s="56">
        <f t="shared" si="3"/>
        <v>40830</v>
      </c>
      <c r="D4086" s="56">
        <v>2.419</v>
      </c>
    </row>
    <row r="4087" ht="15.75" customHeight="1">
      <c r="B4087" s="370">
        <f t="shared" si="2"/>
        <v>0.4726851852</v>
      </c>
      <c r="C4087" s="56">
        <f t="shared" si="3"/>
        <v>40840</v>
      </c>
      <c r="D4087" s="56">
        <v>2.541</v>
      </c>
    </row>
    <row r="4088" ht="15.75" customHeight="1">
      <c r="B4088" s="370">
        <f t="shared" si="2"/>
        <v>0.4728009259</v>
      </c>
      <c r="C4088" s="56">
        <f t="shared" si="3"/>
        <v>40850</v>
      </c>
      <c r="D4088" s="56">
        <v>2.688</v>
      </c>
    </row>
    <row r="4089" ht="15.75" customHeight="1">
      <c r="B4089" s="370">
        <f t="shared" si="2"/>
        <v>0.4729166667</v>
      </c>
      <c r="C4089" s="56">
        <f t="shared" si="3"/>
        <v>40860</v>
      </c>
      <c r="D4089" s="56">
        <v>0.217</v>
      </c>
    </row>
    <row r="4090" ht="15.75" customHeight="1">
      <c r="B4090" s="370">
        <f t="shared" si="2"/>
        <v>0.4730324074</v>
      </c>
      <c r="C4090" s="56">
        <f t="shared" si="3"/>
        <v>40870</v>
      </c>
      <c r="D4090" s="56">
        <v>0.0</v>
      </c>
    </row>
    <row r="4091" ht="15.75" customHeight="1">
      <c r="B4091" s="370">
        <f t="shared" si="2"/>
        <v>0.4731481481</v>
      </c>
      <c r="C4091" s="56">
        <f t="shared" si="3"/>
        <v>40880</v>
      </c>
      <c r="D4091" s="56">
        <v>0.0</v>
      </c>
    </row>
    <row r="4092" ht="15.75" customHeight="1">
      <c r="B4092" s="370">
        <f t="shared" si="2"/>
        <v>0.4732638889</v>
      </c>
      <c r="C4092" s="56">
        <f t="shared" si="3"/>
        <v>40890</v>
      </c>
      <c r="D4092" s="56">
        <v>0.0</v>
      </c>
    </row>
    <row r="4093" ht="15.75" customHeight="1">
      <c r="B4093" s="370">
        <f t="shared" si="2"/>
        <v>0.4733796296</v>
      </c>
      <c r="C4093" s="56">
        <f t="shared" si="3"/>
        <v>40900</v>
      </c>
      <c r="D4093" s="56">
        <v>0.0</v>
      </c>
    </row>
    <row r="4094" ht="15.75" customHeight="1">
      <c r="B4094" s="370">
        <f t="shared" si="2"/>
        <v>0.4734953704</v>
      </c>
      <c r="C4094" s="56">
        <f t="shared" si="3"/>
        <v>40910</v>
      </c>
      <c r="D4094" s="56">
        <v>0.0</v>
      </c>
    </row>
    <row r="4095" ht="15.75" customHeight="1">
      <c r="B4095" s="370">
        <f t="shared" si="2"/>
        <v>0.4736111111</v>
      </c>
      <c r="C4095" s="56">
        <f t="shared" si="3"/>
        <v>40920</v>
      </c>
      <c r="D4095" s="56">
        <v>0.0</v>
      </c>
    </row>
    <row r="4096" ht="15.75" customHeight="1">
      <c r="B4096" s="370">
        <f t="shared" si="2"/>
        <v>0.4737268519</v>
      </c>
      <c r="C4096" s="56">
        <f t="shared" si="3"/>
        <v>40930</v>
      </c>
      <c r="D4096" s="56">
        <v>0.0</v>
      </c>
    </row>
    <row r="4097" ht="15.75" customHeight="1">
      <c r="B4097" s="370">
        <f t="shared" si="2"/>
        <v>0.4738425926</v>
      </c>
      <c r="C4097" s="56">
        <f t="shared" si="3"/>
        <v>40940</v>
      </c>
      <c r="D4097" s="56">
        <v>0.0</v>
      </c>
    </row>
    <row r="4098" ht="15.75" customHeight="1">
      <c r="B4098" s="370">
        <f t="shared" si="2"/>
        <v>0.4739583333</v>
      </c>
      <c r="C4098" s="56">
        <f t="shared" si="3"/>
        <v>40950</v>
      </c>
      <c r="D4098" s="56">
        <v>0.0</v>
      </c>
    </row>
    <row r="4099" ht="15.75" customHeight="1">
      <c r="B4099" s="370">
        <f t="shared" si="2"/>
        <v>0.4740740741</v>
      </c>
      <c r="C4099" s="56">
        <f t="shared" si="3"/>
        <v>40960</v>
      </c>
      <c r="D4099" s="56">
        <v>0.0</v>
      </c>
    </row>
    <row r="4100" ht="15.75" customHeight="1">
      <c r="B4100" s="370">
        <f t="shared" si="2"/>
        <v>0.4741898148</v>
      </c>
      <c r="C4100" s="56">
        <f t="shared" si="3"/>
        <v>40970</v>
      </c>
      <c r="D4100" s="56">
        <v>0.0</v>
      </c>
    </row>
    <row r="4101" ht="15.75" customHeight="1">
      <c r="B4101" s="370">
        <f t="shared" si="2"/>
        <v>0.4743055556</v>
      </c>
      <c r="C4101" s="56">
        <f t="shared" si="3"/>
        <v>40980</v>
      </c>
      <c r="D4101" s="56">
        <v>0.0</v>
      </c>
    </row>
    <row r="4102" ht="15.75" customHeight="1">
      <c r="B4102" s="370">
        <f t="shared" si="2"/>
        <v>0.4744212963</v>
      </c>
      <c r="C4102" s="56">
        <f t="shared" si="3"/>
        <v>40990</v>
      </c>
      <c r="D4102" s="56">
        <v>0.0</v>
      </c>
    </row>
    <row r="4103" ht="15.75" customHeight="1">
      <c r="B4103" s="370">
        <f t="shared" si="2"/>
        <v>0.474537037</v>
      </c>
      <c r="C4103" s="56">
        <f t="shared" si="3"/>
        <v>41000</v>
      </c>
      <c r="D4103" s="56">
        <v>0.0</v>
      </c>
    </row>
    <row r="4104" ht="15.75" customHeight="1">
      <c r="B4104" s="370">
        <f t="shared" si="2"/>
        <v>0.4746527778</v>
      </c>
      <c r="C4104" s="56">
        <f t="shared" si="3"/>
        <v>41010</v>
      </c>
      <c r="D4104" s="56">
        <v>0.0</v>
      </c>
    </row>
    <row r="4105" ht="15.75" customHeight="1">
      <c r="B4105" s="370">
        <f t="shared" si="2"/>
        <v>0.4747685185</v>
      </c>
      <c r="C4105" s="56">
        <f t="shared" si="3"/>
        <v>41020</v>
      </c>
      <c r="D4105" s="56">
        <v>0.0</v>
      </c>
    </row>
    <row r="4106" ht="15.75" customHeight="1">
      <c r="B4106" s="370">
        <f t="shared" si="2"/>
        <v>0.4748842593</v>
      </c>
      <c r="C4106" s="56">
        <f t="shared" si="3"/>
        <v>41030</v>
      </c>
      <c r="D4106" s="56">
        <v>0.0</v>
      </c>
    </row>
    <row r="4107" ht="15.75" customHeight="1">
      <c r="B4107" s="370">
        <f t="shared" si="2"/>
        <v>0.475</v>
      </c>
      <c r="C4107" s="56">
        <f t="shared" si="3"/>
        <v>41040</v>
      </c>
      <c r="D4107" s="56">
        <v>0.0</v>
      </c>
    </row>
    <row r="4108" ht="15.75" customHeight="1">
      <c r="B4108" s="370">
        <f t="shared" si="2"/>
        <v>0.4751157407</v>
      </c>
      <c r="C4108" s="56">
        <f t="shared" si="3"/>
        <v>41050</v>
      </c>
      <c r="D4108" s="56">
        <v>0.0</v>
      </c>
    </row>
    <row r="4109" ht="15.75" customHeight="1">
      <c r="B4109" s="370">
        <f t="shared" si="2"/>
        <v>0.4752314815</v>
      </c>
      <c r="C4109" s="56">
        <f t="shared" si="3"/>
        <v>41060</v>
      </c>
      <c r="D4109" s="56">
        <v>0.0</v>
      </c>
    </row>
    <row r="4110" ht="15.75" customHeight="1">
      <c r="B4110" s="370">
        <f t="shared" si="2"/>
        <v>0.4753472222</v>
      </c>
      <c r="C4110" s="56">
        <f t="shared" si="3"/>
        <v>41070</v>
      </c>
      <c r="D4110" s="56">
        <v>0.0</v>
      </c>
    </row>
    <row r="4111" ht="15.75" customHeight="1">
      <c r="B4111" s="370">
        <f t="shared" si="2"/>
        <v>0.475462963</v>
      </c>
      <c r="C4111" s="56">
        <f t="shared" si="3"/>
        <v>41080</v>
      </c>
      <c r="D4111" s="56">
        <v>0.0</v>
      </c>
    </row>
    <row r="4112" ht="15.75" customHeight="1">
      <c r="B4112" s="370">
        <f t="shared" si="2"/>
        <v>0.4755787037</v>
      </c>
      <c r="C4112" s="56">
        <f t="shared" si="3"/>
        <v>41090</v>
      </c>
      <c r="D4112" s="56">
        <v>0.0</v>
      </c>
    </row>
    <row r="4113" ht="15.75" customHeight="1">
      <c r="B4113" s="370">
        <f t="shared" si="2"/>
        <v>0.4756944444</v>
      </c>
      <c r="C4113" s="56">
        <f t="shared" si="3"/>
        <v>41100</v>
      </c>
      <c r="D4113" s="56">
        <v>0.0</v>
      </c>
    </row>
    <row r="4114" ht="15.75" customHeight="1">
      <c r="B4114" s="370">
        <f t="shared" si="2"/>
        <v>0.4758101852</v>
      </c>
      <c r="C4114" s="56">
        <f t="shared" si="3"/>
        <v>41110</v>
      </c>
      <c r="D4114" s="56">
        <v>0.0</v>
      </c>
    </row>
    <row r="4115" ht="15.75" customHeight="1">
      <c r="B4115" s="370">
        <f t="shared" si="2"/>
        <v>0.4759259259</v>
      </c>
      <c r="C4115" s="56">
        <f t="shared" si="3"/>
        <v>41120</v>
      </c>
      <c r="D4115" s="56">
        <v>0.0</v>
      </c>
    </row>
    <row r="4116" ht="15.75" customHeight="1">
      <c r="B4116" s="370">
        <f t="shared" si="2"/>
        <v>0.4760416667</v>
      </c>
      <c r="C4116" s="56">
        <f t="shared" si="3"/>
        <v>41130</v>
      </c>
      <c r="D4116" s="56">
        <v>0.0</v>
      </c>
    </row>
    <row r="4117" ht="15.75" customHeight="1">
      <c r="B4117" s="370">
        <f t="shared" si="2"/>
        <v>0.4761574074</v>
      </c>
      <c r="C4117" s="56">
        <f t="shared" si="3"/>
        <v>41140</v>
      </c>
      <c r="D4117" s="56">
        <v>0.0</v>
      </c>
    </row>
    <row r="4118" ht="15.75" customHeight="1">
      <c r="B4118" s="370">
        <f t="shared" si="2"/>
        <v>0.4762731481</v>
      </c>
      <c r="C4118" s="56">
        <f t="shared" si="3"/>
        <v>41150</v>
      </c>
      <c r="D4118" s="56">
        <v>0.0</v>
      </c>
    </row>
    <row r="4119" ht="15.75" customHeight="1">
      <c r="B4119" s="370">
        <f t="shared" si="2"/>
        <v>0.4763888889</v>
      </c>
      <c r="C4119" s="56">
        <f t="shared" si="3"/>
        <v>41160</v>
      </c>
      <c r="D4119" s="56">
        <v>0.0</v>
      </c>
    </row>
    <row r="4120" ht="15.75" customHeight="1">
      <c r="B4120" s="370">
        <f t="shared" si="2"/>
        <v>0.4765046296</v>
      </c>
      <c r="C4120" s="56">
        <f t="shared" si="3"/>
        <v>41170</v>
      </c>
      <c r="D4120" s="56">
        <v>0.0</v>
      </c>
    </row>
    <row r="4121" ht="15.75" customHeight="1">
      <c r="B4121" s="370">
        <f t="shared" si="2"/>
        <v>0.4766203704</v>
      </c>
      <c r="C4121" s="56">
        <f t="shared" si="3"/>
        <v>41180</v>
      </c>
      <c r="D4121" s="56">
        <v>0.0</v>
      </c>
    </row>
    <row r="4122" ht="15.75" customHeight="1">
      <c r="B4122" s="370">
        <f t="shared" si="2"/>
        <v>0.4767361111</v>
      </c>
      <c r="C4122" s="56">
        <f t="shared" si="3"/>
        <v>41190</v>
      </c>
      <c r="D4122" s="56">
        <v>0.0</v>
      </c>
    </row>
    <row r="4123" ht="15.75" customHeight="1">
      <c r="B4123" s="370">
        <f t="shared" si="2"/>
        <v>0.4768518519</v>
      </c>
      <c r="C4123" s="56">
        <f t="shared" si="3"/>
        <v>41200</v>
      </c>
      <c r="D4123" s="56">
        <v>0.0</v>
      </c>
    </row>
    <row r="4124" ht="15.75" customHeight="1">
      <c r="B4124" s="370">
        <f t="shared" si="2"/>
        <v>0.4769675926</v>
      </c>
      <c r="C4124" s="56">
        <f t="shared" si="3"/>
        <v>41210</v>
      </c>
      <c r="D4124" s="56">
        <v>0.0</v>
      </c>
    </row>
    <row r="4125" ht="15.75" customHeight="1">
      <c r="B4125" s="370">
        <f t="shared" si="2"/>
        <v>0.4770833333</v>
      </c>
      <c r="C4125" s="56">
        <f t="shared" si="3"/>
        <v>41220</v>
      </c>
      <c r="D4125" s="56">
        <v>0.0</v>
      </c>
    </row>
    <row r="4126" ht="15.75" customHeight="1">
      <c r="B4126" s="370">
        <f t="shared" si="2"/>
        <v>0.4771990741</v>
      </c>
      <c r="C4126" s="56">
        <f t="shared" si="3"/>
        <v>41230</v>
      </c>
      <c r="D4126" s="56">
        <v>0.0</v>
      </c>
    </row>
    <row r="4127" ht="15.75" customHeight="1">
      <c r="B4127" s="370">
        <f t="shared" si="2"/>
        <v>0.4773148148</v>
      </c>
      <c r="C4127" s="56">
        <f t="shared" si="3"/>
        <v>41240</v>
      </c>
      <c r="D4127" s="56">
        <v>0.0</v>
      </c>
    </row>
    <row r="4128" ht="15.75" customHeight="1">
      <c r="B4128" s="370">
        <f t="shared" si="2"/>
        <v>0.4774305556</v>
      </c>
      <c r="C4128" s="56">
        <f t="shared" si="3"/>
        <v>41250</v>
      </c>
      <c r="D4128" s="56">
        <v>0.0</v>
      </c>
    </row>
    <row r="4129" ht="15.75" customHeight="1">
      <c r="B4129" s="370">
        <f t="shared" si="2"/>
        <v>0.4775462963</v>
      </c>
      <c r="C4129" s="56">
        <f t="shared" si="3"/>
        <v>41260</v>
      </c>
      <c r="D4129" s="56">
        <v>0.0</v>
      </c>
    </row>
    <row r="4130" ht="15.75" customHeight="1">
      <c r="B4130" s="370">
        <f t="shared" si="2"/>
        <v>0.477662037</v>
      </c>
      <c r="C4130" s="56">
        <f t="shared" si="3"/>
        <v>41270</v>
      </c>
      <c r="D4130" s="56">
        <v>0.0</v>
      </c>
    </row>
    <row r="4131" ht="15.75" customHeight="1">
      <c r="B4131" s="370">
        <f t="shared" si="2"/>
        <v>0.4777777778</v>
      </c>
      <c r="C4131" s="56">
        <f t="shared" si="3"/>
        <v>41280</v>
      </c>
      <c r="D4131" s="56">
        <v>0.0</v>
      </c>
    </row>
    <row r="4132" ht="15.75" customHeight="1">
      <c r="B4132" s="370">
        <f t="shared" si="2"/>
        <v>0.4778935185</v>
      </c>
      <c r="C4132" s="56">
        <f t="shared" si="3"/>
        <v>41290</v>
      </c>
      <c r="D4132" s="56">
        <v>0.0</v>
      </c>
    </row>
    <row r="4133" ht="15.75" customHeight="1">
      <c r="B4133" s="370">
        <f t="shared" si="2"/>
        <v>0.4780092593</v>
      </c>
      <c r="C4133" s="56">
        <f t="shared" si="3"/>
        <v>41300</v>
      </c>
      <c r="D4133" s="56">
        <v>0.0</v>
      </c>
    </row>
    <row r="4134" ht="15.75" customHeight="1">
      <c r="B4134" s="370">
        <f t="shared" si="2"/>
        <v>0.478125</v>
      </c>
      <c r="C4134" s="56">
        <f t="shared" si="3"/>
        <v>41310</v>
      </c>
      <c r="D4134" s="56">
        <v>0.0</v>
      </c>
    </row>
    <row r="4135" ht="15.75" customHeight="1">
      <c r="B4135" s="370">
        <f t="shared" si="2"/>
        <v>0.4782407407</v>
      </c>
      <c r="C4135" s="56">
        <f t="shared" si="3"/>
        <v>41320</v>
      </c>
      <c r="D4135" s="56">
        <v>0.0</v>
      </c>
    </row>
    <row r="4136" ht="15.75" customHeight="1">
      <c r="B4136" s="370">
        <f t="shared" si="2"/>
        <v>0.4783564815</v>
      </c>
      <c r="C4136" s="56">
        <f t="shared" si="3"/>
        <v>41330</v>
      </c>
      <c r="D4136" s="56">
        <v>0.0</v>
      </c>
    </row>
    <row r="4137" ht="15.75" customHeight="1">
      <c r="B4137" s="370">
        <f t="shared" si="2"/>
        <v>0.4784722222</v>
      </c>
      <c r="C4137" s="56">
        <f t="shared" si="3"/>
        <v>41340</v>
      </c>
      <c r="D4137" s="56">
        <v>0.0</v>
      </c>
    </row>
    <row r="4138" ht="15.75" customHeight="1">
      <c r="B4138" s="370">
        <f t="shared" si="2"/>
        <v>0.478587963</v>
      </c>
      <c r="C4138" s="56">
        <f t="shared" si="3"/>
        <v>41350</v>
      </c>
      <c r="D4138" s="56">
        <v>0.0</v>
      </c>
    </row>
    <row r="4139" ht="15.75" customHeight="1">
      <c r="B4139" s="370">
        <f t="shared" si="2"/>
        <v>0.4787037037</v>
      </c>
      <c r="C4139" s="56">
        <f t="shared" si="3"/>
        <v>41360</v>
      </c>
      <c r="D4139" s="56">
        <v>0.0</v>
      </c>
    </row>
    <row r="4140" ht="15.75" customHeight="1">
      <c r="B4140" s="370">
        <f t="shared" si="2"/>
        <v>0.4788194444</v>
      </c>
      <c r="C4140" s="56">
        <f t="shared" si="3"/>
        <v>41370</v>
      </c>
      <c r="D4140" s="56">
        <v>0.0</v>
      </c>
    </row>
    <row r="4141" ht="15.75" customHeight="1">
      <c r="B4141" s="370">
        <f t="shared" si="2"/>
        <v>0.4789351852</v>
      </c>
      <c r="C4141" s="56">
        <f t="shared" si="3"/>
        <v>41380</v>
      </c>
      <c r="D4141" s="56">
        <v>0.0</v>
      </c>
    </row>
    <row r="4142" ht="15.75" customHeight="1">
      <c r="B4142" s="370">
        <f t="shared" si="2"/>
        <v>0.4790509259</v>
      </c>
      <c r="C4142" s="56">
        <f t="shared" si="3"/>
        <v>41390</v>
      </c>
      <c r="D4142" s="56">
        <v>0.0</v>
      </c>
    </row>
    <row r="4143" ht="15.75" customHeight="1">
      <c r="B4143" s="370">
        <f t="shared" si="2"/>
        <v>0.4791666667</v>
      </c>
      <c r="C4143" s="56">
        <f t="shared" si="3"/>
        <v>41400</v>
      </c>
      <c r="D4143" s="56">
        <v>0.0</v>
      </c>
    </row>
    <row r="4144" ht="15.75" customHeight="1">
      <c r="B4144" s="370">
        <f t="shared" si="2"/>
        <v>0.4792824074</v>
      </c>
      <c r="C4144" s="56">
        <f t="shared" si="3"/>
        <v>41410</v>
      </c>
      <c r="D4144" s="56">
        <v>0.0</v>
      </c>
    </row>
    <row r="4145" ht="15.75" customHeight="1">
      <c r="B4145" s="370">
        <f t="shared" si="2"/>
        <v>0.4793981481</v>
      </c>
      <c r="C4145" s="56">
        <f t="shared" si="3"/>
        <v>41420</v>
      </c>
      <c r="D4145" s="56">
        <v>0.0</v>
      </c>
    </row>
    <row r="4146" ht="15.75" customHeight="1">
      <c r="B4146" s="370">
        <f t="shared" si="2"/>
        <v>0.4795138889</v>
      </c>
      <c r="C4146" s="56">
        <f t="shared" si="3"/>
        <v>41430</v>
      </c>
      <c r="D4146" s="56">
        <v>0.0</v>
      </c>
    </row>
    <row r="4147" ht="15.75" customHeight="1">
      <c r="B4147" s="370">
        <f t="shared" si="2"/>
        <v>0.4796296296</v>
      </c>
      <c r="C4147" s="56">
        <f t="shared" si="3"/>
        <v>41440</v>
      </c>
      <c r="D4147" s="56">
        <v>0.0</v>
      </c>
    </row>
    <row r="4148" ht="15.75" customHeight="1">
      <c r="B4148" s="370">
        <f t="shared" si="2"/>
        <v>0.4797453704</v>
      </c>
      <c r="C4148" s="56">
        <f t="shared" si="3"/>
        <v>41450</v>
      </c>
      <c r="D4148" s="56">
        <v>0.0</v>
      </c>
    </row>
    <row r="4149" ht="15.75" customHeight="1">
      <c r="B4149" s="370">
        <f t="shared" si="2"/>
        <v>0.4798611111</v>
      </c>
      <c r="C4149" s="56">
        <f t="shared" si="3"/>
        <v>41460</v>
      </c>
      <c r="D4149" s="56">
        <v>0.0</v>
      </c>
    </row>
    <row r="4150" ht="15.75" customHeight="1">
      <c r="B4150" s="370">
        <f t="shared" si="2"/>
        <v>0.4799768519</v>
      </c>
      <c r="C4150" s="56">
        <f t="shared" si="3"/>
        <v>41470</v>
      </c>
      <c r="D4150" s="56">
        <v>0.0</v>
      </c>
    </row>
    <row r="4151" ht="15.75" customHeight="1">
      <c r="B4151" s="370">
        <f t="shared" si="2"/>
        <v>0.4800925926</v>
      </c>
      <c r="C4151" s="56">
        <f t="shared" si="3"/>
        <v>41480</v>
      </c>
      <c r="D4151" s="56">
        <v>0.0</v>
      </c>
    </row>
    <row r="4152" ht="15.75" customHeight="1">
      <c r="B4152" s="370">
        <f t="shared" si="2"/>
        <v>0.4802083333</v>
      </c>
      <c r="C4152" s="56">
        <f t="shared" si="3"/>
        <v>41490</v>
      </c>
      <c r="D4152" s="56">
        <v>0.0</v>
      </c>
    </row>
    <row r="4153" ht="15.75" customHeight="1">
      <c r="B4153" s="370">
        <f t="shared" si="2"/>
        <v>0.4803240741</v>
      </c>
      <c r="C4153" s="56">
        <f t="shared" si="3"/>
        <v>41500</v>
      </c>
      <c r="D4153" s="56">
        <v>0.0</v>
      </c>
    </row>
    <row r="4154" ht="15.75" customHeight="1">
      <c r="B4154" s="370">
        <f t="shared" si="2"/>
        <v>0.4804398148</v>
      </c>
      <c r="C4154" s="56">
        <f t="shared" si="3"/>
        <v>41510</v>
      </c>
      <c r="D4154" s="56">
        <v>0.0</v>
      </c>
    </row>
    <row r="4155" ht="15.75" customHeight="1">
      <c r="B4155" s="370">
        <f t="shared" si="2"/>
        <v>0.4805555556</v>
      </c>
      <c r="C4155" s="56">
        <f t="shared" si="3"/>
        <v>41520</v>
      </c>
      <c r="D4155" s="56">
        <v>0.0</v>
      </c>
    </row>
    <row r="4156" ht="15.75" customHeight="1">
      <c r="B4156" s="370">
        <f t="shared" si="2"/>
        <v>0.4806712963</v>
      </c>
      <c r="C4156" s="56">
        <f t="shared" si="3"/>
        <v>41530</v>
      </c>
      <c r="D4156" s="56">
        <v>0.0</v>
      </c>
    </row>
    <row r="4157" ht="15.75" customHeight="1">
      <c r="B4157" s="370">
        <f t="shared" si="2"/>
        <v>0.480787037</v>
      </c>
      <c r="C4157" s="56">
        <f t="shared" si="3"/>
        <v>41540</v>
      </c>
      <c r="D4157" s="56">
        <v>0.0</v>
      </c>
    </row>
    <row r="4158" ht="15.75" customHeight="1">
      <c r="B4158" s="370">
        <f t="shared" si="2"/>
        <v>0.4809027778</v>
      </c>
      <c r="C4158" s="56">
        <f t="shared" si="3"/>
        <v>41550</v>
      </c>
      <c r="D4158" s="56">
        <v>0.0</v>
      </c>
    </row>
    <row r="4159" ht="15.75" customHeight="1">
      <c r="B4159" s="370">
        <f t="shared" si="2"/>
        <v>0.4810185185</v>
      </c>
      <c r="C4159" s="56">
        <f t="shared" si="3"/>
        <v>41560</v>
      </c>
      <c r="D4159" s="56">
        <v>0.0</v>
      </c>
    </row>
    <row r="4160" ht="15.75" customHeight="1">
      <c r="B4160" s="370">
        <f t="shared" si="2"/>
        <v>0.4811342593</v>
      </c>
      <c r="C4160" s="56">
        <f t="shared" si="3"/>
        <v>41570</v>
      </c>
      <c r="D4160" s="56">
        <v>0.0</v>
      </c>
    </row>
    <row r="4161" ht="15.75" customHeight="1">
      <c r="B4161" s="370">
        <f t="shared" si="2"/>
        <v>0.48125</v>
      </c>
      <c r="C4161" s="56">
        <f t="shared" si="3"/>
        <v>41580</v>
      </c>
      <c r="D4161" s="56">
        <v>0.0</v>
      </c>
    </row>
    <row r="4162" ht="15.75" customHeight="1">
      <c r="B4162" s="370">
        <f t="shared" si="2"/>
        <v>0.4813657407</v>
      </c>
      <c r="C4162" s="56">
        <f t="shared" si="3"/>
        <v>41590</v>
      </c>
      <c r="D4162" s="56">
        <v>0.0</v>
      </c>
    </row>
    <row r="4163" ht="15.75" customHeight="1">
      <c r="B4163" s="370">
        <f t="shared" si="2"/>
        <v>0.4814814815</v>
      </c>
      <c r="C4163" s="56">
        <f t="shared" si="3"/>
        <v>41600</v>
      </c>
      <c r="D4163" s="56">
        <v>0.0</v>
      </c>
    </row>
    <row r="4164" ht="15.75" customHeight="1">
      <c r="B4164" s="370">
        <f t="shared" si="2"/>
        <v>0.4815972222</v>
      </c>
      <c r="C4164" s="56">
        <f t="shared" si="3"/>
        <v>41610</v>
      </c>
      <c r="D4164" s="56">
        <v>0.0</v>
      </c>
    </row>
    <row r="4165" ht="15.75" customHeight="1">
      <c r="B4165" s="370">
        <f t="shared" si="2"/>
        <v>0.481712963</v>
      </c>
      <c r="C4165" s="56">
        <f t="shared" si="3"/>
        <v>41620</v>
      </c>
      <c r="D4165" s="56">
        <v>0.0</v>
      </c>
    </row>
    <row r="4166" ht="15.75" customHeight="1">
      <c r="B4166" s="370">
        <f t="shared" si="2"/>
        <v>0.4818287037</v>
      </c>
      <c r="C4166" s="56">
        <f t="shared" si="3"/>
        <v>41630</v>
      </c>
      <c r="D4166" s="56">
        <v>0.0</v>
      </c>
    </row>
    <row r="4167" ht="15.75" customHeight="1">
      <c r="B4167" s="370">
        <f t="shared" si="2"/>
        <v>0.4819444444</v>
      </c>
      <c r="C4167" s="56">
        <f t="shared" si="3"/>
        <v>41640</v>
      </c>
      <c r="D4167" s="56">
        <v>0.0</v>
      </c>
    </row>
    <row r="4168" ht="15.75" customHeight="1">
      <c r="B4168" s="370">
        <f t="shared" si="2"/>
        <v>0.4820601852</v>
      </c>
      <c r="C4168" s="56">
        <f t="shared" si="3"/>
        <v>41650</v>
      </c>
      <c r="D4168" s="56">
        <v>0.0</v>
      </c>
    </row>
    <row r="4169" ht="15.75" customHeight="1">
      <c r="B4169" s="370">
        <f t="shared" si="2"/>
        <v>0.4821759259</v>
      </c>
      <c r="C4169" s="56">
        <f t="shared" si="3"/>
        <v>41660</v>
      </c>
      <c r="D4169" s="56">
        <v>0.0</v>
      </c>
    </row>
    <row r="4170" ht="15.75" customHeight="1">
      <c r="B4170" s="370">
        <f t="shared" si="2"/>
        <v>0.4822916667</v>
      </c>
      <c r="C4170" s="56">
        <f t="shared" si="3"/>
        <v>41670</v>
      </c>
      <c r="D4170" s="56">
        <v>0.0</v>
      </c>
    </row>
    <row r="4171" ht="15.75" customHeight="1">
      <c r="B4171" s="370">
        <f t="shared" si="2"/>
        <v>0.4824074074</v>
      </c>
      <c r="C4171" s="56">
        <f t="shared" si="3"/>
        <v>41680</v>
      </c>
      <c r="D4171" s="56">
        <v>0.0</v>
      </c>
    </row>
    <row r="4172" ht="15.75" customHeight="1">
      <c r="B4172" s="370">
        <f t="shared" si="2"/>
        <v>0.4825231481</v>
      </c>
      <c r="C4172" s="56">
        <f t="shared" si="3"/>
        <v>41690</v>
      </c>
      <c r="D4172" s="56">
        <v>0.0</v>
      </c>
    </row>
    <row r="4173" ht="15.75" customHeight="1">
      <c r="B4173" s="370">
        <f t="shared" si="2"/>
        <v>0.4826388889</v>
      </c>
      <c r="C4173" s="56">
        <f t="shared" si="3"/>
        <v>41700</v>
      </c>
      <c r="D4173" s="56">
        <v>0.0</v>
      </c>
    </row>
    <row r="4174" ht="15.75" customHeight="1">
      <c r="B4174" s="370">
        <f t="shared" si="2"/>
        <v>0.4827546296</v>
      </c>
      <c r="C4174" s="56">
        <f t="shared" si="3"/>
        <v>41710</v>
      </c>
      <c r="D4174" s="56">
        <v>0.0</v>
      </c>
    </row>
    <row r="4175" ht="15.75" customHeight="1">
      <c r="B4175" s="370">
        <f t="shared" si="2"/>
        <v>0.4828703704</v>
      </c>
      <c r="C4175" s="56">
        <f t="shared" si="3"/>
        <v>41720</v>
      </c>
      <c r="D4175" s="56">
        <v>0.0</v>
      </c>
    </row>
    <row r="4176" ht="15.75" customHeight="1">
      <c r="B4176" s="370">
        <f t="shared" si="2"/>
        <v>0.4829861111</v>
      </c>
      <c r="C4176" s="56">
        <f t="shared" si="3"/>
        <v>41730</v>
      </c>
      <c r="D4176" s="56">
        <v>0.0</v>
      </c>
    </row>
    <row r="4177" ht="15.75" customHeight="1">
      <c r="B4177" s="370">
        <f t="shared" si="2"/>
        <v>0.4831018519</v>
      </c>
      <c r="C4177" s="56">
        <f t="shared" si="3"/>
        <v>41740</v>
      </c>
      <c r="D4177" s="56">
        <v>0.0</v>
      </c>
    </row>
    <row r="4178" ht="15.75" customHeight="1">
      <c r="B4178" s="370">
        <f t="shared" si="2"/>
        <v>0.4832175926</v>
      </c>
      <c r="C4178" s="56">
        <f t="shared" si="3"/>
        <v>41750</v>
      </c>
      <c r="D4178" s="56">
        <v>0.0</v>
      </c>
    </row>
    <row r="4179" ht="15.75" customHeight="1">
      <c r="B4179" s="370">
        <f t="shared" si="2"/>
        <v>0.4833333333</v>
      </c>
      <c r="C4179" s="56">
        <f t="shared" si="3"/>
        <v>41760</v>
      </c>
      <c r="D4179" s="56">
        <v>0.0</v>
      </c>
    </row>
    <row r="4180" ht="15.75" customHeight="1">
      <c r="B4180" s="370">
        <f t="shared" si="2"/>
        <v>0.4834490741</v>
      </c>
      <c r="C4180" s="56">
        <f t="shared" si="3"/>
        <v>41770</v>
      </c>
      <c r="D4180" s="56">
        <v>0.0</v>
      </c>
    </row>
    <row r="4181" ht="15.75" customHeight="1">
      <c r="B4181" s="370">
        <f t="shared" si="2"/>
        <v>0.4835648148</v>
      </c>
      <c r="C4181" s="56">
        <f t="shared" si="3"/>
        <v>41780</v>
      </c>
      <c r="D4181" s="56">
        <v>0.0</v>
      </c>
    </row>
    <row r="4182" ht="15.75" customHeight="1">
      <c r="B4182" s="370">
        <f t="shared" si="2"/>
        <v>0.4836805556</v>
      </c>
      <c r="C4182" s="56">
        <f t="shared" si="3"/>
        <v>41790</v>
      </c>
      <c r="D4182" s="56">
        <v>0.0</v>
      </c>
    </row>
    <row r="4183" ht="15.75" customHeight="1">
      <c r="B4183" s="370">
        <f t="shared" si="2"/>
        <v>0.4837962963</v>
      </c>
      <c r="C4183" s="56">
        <f t="shared" si="3"/>
        <v>41800</v>
      </c>
      <c r="D4183" s="56">
        <v>0.0</v>
      </c>
    </row>
    <row r="4184" ht="15.75" customHeight="1">
      <c r="B4184" s="370">
        <f t="shared" si="2"/>
        <v>0.483912037</v>
      </c>
      <c r="C4184" s="56">
        <f t="shared" si="3"/>
        <v>41810</v>
      </c>
      <c r="D4184" s="56">
        <v>0.0</v>
      </c>
    </row>
    <row r="4185" ht="15.75" customHeight="1">
      <c r="B4185" s="370">
        <f t="shared" si="2"/>
        <v>0.4840277778</v>
      </c>
      <c r="C4185" s="56">
        <f t="shared" si="3"/>
        <v>41820</v>
      </c>
      <c r="D4185" s="56">
        <v>0.0</v>
      </c>
    </row>
    <row r="4186" ht="15.75" customHeight="1">
      <c r="B4186" s="370">
        <f t="shared" si="2"/>
        <v>0.4841435185</v>
      </c>
      <c r="C4186" s="56">
        <f t="shared" si="3"/>
        <v>41830</v>
      </c>
      <c r="D4186" s="56">
        <v>0.0</v>
      </c>
    </row>
    <row r="4187" ht="15.75" customHeight="1">
      <c r="B4187" s="370">
        <f t="shared" si="2"/>
        <v>0.4842592593</v>
      </c>
      <c r="C4187" s="56">
        <f t="shared" si="3"/>
        <v>41840</v>
      </c>
      <c r="D4187" s="56">
        <v>0.0</v>
      </c>
    </row>
    <row r="4188" ht="15.75" customHeight="1">
      <c r="B4188" s="370">
        <f t="shared" si="2"/>
        <v>0.484375</v>
      </c>
      <c r="C4188" s="56">
        <f t="shared" si="3"/>
        <v>41850</v>
      </c>
      <c r="D4188" s="56">
        <v>0.0</v>
      </c>
    </row>
    <row r="4189" ht="15.75" customHeight="1">
      <c r="B4189" s="370">
        <f t="shared" si="2"/>
        <v>0.4844907407</v>
      </c>
      <c r="C4189" s="56">
        <f t="shared" si="3"/>
        <v>41860</v>
      </c>
      <c r="D4189" s="56">
        <v>0.0</v>
      </c>
    </row>
    <row r="4190" ht="15.75" customHeight="1">
      <c r="B4190" s="370">
        <f t="shared" si="2"/>
        <v>0.4846064815</v>
      </c>
      <c r="C4190" s="56">
        <f t="shared" si="3"/>
        <v>41870</v>
      </c>
      <c r="D4190" s="56">
        <v>0.0</v>
      </c>
    </row>
    <row r="4191" ht="15.75" customHeight="1">
      <c r="B4191" s="370">
        <f t="shared" si="2"/>
        <v>0.4847222222</v>
      </c>
      <c r="C4191" s="56">
        <f t="shared" si="3"/>
        <v>41880</v>
      </c>
      <c r="D4191" s="56">
        <v>0.0</v>
      </c>
    </row>
    <row r="4192" ht="15.75" customHeight="1">
      <c r="B4192" s="370">
        <f t="shared" si="2"/>
        <v>0.484837963</v>
      </c>
      <c r="C4192" s="56">
        <f t="shared" si="3"/>
        <v>41890</v>
      </c>
      <c r="D4192" s="56">
        <v>0.0</v>
      </c>
    </row>
    <row r="4193" ht="15.75" customHeight="1">
      <c r="B4193" s="370">
        <f t="shared" si="2"/>
        <v>0.4849537037</v>
      </c>
      <c r="C4193" s="56">
        <f t="shared" si="3"/>
        <v>41900</v>
      </c>
      <c r="D4193" s="56">
        <v>0.0</v>
      </c>
    </row>
    <row r="4194" ht="15.75" customHeight="1">
      <c r="B4194" s="370">
        <f t="shared" si="2"/>
        <v>0.4850694444</v>
      </c>
      <c r="C4194" s="56">
        <f t="shared" si="3"/>
        <v>41910</v>
      </c>
      <c r="D4194" s="56">
        <v>0.0</v>
      </c>
    </row>
    <row r="4195" ht="15.75" customHeight="1">
      <c r="B4195" s="370">
        <f t="shared" si="2"/>
        <v>0.4851851852</v>
      </c>
      <c r="C4195" s="56">
        <f t="shared" si="3"/>
        <v>41920</v>
      </c>
      <c r="D4195" s="56">
        <v>0.0</v>
      </c>
    </row>
    <row r="4196" ht="15.75" customHeight="1">
      <c r="B4196" s="370">
        <f t="shared" si="2"/>
        <v>0.4853009259</v>
      </c>
      <c r="C4196" s="56">
        <f t="shared" si="3"/>
        <v>41930</v>
      </c>
      <c r="D4196" s="56">
        <v>0.0</v>
      </c>
    </row>
    <row r="4197" ht="15.75" customHeight="1">
      <c r="B4197" s="370">
        <f t="shared" si="2"/>
        <v>0.4854166667</v>
      </c>
      <c r="C4197" s="56">
        <f t="shared" si="3"/>
        <v>41940</v>
      </c>
      <c r="D4197" s="56">
        <v>0.0</v>
      </c>
    </row>
    <row r="4198" ht="15.75" customHeight="1">
      <c r="B4198" s="370">
        <f t="shared" si="2"/>
        <v>0.4855324074</v>
      </c>
      <c r="C4198" s="56">
        <f t="shared" si="3"/>
        <v>41950</v>
      </c>
      <c r="D4198" s="56">
        <v>0.0</v>
      </c>
    </row>
    <row r="4199" ht="15.75" customHeight="1">
      <c r="B4199" s="370">
        <f t="shared" si="2"/>
        <v>0.4856481481</v>
      </c>
      <c r="C4199" s="56">
        <f t="shared" si="3"/>
        <v>41960</v>
      </c>
      <c r="D4199" s="56">
        <v>0.0</v>
      </c>
    </row>
    <row r="4200" ht="15.75" customHeight="1">
      <c r="B4200" s="370">
        <f t="shared" si="2"/>
        <v>0.4857638889</v>
      </c>
      <c r="C4200" s="56">
        <f t="shared" si="3"/>
        <v>41970</v>
      </c>
      <c r="D4200" s="56">
        <v>0.0</v>
      </c>
    </row>
    <row r="4201" ht="15.75" customHeight="1">
      <c r="B4201" s="370">
        <f t="shared" si="2"/>
        <v>0.4858796296</v>
      </c>
      <c r="C4201" s="56">
        <f t="shared" si="3"/>
        <v>41980</v>
      </c>
      <c r="D4201" s="56">
        <v>0.0</v>
      </c>
    </row>
    <row r="4202" ht="15.75" customHeight="1">
      <c r="B4202" s="370">
        <f t="shared" si="2"/>
        <v>0.4859953704</v>
      </c>
      <c r="C4202" s="56">
        <f t="shared" si="3"/>
        <v>41990</v>
      </c>
      <c r="D4202" s="56">
        <v>0.0</v>
      </c>
    </row>
    <row r="4203" ht="15.75" customHeight="1">
      <c r="B4203" s="370">
        <f t="shared" si="2"/>
        <v>0.4861111111</v>
      </c>
      <c r="C4203" s="56">
        <f t="shared" si="3"/>
        <v>42000</v>
      </c>
      <c r="D4203" s="56">
        <v>0.0</v>
      </c>
    </row>
    <row r="4204" ht="15.75" customHeight="1">
      <c r="B4204" s="370">
        <f t="shared" si="2"/>
        <v>0.4862268519</v>
      </c>
      <c r="C4204" s="56">
        <f t="shared" si="3"/>
        <v>42010</v>
      </c>
      <c r="D4204" s="56">
        <v>0.0</v>
      </c>
    </row>
    <row r="4205" ht="15.75" customHeight="1">
      <c r="B4205" s="370">
        <f t="shared" si="2"/>
        <v>0.4863425926</v>
      </c>
      <c r="C4205" s="56">
        <f t="shared" si="3"/>
        <v>42020</v>
      </c>
      <c r="D4205" s="56">
        <v>0.0</v>
      </c>
    </row>
    <row r="4206" ht="15.75" customHeight="1">
      <c r="B4206" s="370">
        <f t="shared" si="2"/>
        <v>0.4864583333</v>
      </c>
      <c r="C4206" s="56">
        <f t="shared" si="3"/>
        <v>42030</v>
      </c>
      <c r="D4206" s="56">
        <v>0.0</v>
      </c>
    </row>
    <row r="4207" ht="15.75" customHeight="1">
      <c r="B4207" s="370">
        <f t="shared" si="2"/>
        <v>0.4865740741</v>
      </c>
      <c r="C4207" s="56">
        <f t="shared" si="3"/>
        <v>42040</v>
      </c>
      <c r="D4207" s="56">
        <v>0.0</v>
      </c>
    </row>
    <row r="4208" ht="15.75" customHeight="1">
      <c r="B4208" s="370">
        <f t="shared" si="2"/>
        <v>0.4866898148</v>
      </c>
      <c r="C4208" s="56">
        <f t="shared" si="3"/>
        <v>42050</v>
      </c>
      <c r="D4208" s="56">
        <v>0.0</v>
      </c>
    </row>
    <row r="4209" ht="15.75" customHeight="1">
      <c r="B4209" s="370">
        <f t="shared" si="2"/>
        <v>0.4868055556</v>
      </c>
      <c r="C4209" s="56">
        <f t="shared" si="3"/>
        <v>42060</v>
      </c>
      <c r="D4209" s="56">
        <v>0.0</v>
      </c>
    </row>
    <row r="4210" ht="15.75" customHeight="1">
      <c r="B4210" s="370">
        <f t="shared" si="2"/>
        <v>0.4869212963</v>
      </c>
      <c r="C4210" s="56">
        <f t="shared" si="3"/>
        <v>42070</v>
      </c>
      <c r="D4210" s="56">
        <v>0.0</v>
      </c>
    </row>
    <row r="4211" ht="15.75" customHeight="1">
      <c r="B4211" s="370">
        <f t="shared" si="2"/>
        <v>0.487037037</v>
      </c>
      <c r="C4211" s="56">
        <f t="shared" si="3"/>
        <v>42080</v>
      </c>
      <c r="D4211" s="56">
        <v>0.0</v>
      </c>
    </row>
    <row r="4212" ht="15.75" customHeight="1">
      <c r="B4212" s="370">
        <f t="shared" si="2"/>
        <v>0.4871527778</v>
      </c>
      <c r="C4212" s="56">
        <f t="shared" si="3"/>
        <v>42090</v>
      </c>
      <c r="D4212" s="56">
        <v>0.0</v>
      </c>
    </row>
    <row r="4213" ht="15.75" customHeight="1">
      <c r="B4213" s="370">
        <f t="shared" si="2"/>
        <v>0.4872685185</v>
      </c>
      <c r="C4213" s="56">
        <f t="shared" si="3"/>
        <v>42100</v>
      </c>
      <c r="D4213" s="56">
        <v>0.0</v>
      </c>
    </row>
    <row r="4214" ht="15.75" customHeight="1">
      <c r="B4214" s="370">
        <f t="shared" si="2"/>
        <v>0.4873842593</v>
      </c>
      <c r="C4214" s="56">
        <f t="shared" si="3"/>
        <v>42110</v>
      </c>
      <c r="D4214" s="56">
        <v>0.0</v>
      </c>
    </row>
    <row r="4215" ht="15.75" customHeight="1">
      <c r="B4215" s="370">
        <f t="shared" si="2"/>
        <v>0.4875</v>
      </c>
      <c r="C4215" s="56">
        <f t="shared" si="3"/>
        <v>42120</v>
      </c>
      <c r="D4215" s="56">
        <v>0.0</v>
      </c>
    </row>
    <row r="4216" ht="15.75" customHeight="1">
      <c r="B4216" s="370">
        <f t="shared" si="2"/>
        <v>0.4876157407</v>
      </c>
      <c r="C4216" s="56">
        <f t="shared" si="3"/>
        <v>42130</v>
      </c>
      <c r="D4216" s="56">
        <v>0.0</v>
      </c>
    </row>
    <row r="4217" ht="15.75" customHeight="1">
      <c r="B4217" s="370">
        <f t="shared" si="2"/>
        <v>0.4877314815</v>
      </c>
      <c r="C4217" s="56">
        <f t="shared" si="3"/>
        <v>42140</v>
      </c>
      <c r="D4217" s="56">
        <v>0.0</v>
      </c>
    </row>
    <row r="4218" ht="15.75" customHeight="1">
      <c r="B4218" s="370">
        <f t="shared" si="2"/>
        <v>0.4878472222</v>
      </c>
      <c r="C4218" s="56">
        <f t="shared" si="3"/>
        <v>42150</v>
      </c>
      <c r="D4218" s="56">
        <v>0.0</v>
      </c>
    </row>
    <row r="4219" ht="15.75" customHeight="1">
      <c r="B4219" s="370">
        <f t="shared" si="2"/>
        <v>0.487962963</v>
      </c>
      <c r="C4219" s="56">
        <f t="shared" si="3"/>
        <v>42160</v>
      </c>
      <c r="D4219" s="56">
        <v>0.0</v>
      </c>
    </row>
    <row r="4220" ht="15.75" customHeight="1">
      <c r="B4220" s="370">
        <f t="shared" si="2"/>
        <v>0.4880787037</v>
      </c>
      <c r="C4220" s="56">
        <f t="shared" si="3"/>
        <v>42170</v>
      </c>
      <c r="D4220" s="56">
        <v>0.0</v>
      </c>
    </row>
    <row r="4221" ht="15.75" customHeight="1">
      <c r="B4221" s="370">
        <f t="shared" si="2"/>
        <v>0.4881944444</v>
      </c>
      <c r="C4221" s="56">
        <f t="shared" si="3"/>
        <v>42180</v>
      </c>
      <c r="D4221" s="56">
        <v>0.0</v>
      </c>
    </row>
    <row r="4222" ht="15.75" customHeight="1">
      <c r="B4222" s="370">
        <f t="shared" si="2"/>
        <v>0.4883101852</v>
      </c>
      <c r="C4222" s="56">
        <f t="shared" si="3"/>
        <v>42190</v>
      </c>
      <c r="D4222" s="56">
        <v>0.0</v>
      </c>
    </row>
    <row r="4223" ht="15.75" customHeight="1">
      <c r="B4223" s="370">
        <f t="shared" si="2"/>
        <v>0.4884259259</v>
      </c>
      <c r="C4223" s="56">
        <f t="shared" si="3"/>
        <v>42200</v>
      </c>
      <c r="D4223" s="56">
        <v>0.0</v>
      </c>
    </row>
    <row r="4224" ht="15.75" customHeight="1">
      <c r="B4224" s="370">
        <f t="shared" si="2"/>
        <v>0.4885416667</v>
      </c>
      <c r="C4224" s="56">
        <f t="shared" si="3"/>
        <v>42210</v>
      </c>
      <c r="D4224" s="56">
        <v>0.0</v>
      </c>
    </row>
    <row r="4225" ht="15.75" customHeight="1">
      <c r="B4225" s="370">
        <f t="shared" si="2"/>
        <v>0.4886574074</v>
      </c>
      <c r="C4225" s="56">
        <f t="shared" si="3"/>
        <v>42220</v>
      </c>
      <c r="D4225" s="56">
        <v>0.0</v>
      </c>
    </row>
    <row r="4226" ht="15.75" customHeight="1">
      <c r="B4226" s="370">
        <f t="shared" si="2"/>
        <v>0.4887731481</v>
      </c>
      <c r="C4226" s="56">
        <f t="shared" si="3"/>
        <v>42230</v>
      </c>
      <c r="D4226" s="56">
        <v>0.0</v>
      </c>
    </row>
    <row r="4227" ht="15.75" customHeight="1">
      <c r="B4227" s="370">
        <f t="shared" si="2"/>
        <v>0.4888888889</v>
      </c>
      <c r="C4227" s="56">
        <f t="shared" si="3"/>
        <v>42240</v>
      </c>
      <c r="D4227" s="56">
        <v>0.0</v>
      </c>
    </row>
    <row r="4228" ht="15.75" customHeight="1">
      <c r="B4228" s="370">
        <f t="shared" si="2"/>
        <v>0.4890046296</v>
      </c>
      <c r="C4228" s="56">
        <f t="shared" si="3"/>
        <v>42250</v>
      </c>
      <c r="D4228" s="56">
        <v>0.0</v>
      </c>
    </row>
    <row r="4229" ht="15.75" customHeight="1">
      <c r="B4229" s="370">
        <f t="shared" si="2"/>
        <v>0.4891203704</v>
      </c>
      <c r="C4229" s="56">
        <f t="shared" si="3"/>
        <v>42260</v>
      </c>
      <c r="D4229" s="56">
        <v>0.0</v>
      </c>
    </row>
    <row r="4230" ht="15.75" customHeight="1">
      <c r="B4230" s="370">
        <f t="shared" si="2"/>
        <v>0.4892361111</v>
      </c>
      <c r="C4230" s="56">
        <f t="shared" si="3"/>
        <v>42270</v>
      </c>
      <c r="D4230" s="56">
        <v>0.0</v>
      </c>
    </row>
    <row r="4231" ht="15.75" customHeight="1">
      <c r="B4231" s="370">
        <f t="shared" si="2"/>
        <v>0.4893518519</v>
      </c>
      <c r="C4231" s="56">
        <f t="shared" si="3"/>
        <v>42280</v>
      </c>
      <c r="D4231" s="56">
        <v>0.0</v>
      </c>
    </row>
    <row r="4232" ht="15.75" customHeight="1">
      <c r="B4232" s="370">
        <f t="shared" si="2"/>
        <v>0.4894675926</v>
      </c>
      <c r="C4232" s="56">
        <f t="shared" si="3"/>
        <v>42290</v>
      </c>
      <c r="D4232" s="56">
        <v>0.0</v>
      </c>
    </row>
    <row r="4233" ht="15.75" customHeight="1">
      <c r="B4233" s="370">
        <f t="shared" si="2"/>
        <v>0.4895833333</v>
      </c>
      <c r="C4233" s="56">
        <f t="shared" si="3"/>
        <v>42300</v>
      </c>
      <c r="D4233" s="56">
        <v>0.0</v>
      </c>
    </row>
    <row r="4234" ht="15.75" customHeight="1">
      <c r="B4234" s="370">
        <f t="shared" si="2"/>
        <v>0.4896990741</v>
      </c>
      <c r="C4234" s="56">
        <f t="shared" si="3"/>
        <v>42310</v>
      </c>
      <c r="D4234" s="56">
        <v>0.0</v>
      </c>
    </row>
    <row r="4235" ht="15.75" customHeight="1">
      <c r="B4235" s="370">
        <f t="shared" si="2"/>
        <v>0.4898148148</v>
      </c>
      <c r="C4235" s="56">
        <f t="shared" si="3"/>
        <v>42320</v>
      </c>
      <c r="D4235" s="56">
        <v>0.0</v>
      </c>
    </row>
    <row r="4236" ht="15.75" customHeight="1">
      <c r="B4236" s="370">
        <f t="shared" si="2"/>
        <v>0.4899305556</v>
      </c>
      <c r="C4236" s="56">
        <f t="shared" si="3"/>
        <v>42330</v>
      </c>
      <c r="D4236" s="56">
        <v>0.0</v>
      </c>
    </row>
    <row r="4237" ht="15.75" customHeight="1">
      <c r="B4237" s="370">
        <f t="shared" si="2"/>
        <v>0.4900462963</v>
      </c>
      <c r="C4237" s="56">
        <f t="shared" si="3"/>
        <v>42340</v>
      </c>
      <c r="D4237" s="56">
        <v>0.0</v>
      </c>
    </row>
    <row r="4238" ht="15.75" customHeight="1">
      <c r="B4238" s="370">
        <f t="shared" si="2"/>
        <v>0.490162037</v>
      </c>
      <c r="C4238" s="56">
        <f t="shared" si="3"/>
        <v>42350</v>
      </c>
      <c r="D4238" s="56">
        <v>0.0</v>
      </c>
    </row>
    <row r="4239" ht="15.75" customHeight="1">
      <c r="B4239" s="370">
        <f t="shared" si="2"/>
        <v>0.4902777778</v>
      </c>
      <c r="C4239" s="56">
        <f t="shared" si="3"/>
        <v>42360</v>
      </c>
      <c r="D4239" s="56">
        <v>0.0</v>
      </c>
    </row>
    <row r="4240" ht="15.75" customHeight="1">
      <c r="B4240" s="370">
        <f t="shared" si="2"/>
        <v>0.4903935185</v>
      </c>
      <c r="C4240" s="56">
        <f t="shared" si="3"/>
        <v>42370</v>
      </c>
      <c r="D4240" s="56">
        <v>0.0</v>
      </c>
    </row>
    <row r="4241" ht="15.75" customHeight="1">
      <c r="B4241" s="370">
        <f t="shared" si="2"/>
        <v>0.4905092593</v>
      </c>
      <c r="C4241" s="56">
        <f t="shared" si="3"/>
        <v>42380</v>
      </c>
      <c r="D4241" s="56">
        <v>0.0</v>
      </c>
    </row>
    <row r="4242" ht="15.75" customHeight="1">
      <c r="B4242" s="370">
        <f t="shared" si="2"/>
        <v>0.490625</v>
      </c>
      <c r="C4242" s="56">
        <f t="shared" si="3"/>
        <v>42390</v>
      </c>
      <c r="D4242" s="56">
        <v>0.0</v>
      </c>
    </row>
    <row r="4243" ht="15.75" customHeight="1">
      <c r="B4243" s="370">
        <f t="shared" si="2"/>
        <v>0.4907407407</v>
      </c>
      <c r="C4243" s="56">
        <f t="shared" si="3"/>
        <v>42400</v>
      </c>
      <c r="D4243" s="56">
        <v>0.0</v>
      </c>
    </row>
    <row r="4244" ht="15.75" customHeight="1">
      <c r="B4244" s="370">
        <f t="shared" si="2"/>
        <v>0.4908564815</v>
      </c>
      <c r="C4244" s="56">
        <f t="shared" si="3"/>
        <v>42410</v>
      </c>
      <c r="D4244" s="56">
        <v>0.0</v>
      </c>
    </row>
    <row r="4245" ht="15.75" customHeight="1">
      <c r="B4245" s="370">
        <f t="shared" si="2"/>
        <v>0.4909722222</v>
      </c>
      <c r="C4245" s="56">
        <f t="shared" si="3"/>
        <v>42420</v>
      </c>
      <c r="D4245" s="56">
        <v>0.0</v>
      </c>
    </row>
    <row r="4246" ht="15.75" customHeight="1">
      <c r="B4246" s="370">
        <f t="shared" si="2"/>
        <v>0.491087963</v>
      </c>
      <c r="C4246" s="56">
        <f t="shared" si="3"/>
        <v>42430</v>
      </c>
      <c r="D4246" s="56">
        <v>0.0</v>
      </c>
    </row>
    <row r="4247" ht="15.75" customHeight="1">
      <c r="B4247" s="370">
        <f t="shared" si="2"/>
        <v>0.4912037037</v>
      </c>
      <c r="C4247" s="56">
        <f t="shared" si="3"/>
        <v>42440</v>
      </c>
      <c r="D4247" s="56">
        <v>0.0</v>
      </c>
    </row>
    <row r="4248" ht="15.75" customHeight="1">
      <c r="B4248" s="370">
        <f t="shared" si="2"/>
        <v>0.4913194444</v>
      </c>
      <c r="C4248" s="56">
        <f t="shared" si="3"/>
        <v>42450</v>
      </c>
      <c r="D4248" s="56">
        <v>0.0</v>
      </c>
    </row>
    <row r="4249" ht="15.75" customHeight="1">
      <c r="B4249" s="370">
        <f t="shared" si="2"/>
        <v>0.4914351852</v>
      </c>
      <c r="C4249" s="56">
        <f t="shared" si="3"/>
        <v>42460</v>
      </c>
      <c r="D4249" s="56">
        <v>0.0</v>
      </c>
    </row>
    <row r="4250" ht="15.75" customHeight="1">
      <c r="B4250" s="370">
        <f t="shared" si="2"/>
        <v>0.4915509259</v>
      </c>
      <c r="C4250" s="56">
        <f t="shared" si="3"/>
        <v>42470</v>
      </c>
      <c r="D4250" s="56">
        <v>0.0</v>
      </c>
    </row>
    <row r="4251" ht="15.75" customHeight="1">
      <c r="B4251" s="370">
        <f t="shared" si="2"/>
        <v>0.4916666667</v>
      </c>
      <c r="C4251" s="56">
        <f t="shared" si="3"/>
        <v>42480</v>
      </c>
      <c r="D4251" s="56">
        <v>0.0</v>
      </c>
    </row>
    <row r="4252" ht="15.75" customHeight="1">
      <c r="B4252" s="370">
        <f t="shared" si="2"/>
        <v>0.4917824074</v>
      </c>
      <c r="C4252" s="56">
        <f t="shared" si="3"/>
        <v>42490</v>
      </c>
      <c r="D4252" s="56">
        <v>0.0</v>
      </c>
    </row>
    <row r="4253" ht="15.75" customHeight="1">
      <c r="B4253" s="370">
        <f t="shared" si="2"/>
        <v>0.4918981481</v>
      </c>
      <c r="C4253" s="56">
        <f t="shared" si="3"/>
        <v>42500</v>
      </c>
      <c r="D4253" s="56">
        <v>0.0</v>
      </c>
    </row>
    <row r="4254" ht="15.75" customHeight="1">
      <c r="B4254" s="370">
        <f t="shared" si="2"/>
        <v>0.4920138889</v>
      </c>
      <c r="C4254" s="56">
        <f t="shared" si="3"/>
        <v>42510</v>
      </c>
      <c r="D4254" s="56">
        <v>0.0</v>
      </c>
    </row>
    <row r="4255" ht="15.75" customHeight="1">
      <c r="B4255" s="370">
        <f t="shared" si="2"/>
        <v>0.4921296296</v>
      </c>
      <c r="C4255" s="56">
        <f t="shared" si="3"/>
        <v>42520</v>
      </c>
      <c r="D4255" s="56">
        <v>0.0</v>
      </c>
    </row>
    <row r="4256" ht="15.75" customHeight="1">
      <c r="B4256" s="370">
        <f t="shared" si="2"/>
        <v>0.4922453704</v>
      </c>
      <c r="C4256" s="56">
        <f t="shared" si="3"/>
        <v>42530</v>
      </c>
      <c r="D4256" s="56">
        <v>0.0</v>
      </c>
    </row>
    <row r="4257" ht="15.75" customHeight="1">
      <c r="B4257" s="370">
        <f t="shared" si="2"/>
        <v>0.4923611111</v>
      </c>
      <c r="C4257" s="56">
        <f t="shared" si="3"/>
        <v>42540</v>
      </c>
      <c r="D4257" s="56">
        <v>0.0</v>
      </c>
    </row>
    <row r="4258" ht="15.75" customHeight="1">
      <c r="B4258" s="370">
        <f t="shared" si="2"/>
        <v>0.4924768519</v>
      </c>
      <c r="C4258" s="56">
        <f t="shared" si="3"/>
        <v>42550</v>
      </c>
      <c r="D4258" s="56">
        <v>0.0</v>
      </c>
    </row>
    <row r="4259" ht="15.75" customHeight="1">
      <c r="B4259" s="370">
        <f t="shared" si="2"/>
        <v>0.4925925926</v>
      </c>
      <c r="C4259" s="56">
        <f t="shared" si="3"/>
        <v>42560</v>
      </c>
      <c r="D4259" s="56">
        <v>0.0</v>
      </c>
    </row>
    <row r="4260" ht="15.75" customHeight="1">
      <c r="B4260" s="370">
        <f t="shared" si="2"/>
        <v>0.4927083333</v>
      </c>
      <c r="C4260" s="56">
        <f t="shared" si="3"/>
        <v>42570</v>
      </c>
      <c r="D4260" s="56">
        <v>0.0</v>
      </c>
    </row>
    <row r="4261" ht="15.75" customHeight="1">
      <c r="B4261" s="370">
        <f t="shared" si="2"/>
        <v>0.4928240741</v>
      </c>
      <c r="C4261" s="56">
        <f t="shared" si="3"/>
        <v>42580</v>
      </c>
      <c r="D4261" s="56">
        <v>0.0</v>
      </c>
    </row>
    <row r="4262" ht="15.75" customHeight="1">
      <c r="B4262" s="370">
        <f t="shared" si="2"/>
        <v>0.4929398148</v>
      </c>
      <c r="C4262" s="56">
        <f t="shared" si="3"/>
        <v>42590</v>
      </c>
      <c r="D4262" s="56">
        <v>0.0</v>
      </c>
    </row>
    <row r="4263" ht="15.75" customHeight="1">
      <c r="B4263" s="370">
        <f t="shared" si="2"/>
        <v>0.4930555556</v>
      </c>
      <c r="C4263" s="56">
        <f t="shared" si="3"/>
        <v>42600</v>
      </c>
      <c r="D4263" s="56">
        <v>0.0</v>
      </c>
    </row>
    <row r="4264" ht="15.75" customHeight="1">
      <c r="B4264" s="370">
        <f t="shared" si="2"/>
        <v>0.4931712963</v>
      </c>
      <c r="C4264" s="56">
        <f t="shared" si="3"/>
        <v>42610</v>
      </c>
      <c r="D4264" s="56">
        <v>0.0</v>
      </c>
    </row>
    <row r="4265" ht="15.75" customHeight="1">
      <c r="B4265" s="370">
        <f t="shared" si="2"/>
        <v>0.493287037</v>
      </c>
      <c r="C4265" s="56">
        <f t="shared" si="3"/>
        <v>42620</v>
      </c>
      <c r="D4265" s="56">
        <v>0.0</v>
      </c>
    </row>
    <row r="4266" ht="15.75" customHeight="1">
      <c r="B4266" s="370">
        <f t="shared" si="2"/>
        <v>0.4934027778</v>
      </c>
      <c r="C4266" s="56">
        <f t="shared" si="3"/>
        <v>42630</v>
      </c>
      <c r="D4266" s="56">
        <v>0.0</v>
      </c>
    </row>
    <row r="4267" ht="15.75" customHeight="1">
      <c r="B4267" s="370">
        <f t="shared" si="2"/>
        <v>0.4935185185</v>
      </c>
      <c r="C4267" s="56">
        <f t="shared" si="3"/>
        <v>42640</v>
      </c>
      <c r="D4267" s="56">
        <v>0.0</v>
      </c>
    </row>
    <row r="4268" ht="15.75" customHeight="1">
      <c r="B4268" s="370">
        <f t="shared" si="2"/>
        <v>0.4936342593</v>
      </c>
      <c r="C4268" s="56">
        <f t="shared" si="3"/>
        <v>42650</v>
      </c>
      <c r="D4268" s="56">
        <v>0.0</v>
      </c>
    </row>
    <row r="4269" ht="15.75" customHeight="1">
      <c r="B4269" s="370">
        <f t="shared" si="2"/>
        <v>0.49375</v>
      </c>
      <c r="C4269" s="56">
        <f t="shared" si="3"/>
        <v>42660</v>
      </c>
      <c r="D4269" s="56">
        <v>0.0</v>
      </c>
    </row>
    <row r="4270" ht="15.75" customHeight="1">
      <c r="B4270" s="370">
        <f t="shared" si="2"/>
        <v>0.4938657407</v>
      </c>
      <c r="C4270" s="56">
        <f t="shared" si="3"/>
        <v>42670</v>
      </c>
      <c r="D4270" s="56">
        <v>0.0</v>
      </c>
    </row>
    <row r="4271" ht="15.75" customHeight="1">
      <c r="B4271" s="370">
        <f t="shared" si="2"/>
        <v>0.4939814815</v>
      </c>
      <c r="C4271" s="56">
        <f t="shared" si="3"/>
        <v>42680</v>
      </c>
      <c r="D4271" s="56">
        <v>0.0</v>
      </c>
    </row>
    <row r="4272" ht="15.75" customHeight="1">
      <c r="B4272" s="370">
        <f t="shared" si="2"/>
        <v>0.4940972222</v>
      </c>
      <c r="C4272" s="56">
        <f t="shared" si="3"/>
        <v>42690</v>
      </c>
      <c r="D4272" s="56">
        <v>0.0</v>
      </c>
    </row>
    <row r="4273" ht="15.75" customHeight="1">
      <c r="B4273" s="370">
        <f t="shared" si="2"/>
        <v>0.494212963</v>
      </c>
      <c r="C4273" s="56">
        <f t="shared" si="3"/>
        <v>42700</v>
      </c>
      <c r="D4273" s="56">
        <v>0.0</v>
      </c>
    </row>
    <row r="4274" ht="15.75" customHeight="1">
      <c r="B4274" s="370">
        <f t="shared" si="2"/>
        <v>0.4943287037</v>
      </c>
      <c r="C4274" s="56">
        <f t="shared" si="3"/>
        <v>42710</v>
      </c>
      <c r="D4274" s="56">
        <v>0.0</v>
      </c>
    </row>
    <row r="4275" ht="15.75" customHeight="1">
      <c r="B4275" s="370">
        <f t="shared" si="2"/>
        <v>0.4944444444</v>
      </c>
      <c r="C4275" s="56">
        <f t="shared" si="3"/>
        <v>42720</v>
      </c>
      <c r="D4275" s="56">
        <v>0.0</v>
      </c>
    </row>
    <row r="4276" ht="15.75" customHeight="1">
      <c r="B4276" s="370">
        <f t="shared" si="2"/>
        <v>0.4945601852</v>
      </c>
      <c r="C4276" s="56">
        <f t="shared" si="3"/>
        <v>42730</v>
      </c>
      <c r="D4276" s="56">
        <v>0.0</v>
      </c>
    </row>
    <row r="4277" ht="15.75" customHeight="1">
      <c r="B4277" s="370">
        <f t="shared" si="2"/>
        <v>0.4946759259</v>
      </c>
      <c r="C4277" s="56">
        <f t="shared" si="3"/>
        <v>42740</v>
      </c>
      <c r="D4277" s="56">
        <v>0.0</v>
      </c>
    </row>
    <row r="4278" ht="15.75" customHeight="1">
      <c r="B4278" s="370">
        <f t="shared" si="2"/>
        <v>0.4947916667</v>
      </c>
      <c r="C4278" s="56">
        <f t="shared" si="3"/>
        <v>42750</v>
      </c>
      <c r="D4278" s="56">
        <v>0.0</v>
      </c>
    </row>
    <row r="4279" ht="15.75" customHeight="1">
      <c r="B4279" s="370">
        <f t="shared" si="2"/>
        <v>0.4949074074</v>
      </c>
      <c r="C4279" s="56">
        <f t="shared" si="3"/>
        <v>42760</v>
      </c>
      <c r="D4279" s="56">
        <v>0.0</v>
      </c>
    </row>
    <row r="4280" ht="15.75" customHeight="1">
      <c r="B4280" s="370">
        <f t="shared" si="2"/>
        <v>0.4950231481</v>
      </c>
      <c r="C4280" s="56">
        <f t="shared" si="3"/>
        <v>42770</v>
      </c>
      <c r="D4280" s="56">
        <v>0.0</v>
      </c>
    </row>
    <row r="4281" ht="15.75" customHeight="1">
      <c r="B4281" s="370">
        <f t="shared" si="2"/>
        <v>0.4951388889</v>
      </c>
      <c r="C4281" s="56">
        <f t="shared" si="3"/>
        <v>42780</v>
      </c>
      <c r="D4281" s="56">
        <v>0.0</v>
      </c>
    </row>
    <row r="4282" ht="15.75" customHeight="1">
      <c r="B4282" s="370">
        <f t="shared" si="2"/>
        <v>0.4952546296</v>
      </c>
      <c r="C4282" s="56">
        <f t="shared" si="3"/>
        <v>42790</v>
      </c>
      <c r="D4282" s="56">
        <v>0.0</v>
      </c>
    </row>
    <row r="4283" ht="15.75" customHeight="1">
      <c r="B4283" s="370">
        <f t="shared" si="2"/>
        <v>0.4953703704</v>
      </c>
      <c r="C4283" s="56">
        <f t="shared" si="3"/>
        <v>42800</v>
      </c>
      <c r="D4283" s="56">
        <v>0.0</v>
      </c>
    </row>
    <row r="4284" ht="15.75" customHeight="1">
      <c r="B4284" s="370">
        <f t="shared" si="2"/>
        <v>0.4954861111</v>
      </c>
      <c r="C4284" s="56">
        <f t="shared" si="3"/>
        <v>42810</v>
      </c>
      <c r="D4284" s="56">
        <v>0.0</v>
      </c>
    </row>
    <row r="4285" ht="15.75" customHeight="1">
      <c r="B4285" s="370">
        <f t="shared" si="2"/>
        <v>0.4956018519</v>
      </c>
      <c r="C4285" s="56">
        <f t="shared" si="3"/>
        <v>42820</v>
      </c>
      <c r="D4285" s="56">
        <v>0.0</v>
      </c>
    </row>
    <row r="4286" ht="15.75" customHeight="1">
      <c r="B4286" s="370">
        <f t="shared" si="2"/>
        <v>0.4957175926</v>
      </c>
      <c r="C4286" s="56">
        <f t="shared" si="3"/>
        <v>42830</v>
      </c>
      <c r="D4286" s="56">
        <v>0.0</v>
      </c>
    </row>
    <row r="4287" ht="15.75" customHeight="1">
      <c r="B4287" s="370">
        <f t="shared" si="2"/>
        <v>0.4958333333</v>
      </c>
      <c r="C4287" s="56">
        <f t="shared" si="3"/>
        <v>42840</v>
      </c>
      <c r="D4287" s="56">
        <v>0.0</v>
      </c>
    </row>
    <row r="4288" ht="15.75" customHeight="1">
      <c r="B4288" s="370">
        <f t="shared" si="2"/>
        <v>0.4959490741</v>
      </c>
      <c r="C4288" s="56">
        <f t="shared" si="3"/>
        <v>42850</v>
      </c>
      <c r="D4288" s="56">
        <v>0.0</v>
      </c>
    </row>
    <row r="4289" ht="15.75" customHeight="1">
      <c r="B4289" s="370">
        <f t="shared" si="2"/>
        <v>0.4960648148</v>
      </c>
      <c r="C4289" s="56">
        <f t="shared" si="3"/>
        <v>42860</v>
      </c>
      <c r="D4289" s="56">
        <v>0.0</v>
      </c>
    </row>
    <row r="4290" ht="15.75" customHeight="1">
      <c r="B4290" s="370">
        <f t="shared" si="2"/>
        <v>0.4961805556</v>
      </c>
      <c r="C4290" s="56">
        <f t="shared" si="3"/>
        <v>42870</v>
      </c>
      <c r="D4290" s="56">
        <v>0.0</v>
      </c>
    </row>
    <row r="4291" ht="15.75" customHeight="1">
      <c r="B4291" s="370">
        <f t="shared" si="2"/>
        <v>0.4962962963</v>
      </c>
      <c r="C4291" s="56">
        <f t="shared" si="3"/>
        <v>42880</v>
      </c>
      <c r="D4291" s="56">
        <v>0.0</v>
      </c>
    </row>
    <row r="4292" ht="15.75" customHeight="1">
      <c r="B4292" s="370">
        <f t="shared" si="2"/>
        <v>0.496412037</v>
      </c>
      <c r="C4292" s="56">
        <f t="shared" si="3"/>
        <v>42890</v>
      </c>
      <c r="D4292" s="56">
        <v>0.0</v>
      </c>
    </row>
    <row r="4293" ht="15.75" customHeight="1">
      <c r="B4293" s="370">
        <f t="shared" si="2"/>
        <v>0.4965277778</v>
      </c>
      <c r="C4293" s="56">
        <f t="shared" si="3"/>
        <v>42900</v>
      </c>
      <c r="D4293" s="56">
        <v>0.0</v>
      </c>
    </row>
    <row r="4294" ht="15.75" customHeight="1">
      <c r="B4294" s="370">
        <f t="shared" si="2"/>
        <v>0.4966435185</v>
      </c>
      <c r="C4294" s="56">
        <f t="shared" si="3"/>
        <v>42910</v>
      </c>
      <c r="D4294" s="56">
        <v>0.0</v>
      </c>
    </row>
    <row r="4295" ht="15.75" customHeight="1">
      <c r="B4295" s="370">
        <f t="shared" si="2"/>
        <v>0.4967592593</v>
      </c>
      <c r="C4295" s="56">
        <f t="shared" si="3"/>
        <v>42920</v>
      </c>
      <c r="D4295" s="56">
        <v>0.0</v>
      </c>
    </row>
    <row r="4296" ht="15.75" customHeight="1">
      <c r="B4296" s="370">
        <f t="shared" si="2"/>
        <v>0.496875</v>
      </c>
      <c r="C4296" s="56">
        <f t="shared" si="3"/>
        <v>42930</v>
      </c>
      <c r="D4296" s="56">
        <v>2.394</v>
      </c>
    </row>
    <row r="4297" ht="15.75" customHeight="1">
      <c r="B4297" s="370">
        <f t="shared" si="2"/>
        <v>0.4969907407</v>
      </c>
      <c r="C4297" s="56">
        <f t="shared" si="3"/>
        <v>42940</v>
      </c>
      <c r="D4297" s="56">
        <v>2.129</v>
      </c>
    </row>
    <row r="4298" ht="15.75" customHeight="1">
      <c r="B4298" s="370">
        <f t="shared" si="2"/>
        <v>0.4971064815</v>
      </c>
      <c r="C4298" s="56">
        <f t="shared" si="3"/>
        <v>42950</v>
      </c>
      <c r="D4298" s="56">
        <v>2.237</v>
      </c>
    </row>
    <row r="4299" ht="15.75" customHeight="1">
      <c r="B4299" s="370">
        <f t="shared" si="2"/>
        <v>0.4972222222</v>
      </c>
      <c r="C4299" s="56">
        <f t="shared" si="3"/>
        <v>42960</v>
      </c>
      <c r="D4299" s="56">
        <v>2.492</v>
      </c>
    </row>
    <row r="4300" ht="15.75" customHeight="1">
      <c r="B4300" s="370">
        <f t="shared" si="2"/>
        <v>0.497337963</v>
      </c>
      <c r="C4300" s="56">
        <f t="shared" si="3"/>
        <v>42970</v>
      </c>
      <c r="D4300" s="56">
        <v>2.792</v>
      </c>
    </row>
    <row r="4301" ht="15.75" customHeight="1">
      <c r="B4301" s="370">
        <f t="shared" si="2"/>
        <v>0.4974537037</v>
      </c>
      <c r="C4301" s="56">
        <f t="shared" si="3"/>
        <v>42980</v>
      </c>
      <c r="D4301" s="56">
        <v>3.031</v>
      </c>
    </row>
    <row r="4302" ht="15.75" customHeight="1">
      <c r="B4302" s="370">
        <f t="shared" si="2"/>
        <v>0.4975694444</v>
      </c>
      <c r="C4302" s="56">
        <f t="shared" si="3"/>
        <v>42990</v>
      </c>
      <c r="D4302" s="56">
        <v>3.173</v>
      </c>
    </row>
    <row r="4303" ht="15.75" customHeight="1">
      <c r="B4303" s="370">
        <f t="shared" si="2"/>
        <v>0.4976851852</v>
      </c>
      <c r="C4303" s="56">
        <f t="shared" si="3"/>
        <v>43000</v>
      </c>
      <c r="D4303" s="56">
        <v>3.081</v>
      </c>
    </row>
    <row r="4304" ht="15.75" customHeight="1">
      <c r="B4304" s="370">
        <f t="shared" si="2"/>
        <v>0.4978009259</v>
      </c>
      <c r="C4304" s="56">
        <f t="shared" si="3"/>
        <v>43010</v>
      </c>
      <c r="D4304" s="56">
        <v>2.961</v>
      </c>
    </row>
    <row r="4305" ht="15.75" customHeight="1">
      <c r="B4305" s="370">
        <f t="shared" si="2"/>
        <v>0.4979166667</v>
      </c>
      <c r="C4305" s="56">
        <f t="shared" si="3"/>
        <v>43020</v>
      </c>
      <c r="D4305" s="56">
        <v>2.836</v>
      </c>
    </row>
    <row r="4306" ht="15.75" customHeight="1">
      <c r="B4306" s="370">
        <f t="shared" si="2"/>
        <v>0.4980324074</v>
      </c>
      <c r="C4306" s="56">
        <f t="shared" si="3"/>
        <v>43030</v>
      </c>
      <c r="D4306" s="56">
        <v>2.936</v>
      </c>
    </row>
    <row r="4307" ht="15.75" customHeight="1">
      <c r="B4307" s="370">
        <f t="shared" si="2"/>
        <v>0.4981481481</v>
      </c>
      <c r="C4307" s="56">
        <f t="shared" si="3"/>
        <v>43040</v>
      </c>
      <c r="D4307" s="56">
        <v>2.836</v>
      </c>
    </row>
    <row r="4308" ht="15.75" customHeight="1">
      <c r="B4308" s="370">
        <f t="shared" si="2"/>
        <v>0.4982638889</v>
      </c>
      <c r="C4308" s="56">
        <f t="shared" si="3"/>
        <v>43050</v>
      </c>
      <c r="D4308" s="56">
        <v>2.738</v>
      </c>
    </row>
    <row r="4309" ht="15.75" customHeight="1">
      <c r="B4309" s="370">
        <f t="shared" si="2"/>
        <v>0.4983796296</v>
      </c>
      <c r="C4309" s="56">
        <f t="shared" si="3"/>
        <v>43060</v>
      </c>
      <c r="D4309" s="56">
        <v>2.584</v>
      </c>
    </row>
    <row r="4310" ht="15.75" customHeight="1">
      <c r="B4310" s="370">
        <f t="shared" si="2"/>
        <v>0.4984953704</v>
      </c>
      <c r="C4310" s="56">
        <f t="shared" si="3"/>
        <v>43070</v>
      </c>
      <c r="D4310" s="56">
        <v>2.403</v>
      </c>
    </row>
    <row r="4311" ht="15.75" customHeight="1">
      <c r="B4311" s="370">
        <f t="shared" si="2"/>
        <v>0.4986111111</v>
      </c>
      <c r="C4311" s="56">
        <f t="shared" si="3"/>
        <v>43080</v>
      </c>
      <c r="D4311" s="56">
        <v>2.324</v>
      </c>
    </row>
    <row r="4312" ht="15.75" customHeight="1">
      <c r="B4312" s="370">
        <f t="shared" si="2"/>
        <v>0.4987268519</v>
      </c>
      <c r="C4312" s="56">
        <f t="shared" si="3"/>
        <v>43090</v>
      </c>
      <c r="D4312" s="56">
        <v>3.231</v>
      </c>
    </row>
    <row r="4313" ht="15.75" customHeight="1">
      <c r="B4313" s="370">
        <f t="shared" si="2"/>
        <v>0.4988425926</v>
      </c>
      <c r="C4313" s="56">
        <f t="shared" si="3"/>
        <v>43100</v>
      </c>
      <c r="D4313" s="56">
        <v>3.472</v>
      </c>
    </row>
    <row r="4314" ht="15.75" customHeight="1">
      <c r="B4314" s="370">
        <f t="shared" si="2"/>
        <v>0.4989583333</v>
      </c>
      <c r="C4314" s="56">
        <f t="shared" si="3"/>
        <v>43110</v>
      </c>
      <c r="D4314" s="56">
        <v>3.488</v>
      </c>
    </row>
    <row r="4315" ht="15.75" customHeight="1">
      <c r="B4315" s="370">
        <f t="shared" si="2"/>
        <v>0.4990740741</v>
      </c>
      <c r="C4315" s="56">
        <f t="shared" si="3"/>
        <v>43120</v>
      </c>
      <c r="D4315" s="56">
        <v>3.503</v>
      </c>
    </row>
    <row r="4316" ht="15.75" customHeight="1">
      <c r="B4316" s="370">
        <f t="shared" si="2"/>
        <v>0.4991898148</v>
      </c>
      <c r="C4316" s="56">
        <f t="shared" si="3"/>
        <v>43130</v>
      </c>
      <c r="D4316" s="56">
        <v>3.145</v>
      </c>
    </row>
    <row r="4317" ht="15.75" customHeight="1">
      <c r="B4317" s="370">
        <f t="shared" si="2"/>
        <v>0.4993055556</v>
      </c>
      <c r="C4317" s="56">
        <f t="shared" si="3"/>
        <v>43140</v>
      </c>
      <c r="D4317" s="56">
        <v>2.408</v>
      </c>
    </row>
    <row r="4318" ht="15.75" customHeight="1">
      <c r="B4318" s="370">
        <f t="shared" si="2"/>
        <v>0.4994212963</v>
      </c>
      <c r="C4318" s="56">
        <f t="shared" si="3"/>
        <v>43150</v>
      </c>
      <c r="D4318" s="56">
        <v>1.966</v>
      </c>
    </row>
    <row r="4319" ht="15.75" customHeight="1">
      <c r="B4319" s="370">
        <f t="shared" si="2"/>
        <v>0.499537037</v>
      </c>
      <c r="C4319" s="56">
        <f t="shared" si="3"/>
        <v>43160</v>
      </c>
      <c r="D4319" s="56">
        <v>2.351</v>
      </c>
    </row>
    <row r="4320" ht="15.75" customHeight="1">
      <c r="B4320" s="370">
        <f t="shared" si="2"/>
        <v>0.4996527778</v>
      </c>
      <c r="C4320" s="56">
        <f t="shared" si="3"/>
        <v>43170</v>
      </c>
      <c r="D4320" s="56">
        <v>2.722</v>
      </c>
    </row>
    <row r="4321" ht="15.75" customHeight="1">
      <c r="B4321" s="370">
        <f t="shared" si="2"/>
        <v>0.4997685185</v>
      </c>
      <c r="C4321" s="56">
        <f t="shared" si="3"/>
        <v>43180</v>
      </c>
      <c r="D4321" s="56">
        <v>3.057</v>
      </c>
    </row>
    <row r="4322" ht="15.75" customHeight="1">
      <c r="B4322" s="370">
        <f t="shared" si="2"/>
        <v>0.4998842593</v>
      </c>
      <c r="C4322" s="56">
        <f t="shared" si="3"/>
        <v>43190</v>
      </c>
      <c r="D4322" s="56">
        <v>3.313</v>
      </c>
    </row>
    <row r="4323" ht="15.75" customHeight="1">
      <c r="B4323" s="370">
        <f t="shared" si="2"/>
        <v>0.5</v>
      </c>
      <c r="C4323" s="56">
        <f t="shared" si="3"/>
        <v>43200</v>
      </c>
      <c r="D4323" s="56">
        <v>3.223</v>
      </c>
    </row>
    <row r="4324" ht="15.75" customHeight="1">
      <c r="B4324" s="370">
        <f t="shared" si="2"/>
        <v>0.5001157407</v>
      </c>
      <c r="C4324" s="56">
        <f t="shared" si="3"/>
        <v>43210</v>
      </c>
      <c r="D4324" s="56">
        <v>3.15</v>
      </c>
    </row>
    <row r="4325" ht="15.75" customHeight="1">
      <c r="B4325" s="370">
        <f t="shared" si="2"/>
        <v>0.5002314815</v>
      </c>
      <c r="C4325" s="56">
        <f t="shared" si="3"/>
        <v>43220</v>
      </c>
      <c r="D4325" s="56">
        <v>2.807</v>
      </c>
    </row>
    <row r="4326" ht="15.75" customHeight="1">
      <c r="B4326" s="370">
        <f t="shared" si="2"/>
        <v>0.5003472222</v>
      </c>
      <c r="C4326" s="56">
        <f t="shared" si="3"/>
        <v>43230</v>
      </c>
      <c r="D4326" s="56">
        <v>2.774</v>
      </c>
    </row>
    <row r="4327" ht="15.75" customHeight="1">
      <c r="B4327" s="370">
        <f t="shared" si="2"/>
        <v>0.500462963</v>
      </c>
      <c r="C4327" s="56">
        <f t="shared" si="3"/>
        <v>43240</v>
      </c>
      <c r="D4327" s="56">
        <v>2.77</v>
      </c>
    </row>
    <row r="4328" ht="15.75" customHeight="1">
      <c r="B4328" s="370">
        <f t="shared" si="2"/>
        <v>0.5005787037</v>
      </c>
      <c r="C4328" s="56">
        <f t="shared" si="3"/>
        <v>43250</v>
      </c>
      <c r="D4328" s="56">
        <v>2.754</v>
      </c>
    </row>
    <row r="4329" ht="15.75" customHeight="1">
      <c r="B4329" s="370">
        <f t="shared" si="2"/>
        <v>0.5006944444</v>
      </c>
      <c r="C4329" s="56">
        <f t="shared" si="3"/>
        <v>43260</v>
      </c>
      <c r="D4329" s="56">
        <v>2.663</v>
      </c>
    </row>
    <row r="4330" ht="15.75" customHeight="1">
      <c r="B4330" s="370">
        <f t="shared" si="2"/>
        <v>0.5008101852</v>
      </c>
      <c r="C4330" s="56">
        <f t="shared" si="3"/>
        <v>43270</v>
      </c>
      <c r="D4330" s="56">
        <v>2.523</v>
      </c>
    </row>
    <row r="4331" ht="15.75" customHeight="1">
      <c r="B4331" s="370">
        <f t="shared" si="2"/>
        <v>0.5009259259</v>
      </c>
      <c r="C4331" s="56">
        <f t="shared" si="3"/>
        <v>43280</v>
      </c>
      <c r="D4331" s="56">
        <v>2.297</v>
      </c>
    </row>
    <row r="4332" ht="15.75" customHeight="1">
      <c r="B4332" s="370">
        <f t="shared" si="2"/>
        <v>0.5010416667</v>
      </c>
      <c r="C4332" s="56">
        <f t="shared" si="3"/>
        <v>43290</v>
      </c>
      <c r="D4332" s="56">
        <v>3.067</v>
      </c>
    </row>
    <row r="4333" ht="15.75" customHeight="1">
      <c r="B4333" s="370">
        <f t="shared" si="2"/>
        <v>0.5011574074</v>
      </c>
      <c r="C4333" s="56">
        <f t="shared" si="3"/>
        <v>43300</v>
      </c>
      <c r="D4333" s="56">
        <v>3.396</v>
      </c>
    </row>
    <row r="4334" ht="15.75" customHeight="1">
      <c r="B4334" s="370">
        <f t="shared" si="2"/>
        <v>0.5012731481</v>
      </c>
      <c r="C4334" s="56">
        <f t="shared" si="3"/>
        <v>43310</v>
      </c>
      <c r="D4334" s="56">
        <v>3.441</v>
      </c>
    </row>
    <row r="4335" ht="15.75" customHeight="1">
      <c r="B4335" s="370">
        <f t="shared" si="2"/>
        <v>0.5013888889</v>
      </c>
      <c r="C4335" s="56">
        <f t="shared" si="3"/>
        <v>43320</v>
      </c>
      <c r="D4335" s="56">
        <v>3.485</v>
      </c>
    </row>
    <row r="4336" ht="15.75" customHeight="1">
      <c r="B4336" s="370">
        <f t="shared" si="2"/>
        <v>0.5015046296</v>
      </c>
      <c r="C4336" s="56">
        <f t="shared" si="3"/>
        <v>43330</v>
      </c>
      <c r="D4336" s="56">
        <v>3.207</v>
      </c>
    </row>
    <row r="4337" ht="15.75" customHeight="1">
      <c r="B4337" s="370">
        <f t="shared" si="2"/>
        <v>0.5016203704</v>
      </c>
      <c r="C4337" s="56">
        <f t="shared" si="3"/>
        <v>43340</v>
      </c>
      <c r="D4337" s="56">
        <v>2.57</v>
      </c>
    </row>
    <row r="4338" ht="15.75" customHeight="1">
      <c r="B4338" s="370">
        <f t="shared" si="2"/>
        <v>0.5017361111</v>
      </c>
      <c r="C4338" s="56">
        <f t="shared" si="3"/>
        <v>43350</v>
      </c>
      <c r="D4338" s="56">
        <v>2.05</v>
      </c>
    </row>
    <row r="4339" ht="15.75" customHeight="1">
      <c r="B4339" s="370">
        <f t="shared" si="2"/>
        <v>0.5018518519</v>
      </c>
      <c r="C4339" s="56">
        <f t="shared" si="3"/>
        <v>43360</v>
      </c>
      <c r="D4339" s="56">
        <v>2.159</v>
      </c>
    </row>
    <row r="4340" ht="15.75" customHeight="1">
      <c r="B4340" s="370">
        <f t="shared" si="2"/>
        <v>0.5019675926</v>
      </c>
      <c r="C4340" s="56">
        <f t="shared" si="3"/>
        <v>43370</v>
      </c>
      <c r="D4340" s="56">
        <v>2.614</v>
      </c>
    </row>
    <row r="4341" ht="15.75" customHeight="1">
      <c r="B4341" s="370">
        <f t="shared" si="2"/>
        <v>0.5020833333</v>
      </c>
      <c r="C4341" s="56">
        <f t="shared" si="3"/>
        <v>43380</v>
      </c>
      <c r="D4341" s="56">
        <v>3.046</v>
      </c>
    </row>
    <row r="4342" ht="15.75" customHeight="1">
      <c r="B4342" s="370">
        <f t="shared" si="2"/>
        <v>0.5021990741</v>
      </c>
      <c r="C4342" s="56">
        <f t="shared" si="3"/>
        <v>43390</v>
      </c>
      <c r="D4342" s="56">
        <v>3.391</v>
      </c>
    </row>
    <row r="4343" ht="15.75" customHeight="1">
      <c r="B4343" s="370">
        <f t="shared" si="2"/>
        <v>0.5023148148</v>
      </c>
      <c r="C4343" s="56">
        <f t="shared" si="3"/>
        <v>43400</v>
      </c>
      <c r="D4343" s="56">
        <v>3.336</v>
      </c>
    </row>
    <row r="4344" ht="15.75" customHeight="1">
      <c r="B4344" s="370">
        <f t="shared" si="2"/>
        <v>0.5024305556</v>
      </c>
      <c r="C4344" s="56">
        <f t="shared" si="3"/>
        <v>43410</v>
      </c>
      <c r="D4344" s="56">
        <v>3.248</v>
      </c>
    </row>
    <row r="4345" ht="15.75" customHeight="1">
      <c r="B4345" s="370">
        <f t="shared" si="2"/>
        <v>0.5025462963</v>
      </c>
      <c r="C4345" s="56">
        <f t="shared" si="3"/>
        <v>43420</v>
      </c>
      <c r="D4345" s="56">
        <v>3.059</v>
      </c>
    </row>
    <row r="4346" ht="15.75" customHeight="1">
      <c r="B4346" s="370">
        <f t="shared" si="2"/>
        <v>0.502662037</v>
      </c>
      <c r="C4346" s="56">
        <f t="shared" si="3"/>
        <v>43430</v>
      </c>
      <c r="D4346" s="56">
        <v>2.509</v>
      </c>
    </row>
    <row r="4347" ht="15.75" customHeight="1">
      <c r="B4347" s="370">
        <f t="shared" si="2"/>
        <v>0.5027777778</v>
      </c>
      <c r="C4347" s="56">
        <f t="shared" si="3"/>
        <v>43440</v>
      </c>
      <c r="D4347" s="56">
        <v>2.665</v>
      </c>
    </row>
    <row r="4348" ht="15.75" customHeight="1">
      <c r="B4348" s="370">
        <f t="shared" si="2"/>
        <v>0.5028935185</v>
      </c>
      <c r="C4348" s="56">
        <f t="shared" si="3"/>
        <v>43450</v>
      </c>
      <c r="D4348" s="56">
        <v>2.736</v>
      </c>
    </row>
    <row r="4349" ht="15.75" customHeight="1">
      <c r="B4349" s="370">
        <f t="shared" si="2"/>
        <v>0.5030092593</v>
      </c>
      <c r="C4349" s="56">
        <f t="shared" si="3"/>
        <v>43460</v>
      </c>
      <c r="D4349" s="56">
        <v>2.711</v>
      </c>
    </row>
    <row r="4350" ht="15.75" customHeight="1">
      <c r="B4350" s="370">
        <f t="shared" si="2"/>
        <v>0.503125</v>
      </c>
      <c r="C4350" s="56">
        <f t="shared" si="3"/>
        <v>43470</v>
      </c>
      <c r="D4350" s="56">
        <v>2.68</v>
      </c>
    </row>
    <row r="4351" ht="15.75" customHeight="1">
      <c r="B4351" s="370">
        <f t="shared" si="2"/>
        <v>0.5032407407</v>
      </c>
      <c r="C4351" s="56">
        <f t="shared" si="3"/>
        <v>43480</v>
      </c>
      <c r="D4351" s="56">
        <v>2.482</v>
      </c>
    </row>
    <row r="4352" ht="15.75" customHeight="1">
      <c r="B4352" s="370">
        <f t="shared" si="2"/>
        <v>0.5033564815</v>
      </c>
      <c r="C4352" s="56">
        <f t="shared" si="3"/>
        <v>43490</v>
      </c>
      <c r="D4352" s="56">
        <v>2.929</v>
      </c>
    </row>
    <row r="4353" ht="15.75" customHeight="1">
      <c r="B4353" s="370">
        <f t="shared" si="2"/>
        <v>0.5034722222</v>
      </c>
      <c r="C4353" s="56">
        <f t="shared" si="3"/>
        <v>43500</v>
      </c>
      <c r="D4353" s="56">
        <v>3.303</v>
      </c>
    </row>
    <row r="4354" ht="15.75" customHeight="1">
      <c r="B4354" s="370">
        <f t="shared" si="2"/>
        <v>0.503587963</v>
      </c>
      <c r="C4354" s="56">
        <f t="shared" si="3"/>
        <v>43510</v>
      </c>
      <c r="D4354" s="56">
        <v>3.358</v>
      </c>
    </row>
    <row r="4355" ht="15.75" customHeight="1">
      <c r="B4355" s="370">
        <f t="shared" si="2"/>
        <v>0.5037037037</v>
      </c>
      <c r="C4355" s="56">
        <f t="shared" si="3"/>
        <v>43520</v>
      </c>
      <c r="D4355" s="56">
        <v>3.435</v>
      </c>
    </row>
    <row r="4356" ht="15.75" customHeight="1">
      <c r="B4356" s="370">
        <f t="shared" si="2"/>
        <v>0.5038194444</v>
      </c>
      <c r="C4356" s="56">
        <f t="shared" si="3"/>
        <v>43530</v>
      </c>
      <c r="D4356" s="56">
        <v>3.235</v>
      </c>
    </row>
    <row r="4357" ht="15.75" customHeight="1">
      <c r="B4357" s="370">
        <f t="shared" si="2"/>
        <v>0.5039351852</v>
      </c>
      <c r="C4357" s="56">
        <f t="shared" si="3"/>
        <v>43540</v>
      </c>
      <c r="D4357" s="56">
        <v>2.697</v>
      </c>
    </row>
    <row r="4358" ht="15.75" customHeight="1">
      <c r="B4358" s="370">
        <f t="shared" si="2"/>
        <v>0.5040509259</v>
      </c>
      <c r="C4358" s="56">
        <f t="shared" si="3"/>
        <v>43550</v>
      </c>
      <c r="D4358" s="56">
        <v>2.183</v>
      </c>
    </row>
    <row r="4359" ht="15.75" customHeight="1">
      <c r="B4359" s="370">
        <f t="shared" si="2"/>
        <v>0.5041666667</v>
      </c>
      <c r="C4359" s="56">
        <f t="shared" si="3"/>
        <v>43560</v>
      </c>
      <c r="D4359" s="56">
        <v>1.988</v>
      </c>
    </row>
    <row r="4360" ht="15.75" customHeight="1">
      <c r="B4360" s="370">
        <f t="shared" si="2"/>
        <v>0.5042824074</v>
      </c>
      <c r="C4360" s="56">
        <f t="shared" si="3"/>
        <v>43570</v>
      </c>
      <c r="D4360" s="56">
        <v>2.441</v>
      </c>
    </row>
    <row r="4361" ht="15.75" customHeight="1">
      <c r="B4361" s="370">
        <f t="shared" si="2"/>
        <v>0.5043981481</v>
      </c>
      <c r="C4361" s="56">
        <f t="shared" si="3"/>
        <v>43580</v>
      </c>
      <c r="D4361" s="56">
        <v>2.996</v>
      </c>
    </row>
    <row r="4362" ht="15.75" customHeight="1">
      <c r="B4362" s="370">
        <f t="shared" si="2"/>
        <v>0.5045138889</v>
      </c>
      <c r="C4362" s="56">
        <f t="shared" si="3"/>
        <v>43590</v>
      </c>
      <c r="D4362" s="56">
        <v>3.432</v>
      </c>
    </row>
    <row r="4363" ht="15.75" customHeight="1">
      <c r="B4363" s="370">
        <f t="shared" si="2"/>
        <v>0.5046296296</v>
      </c>
      <c r="C4363" s="56">
        <f t="shared" si="3"/>
        <v>43600</v>
      </c>
      <c r="D4363" s="56">
        <v>3.427</v>
      </c>
    </row>
    <row r="4364" ht="15.75" customHeight="1">
      <c r="B4364" s="370">
        <f t="shared" si="2"/>
        <v>0.5047453704</v>
      </c>
      <c r="C4364" s="56">
        <f t="shared" si="3"/>
        <v>43610</v>
      </c>
      <c r="D4364" s="56">
        <v>3.378</v>
      </c>
    </row>
    <row r="4365" ht="15.75" customHeight="1">
      <c r="B4365" s="370">
        <f t="shared" si="2"/>
        <v>0.5048611111</v>
      </c>
      <c r="C4365" s="56">
        <f t="shared" si="3"/>
        <v>43620</v>
      </c>
      <c r="D4365" s="56">
        <v>3.211</v>
      </c>
    </row>
    <row r="4366" ht="15.75" customHeight="1">
      <c r="B4366" s="370">
        <f t="shared" si="2"/>
        <v>0.5049768519</v>
      </c>
      <c r="C4366" s="56">
        <f t="shared" si="3"/>
        <v>43630</v>
      </c>
      <c r="D4366" s="56">
        <v>2.461</v>
      </c>
    </row>
    <row r="4367" ht="15.75" customHeight="1">
      <c r="B4367" s="370">
        <f t="shared" si="2"/>
        <v>0.5050925926</v>
      </c>
      <c r="C4367" s="56">
        <f t="shared" si="3"/>
        <v>43640</v>
      </c>
      <c r="D4367" s="56">
        <v>2.529</v>
      </c>
    </row>
    <row r="4368" ht="15.75" customHeight="1">
      <c r="B4368" s="370">
        <f t="shared" si="2"/>
        <v>0.5052083333</v>
      </c>
      <c r="C4368" s="56">
        <f t="shared" si="3"/>
        <v>43650</v>
      </c>
      <c r="D4368" s="56">
        <v>2.683</v>
      </c>
    </row>
    <row r="4369" ht="15.75" customHeight="1">
      <c r="B4369" s="370">
        <f t="shared" si="2"/>
        <v>0.5053240741</v>
      </c>
      <c r="C4369" s="56">
        <f t="shared" si="3"/>
        <v>43660</v>
      </c>
      <c r="D4369" s="56">
        <v>2.722</v>
      </c>
    </row>
    <row r="4370" ht="15.75" customHeight="1">
      <c r="B4370" s="370">
        <f t="shared" si="2"/>
        <v>0.5054398148</v>
      </c>
      <c r="C4370" s="56">
        <f t="shared" si="3"/>
        <v>43670</v>
      </c>
      <c r="D4370" s="56">
        <v>2.768</v>
      </c>
    </row>
    <row r="4371" ht="15.75" customHeight="1">
      <c r="B4371" s="370">
        <f t="shared" si="2"/>
        <v>0.5055555556</v>
      </c>
      <c r="C4371" s="56">
        <f t="shared" si="3"/>
        <v>43680</v>
      </c>
      <c r="D4371" s="56">
        <v>2.675</v>
      </c>
    </row>
    <row r="4372" ht="15.75" customHeight="1">
      <c r="B4372" s="370">
        <f t="shared" si="2"/>
        <v>0.5056712963</v>
      </c>
      <c r="C4372" s="56">
        <f t="shared" si="3"/>
        <v>43690</v>
      </c>
      <c r="D4372" s="56">
        <v>2.701</v>
      </c>
    </row>
    <row r="4373" ht="15.75" customHeight="1">
      <c r="B4373" s="370">
        <f t="shared" si="2"/>
        <v>0.505787037</v>
      </c>
      <c r="C4373" s="56">
        <f t="shared" si="3"/>
        <v>43700</v>
      </c>
      <c r="D4373" s="56">
        <v>3.176</v>
      </c>
    </row>
    <row r="4374" ht="15.75" customHeight="1">
      <c r="B4374" s="370">
        <f t="shared" si="2"/>
        <v>0.5059027778</v>
      </c>
      <c r="C4374" s="56">
        <f t="shared" si="3"/>
        <v>43710</v>
      </c>
      <c r="D4374" s="56">
        <v>3.237</v>
      </c>
    </row>
    <row r="4375" ht="15.75" customHeight="1">
      <c r="B4375" s="370">
        <f t="shared" si="2"/>
        <v>0.5060185185</v>
      </c>
      <c r="C4375" s="56">
        <f t="shared" si="3"/>
        <v>43720</v>
      </c>
      <c r="D4375" s="56">
        <v>3.345</v>
      </c>
    </row>
    <row r="4376" ht="15.75" customHeight="1">
      <c r="B4376" s="370">
        <f t="shared" si="2"/>
        <v>0.5061342593</v>
      </c>
      <c r="C4376" s="56">
        <f t="shared" si="3"/>
        <v>43730</v>
      </c>
      <c r="D4376" s="56">
        <v>3.228</v>
      </c>
    </row>
    <row r="4377" ht="15.75" customHeight="1">
      <c r="B4377" s="370">
        <f t="shared" si="2"/>
        <v>0.50625</v>
      </c>
      <c r="C4377" s="56">
        <f t="shared" si="3"/>
        <v>43740</v>
      </c>
      <c r="D4377" s="56">
        <v>2.791</v>
      </c>
    </row>
    <row r="4378" ht="15.75" customHeight="1">
      <c r="B4378" s="370">
        <f t="shared" si="2"/>
        <v>0.5063657407</v>
      </c>
      <c r="C4378" s="56">
        <f t="shared" si="3"/>
        <v>43750</v>
      </c>
      <c r="D4378" s="56">
        <v>2.412</v>
      </c>
    </row>
    <row r="4379" ht="15.75" customHeight="1">
      <c r="B4379" s="370">
        <f t="shared" si="2"/>
        <v>0.5064814815</v>
      </c>
      <c r="C4379" s="56">
        <f t="shared" si="3"/>
        <v>43760</v>
      </c>
      <c r="D4379" s="56">
        <v>2.02</v>
      </c>
    </row>
    <row r="4380" ht="15.75" customHeight="1">
      <c r="B4380" s="370">
        <f t="shared" si="2"/>
        <v>0.5065972222</v>
      </c>
      <c r="C4380" s="56">
        <f t="shared" si="3"/>
        <v>43770</v>
      </c>
      <c r="D4380" s="56">
        <v>2.297</v>
      </c>
    </row>
    <row r="4381" ht="15.75" customHeight="1">
      <c r="B4381" s="370">
        <f t="shared" si="2"/>
        <v>0.506712963</v>
      </c>
      <c r="C4381" s="56">
        <f t="shared" si="3"/>
        <v>43780</v>
      </c>
      <c r="D4381" s="56">
        <v>2.913</v>
      </c>
    </row>
    <row r="4382" ht="15.75" customHeight="1">
      <c r="B4382" s="370">
        <f t="shared" si="2"/>
        <v>0.5068287037</v>
      </c>
      <c r="C4382" s="56">
        <f t="shared" si="3"/>
        <v>43790</v>
      </c>
      <c r="D4382" s="56">
        <v>3.45</v>
      </c>
    </row>
    <row r="4383" ht="15.75" customHeight="1">
      <c r="B4383" s="370">
        <f t="shared" si="2"/>
        <v>0.5069444444</v>
      </c>
      <c r="C4383" s="56">
        <f t="shared" si="3"/>
        <v>43800</v>
      </c>
      <c r="D4383" s="56">
        <v>3.488</v>
      </c>
    </row>
    <row r="4384" ht="15.75" customHeight="1">
      <c r="B4384" s="370">
        <f t="shared" si="2"/>
        <v>0.5070601852</v>
      </c>
      <c r="C4384" s="56">
        <f t="shared" si="3"/>
        <v>43810</v>
      </c>
      <c r="D4384" s="56">
        <v>3.453</v>
      </c>
    </row>
    <row r="4385" ht="15.75" customHeight="1">
      <c r="B4385" s="370">
        <f t="shared" si="2"/>
        <v>0.5071759259</v>
      </c>
      <c r="C4385" s="56">
        <f t="shared" si="3"/>
        <v>43820</v>
      </c>
      <c r="D4385" s="56">
        <v>3.323</v>
      </c>
    </row>
    <row r="4386" ht="15.75" customHeight="1">
      <c r="B4386" s="370">
        <f t="shared" si="2"/>
        <v>0.5072916667</v>
      </c>
      <c r="C4386" s="56">
        <f t="shared" si="3"/>
        <v>43830</v>
      </c>
      <c r="D4386" s="56">
        <v>2.586</v>
      </c>
    </row>
    <row r="4387" ht="15.75" customHeight="1">
      <c r="B4387" s="370">
        <f t="shared" si="2"/>
        <v>0.5074074074</v>
      </c>
      <c r="C4387" s="56">
        <f t="shared" si="3"/>
        <v>43840</v>
      </c>
      <c r="D4387" s="56">
        <v>2.36</v>
      </c>
    </row>
    <row r="4388" ht="15.75" customHeight="1">
      <c r="B4388" s="370">
        <f t="shared" si="2"/>
        <v>0.5075231481</v>
      </c>
      <c r="C4388" s="56">
        <f t="shared" si="3"/>
        <v>43850</v>
      </c>
      <c r="D4388" s="56">
        <v>2.597</v>
      </c>
    </row>
    <row r="4389" ht="15.75" customHeight="1">
      <c r="B4389" s="370">
        <f t="shared" si="2"/>
        <v>0.5076388889</v>
      </c>
      <c r="C4389" s="56">
        <f t="shared" si="3"/>
        <v>43860</v>
      </c>
      <c r="D4389" s="56">
        <v>2.697</v>
      </c>
    </row>
    <row r="4390" ht="15.75" customHeight="1">
      <c r="B4390" s="370">
        <f t="shared" si="2"/>
        <v>0.5077546296</v>
      </c>
      <c r="C4390" s="56">
        <f t="shared" si="3"/>
        <v>43870</v>
      </c>
      <c r="D4390" s="56">
        <v>2.82</v>
      </c>
    </row>
    <row r="4391" ht="15.75" customHeight="1">
      <c r="B4391" s="370">
        <f t="shared" si="2"/>
        <v>0.5078703704</v>
      </c>
      <c r="C4391" s="56">
        <f t="shared" si="3"/>
        <v>43880</v>
      </c>
      <c r="D4391" s="56">
        <v>2.791</v>
      </c>
    </row>
    <row r="4392" ht="15.75" customHeight="1">
      <c r="B4392" s="370">
        <f t="shared" si="2"/>
        <v>0.5079861111</v>
      </c>
      <c r="C4392" s="56">
        <f t="shared" si="3"/>
        <v>43890</v>
      </c>
      <c r="D4392" s="56">
        <v>2.801</v>
      </c>
    </row>
    <row r="4393" ht="15.75" customHeight="1">
      <c r="B4393" s="370">
        <f t="shared" si="2"/>
        <v>0.5081018519</v>
      </c>
      <c r="C4393" s="56">
        <f t="shared" si="3"/>
        <v>43900</v>
      </c>
      <c r="D4393" s="56">
        <v>2.954</v>
      </c>
    </row>
    <row r="4394" ht="15.75" customHeight="1">
      <c r="B4394" s="370">
        <f t="shared" si="2"/>
        <v>0.5082175926</v>
      </c>
      <c r="C4394" s="56">
        <f t="shared" si="3"/>
        <v>43910</v>
      </c>
      <c r="D4394" s="56">
        <v>3.118</v>
      </c>
    </row>
    <row r="4395" ht="15.75" customHeight="1">
      <c r="B4395" s="370">
        <f t="shared" si="2"/>
        <v>0.5083333333</v>
      </c>
      <c r="C4395" s="56">
        <f t="shared" si="3"/>
        <v>43920</v>
      </c>
      <c r="D4395" s="56">
        <v>3.238</v>
      </c>
    </row>
    <row r="4396" ht="15.75" customHeight="1">
      <c r="B4396" s="370">
        <f t="shared" si="2"/>
        <v>0.5084490741</v>
      </c>
      <c r="C4396" s="56">
        <f t="shared" si="3"/>
        <v>43930</v>
      </c>
      <c r="D4396" s="56">
        <v>3.186</v>
      </c>
    </row>
    <row r="4397" ht="15.75" customHeight="1">
      <c r="B4397" s="370">
        <f t="shared" si="2"/>
        <v>0.5085648148</v>
      </c>
      <c r="C4397" s="56">
        <f t="shared" si="3"/>
        <v>43940</v>
      </c>
      <c r="D4397" s="56">
        <v>2.849</v>
      </c>
    </row>
    <row r="4398" ht="15.75" customHeight="1">
      <c r="B4398" s="370">
        <f t="shared" si="2"/>
        <v>0.5086805556</v>
      </c>
      <c r="C4398" s="56">
        <f t="shared" si="3"/>
        <v>43950</v>
      </c>
      <c r="D4398" s="56">
        <v>2.55</v>
      </c>
    </row>
    <row r="4399" ht="15.75" customHeight="1">
      <c r="B4399" s="370">
        <f t="shared" si="2"/>
        <v>0.5087962963</v>
      </c>
      <c r="C4399" s="56">
        <f t="shared" si="3"/>
        <v>43960</v>
      </c>
      <c r="D4399" s="56">
        <v>2.245</v>
      </c>
    </row>
    <row r="4400" ht="15.75" customHeight="1">
      <c r="B4400" s="370">
        <f t="shared" si="2"/>
        <v>0.508912037</v>
      </c>
      <c r="C4400" s="56">
        <f t="shared" si="3"/>
        <v>43970</v>
      </c>
      <c r="D4400" s="56">
        <v>2.052</v>
      </c>
    </row>
    <row r="4401" ht="15.75" customHeight="1">
      <c r="B4401" s="370">
        <f t="shared" si="2"/>
        <v>0.5090277778</v>
      </c>
      <c r="C4401" s="56">
        <f t="shared" si="3"/>
        <v>43980</v>
      </c>
      <c r="D4401" s="56">
        <v>2.792</v>
      </c>
    </row>
    <row r="4402" ht="15.75" customHeight="1">
      <c r="B4402" s="370">
        <f t="shared" si="2"/>
        <v>0.5091435185</v>
      </c>
      <c r="C4402" s="56">
        <f t="shared" si="3"/>
        <v>43990</v>
      </c>
      <c r="D4402" s="56">
        <v>3.427</v>
      </c>
    </row>
    <row r="4403" ht="15.75" customHeight="1">
      <c r="B4403" s="370">
        <f t="shared" si="2"/>
        <v>0.5092592593</v>
      </c>
      <c r="C4403" s="56">
        <f t="shared" si="3"/>
        <v>44000</v>
      </c>
      <c r="D4403" s="56">
        <v>3.519</v>
      </c>
    </row>
    <row r="4404" ht="15.75" customHeight="1">
      <c r="B4404" s="370">
        <f t="shared" si="2"/>
        <v>0.509375</v>
      </c>
      <c r="C4404" s="56">
        <f t="shared" si="3"/>
        <v>44010</v>
      </c>
      <c r="D4404" s="56">
        <v>3.494</v>
      </c>
    </row>
    <row r="4405" ht="15.75" customHeight="1">
      <c r="B4405" s="370">
        <f t="shared" si="2"/>
        <v>0.5094907407</v>
      </c>
      <c r="C4405" s="56">
        <f t="shared" si="3"/>
        <v>44020</v>
      </c>
      <c r="D4405" s="56">
        <v>3.42</v>
      </c>
    </row>
    <row r="4406" ht="15.75" customHeight="1">
      <c r="B4406" s="370">
        <f t="shared" si="2"/>
        <v>0.5096064815</v>
      </c>
      <c r="C4406" s="56">
        <f t="shared" si="3"/>
        <v>44030</v>
      </c>
      <c r="D4406" s="56">
        <v>2.841</v>
      </c>
    </row>
    <row r="4407" ht="15.75" customHeight="1">
      <c r="B4407" s="370">
        <f t="shared" si="2"/>
        <v>0.5097222222</v>
      </c>
      <c r="C4407" s="56">
        <f t="shared" si="3"/>
        <v>44040</v>
      </c>
      <c r="D4407" s="56">
        <v>2.072</v>
      </c>
    </row>
    <row r="4408" ht="15.75" customHeight="1">
      <c r="B4408" s="370">
        <f t="shared" si="2"/>
        <v>0.509837963</v>
      </c>
      <c r="C4408" s="56">
        <f t="shared" si="3"/>
        <v>44050</v>
      </c>
      <c r="D4408" s="56">
        <v>2.471</v>
      </c>
    </row>
    <row r="4409" ht="15.75" customHeight="1">
      <c r="B4409" s="370">
        <f t="shared" si="2"/>
        <v>0.5099537037</v>
      </c>
      <c r="C4409" s="56">
        <f t="shared" si="3"/>
        <v>44060</v>
      </c>
      <c r="D4409" s="56">
        <v>2.641</v>
      </c>
    </row>
    <row r="4410" ht="15.75" customHeight="1">
      <c r="B4410" s="370">
        <f t="shared" si="2"/>
        <v>0.5100694444</v>
      </c>
      <c r="C4410" s="56">
        <f t="shared" si="3"/>
        <v>44070</v>
      </c>
      <c r="D4410" s="56">
        <v>2.835</v>
      </c>
    </row>
    <row r="4411" ht="15.75" customHeight="1">
      <c r="B4411" s="370">
        <f t="shared" si="2"/>
        <v>0.5101851852</v>
      </c>
      <c r="C4411" s="56">
        <f t="shared" si="3"/>
        <v>44080</v>
      </c>
      <c r="D4411" s="56">
        <v>2.932</v>
      </c>
    </row>
    <row r="4412" ht="15.75" customHeight="1">
      <c r="B4412" s="370">
        <f t="shared" si="2"/>
        <v>0.5103009259</v>
      </c>
      <c r="C4412" s="56">
        <f t="shared" si="3"/>
        <v>44090</v>
      </c>
      <c r="D4412" s="56">
        <v>2.979</v>
      </c>
    </row>
    <row r="4413" ht="15.75" customHeight="1">
      <c r="B4413" s="370">
        <f t="shared" si="2"/>
        <v>0.5104166667</v>
      </c>
      <c r="C4413" s="56">
        <f t="shared" si="3"/>
        <v>44100</v>
      </c>
      <c r="D4413" s="56">
        <v>2.863</v>
      </c>
    </row>
    <row r="4414" ht="15.75" customHeight="1">
      <c r="B4414" s="370">
        <f t="shared" si="2"/>
        <v>0.5105324074</v>
      </c>
      <c r="C4414" s="56">
        <f t="shared" si="3"/>
        <v>44110</v>
      </c>
      <c r="D4414" s="56">
        <v>2.919</v>
      </c>
    </row>
    <row r="4415" ht="15.75" customHeight="1">
      <c r="B4415" s="370">
        <f t="shared" si="2"/>
        <v>0.5106481481</v>
      </c>
      <c r="C4415" s="56">
        <f t="shared" si="3"/>
        <v>44120</v>
      </c>
      <c r="D4415" s="56">
        <v>3.091</v>
      </c>
    </row>
    <row r="4416" ht="15.75" customHeight="1">
      <c r="B4416" s="370">
        <f t="shared" si="2"/>
        <v>0.5107638889</v>
      </c>
      <c r="C4416" s="56">
        <f t="shared" si="3"/>
        <v>44130</v>
      </c>
      <c r="D4416" s="56">
        <v>3.11</v>
      </c>
    </row>
    <row r="4417" ht="15.75" customHeight="1">
      <c r="B4417" s="370">
        <f t="shared" si="2"/>
        <v>0.5108796296</v>
      </c>
      <c r="C4417" s="56">
        <f t="shared" si="3"/>
        <v>44140</v>
      </c>
      <c r="D4417" s="56">
        <v>2.87</v>
      </c>
    </row>
    <row r="4418" ht="15.75" customHeight="1">
      <c r="B4418" s="370">
        <f t="shared" si="2"/>
        <v>0.5109953704</v>
      </c>
      <c r="C4418" s="56">
        <f t="shared" si="3"/>
        <v>44150</v>
      </c>
      <c r="D4418" s="56">
        <v>2.648</v>
      </c>
    </row>
    <row r="4419" ht="15.75" customHeight="1">
      <c r="B4419" s="370">
        <f t="shared" si="2"/>
        <v>0.5111111111</v>
      </c>
      <c r="C4419" s="56">
        <f t="shared" si="3"/>
        <v>44160</v>
      </c>
      <c r="D4419" s="56">
        <v>2.373</v>
      </c>
    </row>
    <row r="4420" ht="15.75" customHeight="1">
      <c r="B4420" s="370">
        <f t="shared" si="2"/>
        <v>0.5112268519</v>
      </c>
      <c r="C4420" s="56">
        <f t="shared" si="3"/>
        <v>44170</v>
      </c>
      <c r="D4420" s="56">
        <v>2.122</v>
      </c>
    </row>
    <row r="4421" ht="15.75" customHeight="1">
      <c r="B4421" s="370">
        <f t="shared" si="2"/>
        <v>0.5113425926</v>
      </c>
      <c r="C4421" s="56">
        <f t="shared" si="3"/>
        <v>44180</v>
      </c>
      <c r="D4421" s="56">
        <v>2.599</v>
      </c>
    </row>
    <row r="4422" ht="15.75" customHeight="1">
      <c r="B4422" s="370">
        <f t="shared" si="2"/>
        <v>0.5114583333</v>
      </c>
      <c r="C4422" s="56">
        <f t="shared" si="3"/>
        <v>44190</v>
      </c>
      <c r="D4422" s="56">
        <v>3.367</v>
      </c>
    </row>
    <row r="4423" ht="15.75" customHeight="1">
      <c r="B4423" s="370">
        <f t="shared" si="2"/>
        <v>0.5115740741</v>
      </c>
      <c r="C4423" s="56">
        <f t="shared" si="3"/>
        <v>44200</v>
      </c>
      <c r="D4423" s="56">
        <v>3.52</v>
      </c>
    </row>
    <row r="4424" ht="15.75" customHeight="1">
      <c r="B4424" s="370">
        <f t="shared" si="2"/>
        <v>0.5116898148</v>
      </c>
      <c r="C4424" s="56">
        <f t="shared" si="3"/>
        <v>44210</v>
      </c>
      <c r="D4424" s="56">
        <v>3.516</v>
      </c>
    </row>
    <row r="4425" ht="15.75" customHeight="1">
      <c r="B4425" s="370">
        <f t="shared" si="2"/>
        <v>0.5118055556</v>
      </c>
      <c r="C4425" s="56">
        <f t="shared" si="3"/>
        <v>44220</v>
      </c>
      <c r="D4425" s="56">
        <v>3.477</v>
      </c>
    </row>
    <row r="4426" ht="15.75" customHeight="1">
      <c r="B4426" s="370">
        <f t="shared" si="2"/>
        <v>0.5119212963</v>
      </c>
      <c r="C4426" s="56">
        <f t="shared" si="3"/>
        <v>44230</v>
      </c>
      <c r="D4426" s="56">
        <v>2.99</v>
      </c>
    </row>
    <row r="4427" ht="15.75" customHeight="1">
      <c r="B4427" s="370">
        <f t="shared" si="2"/>
        <v>0.512037037</v>
      </c>
      <c r="C4427" s="56">
        <f t="shared" si="3"/>
        <v>44240</v>
      </c>
      <c r="D4427" s="56">
        <v>2.118</v>
      </c>
    </row>
    <row r="4428" ht="15.75" customHeight="1">
      <c r="B4428" s="370">
        <f t="shared" si="2"/>
        <v>0.5121527778</v>
      </c>
      <c r="C4428" s="56">
        <f t="shared" si="3"/>
        <v>44250</v>
      </c>
      <c r="D4428" s="56">
        <v>2.311</v>
      </c>
    </row>
    <row r="4429" ht="15.75" customHeight="1">
      <c r="B4429" s="370">
        <f t="shared" si="2"/>
        <v>0.5122685185</v>
      </c>
      <c r="C4429" s="56">
        <f t="shared" si="3"/>
        <v>44260</v>
      </c>
      <c r="D4429" s="56">
        <v>2.547</v>
      </c>
    </row>
    <row r="4430" ht="15.75" customHeight="1">
      <c r="B4430" s="370">
        <f t="shared" si="2"/>
        <v>0.5123842593</v>
      </c>
      <c r="C4430" s="56">
        <f t="shared" si="3"/>
        <v>44270</v>
      </c>
      <c r="D4430" s="56">
        <v>2.815</v>
      </c>
    </row>
    <row r="4431" ht="15.75" customHeight="1">
      <c r="B4431" s="370">
        <f t="shared" si="2"/>
        <v>0.5125</v>
      </c>
      <c r="C4431" s="56">
        <f t="shared" si="3"/>
        <v>44280</v>
      </c>
      <c r="D4431" s="56">
        <v>3.008</v>
      </c>
    </row>
    <row r="4432" ht="15.75" customHeight="1">
      <c r="B4432" s="370">
        <f t="shared" si="2"/>
        <v>0.5126157407</v>
      </c>
      <c r="C4432" s="56">
        <f t="shared" si="3"/>
        <v>44290</v>
      </c>
      <c r="D4432" s="56">
        <v>3.136</v>
      </c>
    </row>
    <row r="4433" ht="15.75" customHeight="1">
      <c r="B4433" s="370">
        <f t="shared" si="2"/>
        <v>0.5127314815</v>
      </c>
      <c r="C4433" s="56">
        <f t="shared" si="3"/>
        <v>44300</v>
      </c>
      <c r="D4433" s="56">
        <v>2.929</v>
      </c>
    </row>
    <row r="4434" ht="15.75" customHeight="1">
      <c r="B4434" s="370">
        <f t="shared" si="2"/>
        <v>0.5128472222</v>
      </c>
      <c r="C4434" s="56">
        <f t="shared" si="3"/>
        <v>44310</v>
      </c>
      <c r="D4434" s="56">
        <v>2.924</v>
      </c>
    </row>
    <row r="4435" ht="15.75" customHeight="1">
      <c r="B4435" s="370">
        <f t="shared" si="2"/>
        <v>0.512962963</v>
      </c>
      <c r="C4435" s="56">
        <f t="shared" si="3"/>
        <v>44320</v>
      </c>
      <c r="D4435" s="56">
        <v>2.845</v>
      </c>
    </row>
    <row r="4436" ht="15.75" customHeight="1">
      <c r="B4436" s="370">
        <f t="shared" si="2"/>
        <v>0.5130787037</v>
      </c>
      <c r="C4436" s="56">
        <f t="shared" si="3"/>
        <v>44330</v>
      </c>
      <c r="D4436" s="56">
        <v>2.994</v>
      </c>
    </row>
    <row r="4437" ht="15.75" customHeight="1">
      <c r="B4437" s="370">
        <f t="shared" si="2"/>
        <v>0.5131944444</v>
      </c>
      <c r="C4437" s="56">
        <f t="shared" si="3"/>
        <v>44340</v>
      </c>
      <c r="D4437" s="56">
        <v>2.856</v>
      </c>
    </row>
    <row r="4438" ht="15.75" customHeight="1">
      <c r="B4438" s="370">
        <f t="shared" si="2"/>
        <v>0.5133101852</v>
      </c>
      <c r="C4438" s="56">
        <f t="shared" si="3"/>
        <v>44350</v>
      </c>
      <c r="D4438" s="56">
        <v>2.718</v>
      </c>
    </row>
    <row r="4439" ht="15.75" customHeight="1">
      <c r="B4439" s="370">
        <f t="shared" si="2"/>
        <v>0.5134259259</v>
      </c>
      <c r="C4439" s="56">
        <f t="shared" si="3"/>
        <v>44360</v>
      </c>
      <c r="D4439" s="56">
        <v>2.535</v>
      </c>
    </row>
    <row r="4440" ht="15.75" customHeight="1">
      <c r="B4440" s="370">
        <f t="shared" si="2"/>
        <v>0.5135416667</v>
      </c>
      <c r="C4440" s="56">
        <f t="shared" si="3"/>
        <v>44370</v>
      </c>
      <c r="D4440" s="56">
        <v>2.315</v>
      </c>
    </row>
    <row r="4441" ht="15.75" customHeight="1">
      <c r="B4441" s="370">
        <f t="shared" si="2"/>
        <v>0.5136574074</v>
      </c>
      <c r="C4441" s="56">
        <f t="shared" si="3"/>
        <v>44380</v>
      </c>
      <c r="D4441" s="56">
        <v>2.46</v>
      </c>
    </row>
    <row r="4442" ht="15.75" customHeight="1">
      <c r="B4442" s="370">
        <f t="shared" si="2"/>
        <v>0.5137731481</v>
      </c>
      <c r="C4442" s="56">
        <f t="shared" si="3"/>
        <v>44390</v>
      </c>
      <c r="D4442" s="56">
        <v>3.285</v>
      </c>
    </row>
    <row r="4443" ht="15.75" customHeight="1">
      <c r="B4443" s="370">
        <f t="shared" si="2"/>
        <v>0.5138888889</v>
      </c>
      <c r="C4443" s="56">
        <f t="shared" si="3"/>
        <v>44400</v>
      </c>
      <c r="D4443" s="56">
        <v>3.494</v>
      </c>
    </row>
    <row r="4444" ht="15.75" customHeight="1">
      <c r="B4444" s="370">
        <f t="shared" si="2"/>
        <v>0.5140046296</v>
      </c>
      <c r="C4444" s="56">
        <f t="shared" si="3"/>
        <v>44410</v>
      </c>
      <c r="D4444" s="56">
        <v>3.506</v>
      </c>
    </row>
    <row r="4445" ht="15.75" customHeight="1">
      <c r="B4445" s="370">
        <f t="shared" si="2"/>
        <v>0.5141203704</v>
      </c>
      <c r="C4445" s="56">
        <f t="shared" si="3"/>
        <v>44420</v>
      </c>
      <c r="D4445" s="56">
        <v>3.501</v>
      </c>
    </row>
    <row r="4446" ht="15.75" customHeight="1">
      <c r="B4446" s="370">
        <f t="shared" si="2"/>
        <v>0.5142361111</v>
      </c>
      <c r="C4446" s="56">
        <f t="shared" si="3"/>
        <v>44430</v>
      </c>
      <c r="D4446" s="56">
        <v>3.099</v>
      </c>
    </row>
    <row r="4447" ht="15.75" customHeight="1">
      <c r="B4447" s="370">
        <f t="shared" si="2"/>
        <v>0.5143518519</v>
      </c>
      <c r="C4447" s="56">
        <f t="shared" si="3"/>
        <v>44440</v>
      </c>
      <c r="D4447" s="56">
        <v>2.247</v>
      </c>
    </row>
    <row r="4448" ht="15.75" customHeight="1">
      <c r="B4448" s="370">
        <f t="shared" si="2"/>
        <v>0.5144675926</v>
      </c>
      <c r="C4448" s="56">
        <f t="shared" si="3"/>
        <v>44450</v>
      </c>
      <c r="D4448" s="56">
        <v>2.134</v>
      </c>
    </row>
    <row r="4449" ht="15.75" customHeight="1">
      <c r="B4449" s="370">
        <f t="shared" si="2"/>
        <v>0.5145833333</v>
      </c>
      <c r="C4449" s="56">
        <f t="shared" si="3"/>
        <v>44460</v>
      </c>
      <c r="D4449" s="56">
        <v>2.405</v>
      </c>
    </row>
    <row r="4450" ht="15.75" customHeight="1">
      <c r="B4450" s="370">
        <f t="shared" si="2"/>
        <v>0.5146990741</v>
      </c>
      <c r="C4450" s="56">
        <f t="shared" si="3"/>
        <v>44470</v>
      </c>
      <c r="D4450" s="56">
        <v>2.758</v>
      </c>
    </row>
    <row r="4451" ht="15.75" customHeight="1">
      <c r="B4451" s="370">
        <f t="shared" si="2"/>
        <v>0.5148148148</v>
      </c>
      <c r="C4451" s="56">
        <f t="shared" si="3"/>
        <v>44480</v>
      </c>
      <c r="D4451" s="56">
        <v>3.049</v>
      </c>
    </row>
    <row r="4452" ht="15.75" customHeight="1">
      <c r="B4452" s="370">
        <f t="shared" si="2"/>
        <v>0.5149305556</v>
      </c>
      <c r="C4452" s="56">
        <f t="shared" si="3"/>
        <v>44490</v>
      </c>
      <c r="D4452" s="56">
        <v>3.249</v>
      </c>
    </row>
    <row r="4453" ht="15.75" customHeight="1">
      <c r="B4453" s="370">
        <f t="shared" si="2"/>
        <v>0.5150462963</v>
      </c>
      <c r="C4453" s="56">
        <f t="shared" si="3"/>
        <v>44500</v>
      </c>
      <c r="D4453" s="56">
        <v>3.16</v>
      </c>
    </row>
    <row r="4454" ht="15.75" customHeight="1">
      <c r="B4454" s="370">
        <f t="shared" si="2"/>
        <v>0.515162037</v>
      </c>
      <c r="C4454" s="56">
        <f t="shared" si="3"/>
        <v>44510</v>
      </c>
      <c r="D4454" s="56">
        <v>3.064</v>
      </c>
    </row>
    <row r="4455" ht="15.75" customHeight="1">
      <c r="B4455" s="370">
        <f t="shared" si="2"/>
        <v>0.5152777778</v>
      </c>
      <c r="C4455" s="56">
        <f t="shared" si="3"/>
        <v>44520</v>
      </c>
      <c r="D4455" s="56">
        <v>2.803</v>
      </c>
    </row>
    <row r="4456" ht="15.75" customHeight="1">
      <c r="B4456" s="370">
        <f t="shared" si="2"/>
        <v>0.5153935185</v>
      </c>
      <c r="C4456" s="56">
        <f t="shared" si="3"/>
        <v>44530</v>
      </c>
      <c r="D4456" s="56">
        <v>2.847</v>
      </c>
    </row>
    <row r="4457" ht="15.75" customHeight="1">
      <c r="B4457" s="370">
        <f t="shared" si="2"/>
        <v>0.5155092593</v>
      </c>
      <c r="C4457" s="56">
        <f t="shared" si="3"/>
        <v>44540</v>
      </c>
      <c r="D4457" s="56">
        <v>2.803</v>
      </c>
    </row>
    <row r="4458" ht="15.75" customHeight="1">
      <c r="B4458" s="370">
        <f t="shared" si="2"/>
        <v>0.515625</v>
      </c>
      <c r="C4458" s="56">
        <f t="shared" si="3"/>
        <v>44550</v>
      </c>
      <c r="D4458" s="56">
        <v>2.751</v>
      </c>
    </row>
    <row r="4459" ht="15.75" customHeight="1">
      <c r="B4459" s="370">
        <f t="shared" si="2"/>
        <v>0.5157407407</v>
      </c>
      <c r="C4459" s="56">
        <f t="shared" si="3"/>
        <v>44560</v>
      </c>
      <c r="D4459" s="56">
        <v>2.633</v>
      </c>
    </row>
    <row r="4460" ht="15.75" customHeight="1">
      <c r="B4460" s="370">
        <f t="shared" si="2"/>
        <v>0.5158564815</v>
      </c>
      <c r="C4460" s="56">
        <f t="shared" si="3"/>
        <v>44570</v>
      </c>
      <c r="D4460" s="56">
        <v>2.492</v>
      </c>
    </row>
    <row r="4461" ht="15.75" customHeight="1">
      <c r="B4461" s="370">
        <f t="shared" si="2"/>
        <v>0.5159722222</v>
      </c>
      <c r="C4461" s="56">
        <f t="shared" si="3"/>
        <v>44580</v>
      </c>
      <c r="D4461" s="56">
        <v>2.225</v>
      </c>
    </row>
    <row r="4462" ht="15.75" customHeight="1">
      <c r="B4462" s="370">
        <f t="shared" si="2"/>
        <v>0.516087963</v>
      </c>
      <c r="C4462" s="56">
        <f t="shared" si="3"/>
        <v>44590</v>
      </c>
      <c r="D4462" s="56">
        <v>3.162</v>
      </c>
    </row>
    <row r="4463" ht="15.75" customHeight="1">
      <c r="B4463" s="370">
        <f t="shared" si="2"/>
        <v>0.5162037037</v>
      </c>
      <c r="C4463" s="56">
        <f t="shared" si="3"/>
        <v>44600</v>
      </c>
      <c r="D4463" s="56">
        <v>3.44</v>
      </c>
    </row>
    <row r="4464" ht="15.75" customHeight="1">
      <c r="B4464" s="370">
        <f t="shared" si="2"/>
        <v>0.5163194444</v>
      </c>
      <c r="C4464" s="56">
        <f t="shared" si="3"/>
        <v>44610</v>
      </c>
      <c r="D4464" s="56">
        <v>3.463</v>
      </c>
    </row>
    <row r="4465" ht="15.75" customHeight="1">
      <c r="B4465" s="370">
        <f t="shared" si="2"/>
        <v>0.5164351852</v>
      </c>
      <c r="C4465" s="56">
        <f t="shared" si="3"/>
        <v>44620</v>
      </c>
      <c r="D4465" s="56">
        <v>3.497</v>
      </c>
    </row>
    <row r="4466" ht="15.75" customHeight="1">
      <c r="B4466" s="370">
        <f t="shared" si="2"/>
        <v>0.5165509259</v>
      </c>
      <c r="C4466" s="56">
        <f t="shared" si="3"/>
        <v>44630</v>
      </c>
      <c r="D4466" s="56">
        <v>3.183</v>
      </c>
    </row>
    <row r="4467" ht="15.75" customHeight="1">
      <c r="B4467" s="370">
        <f t="shared" si="2"/>
        <v>0.5166666667</v>
      </c>
      <c r="C4467" s="56">
        <f t="shared" si="3"/>
        <v>44640</v>
      </c>
      <c r="D4467" s="56">
        <v>2.499</v>
      </c>
    </row>
    <row r="4468" ht="15.75" customHeight="1">
      <c r="B4468" s="370">
        <f t="shared" si="2"/>
        <v>0.5167824074</v>
      </c>
      <c r="C4468" s="56">
        <f t="shared" si="3"/>
        <v>44650</v>
      </c>
      <c r="D4468" s="56">
        <v>1.951</v>
      </c>
    </row>
    <row r="4469" ht="15.75" customHeight="1">
      <c r="B4469" s="370">
        <f t="shared" si="2"/>
        <v>0.5168981481</v>
      </c>
      <c r="C4469" s="56">
        <f t="shared" si="3"/>
        <v>44660</v>
      </c>
      <c r="D4469" s="56">
        <v>2.262</v>
      </c>
    </row>
    <row r="4470" ht="15.75" customHeight="1">
      <c r="B4470" s="370">
        <f t="shared" si="2"/>
        <v>0.5170138889</v>
      </c>
      <c r="C4470" s="56">
        <f t="shared" si="3"/>
        <v>44670</v>
      </c>
      <c r="D4470" s="56">
        <v>2.668</v>
      </c>
    </row>
    <row r="4471" ht="15.75" customHeight="1">
      <c r="B4471" s="370">
        <f t="shared" si="2"/>
        <v>0.5171296296</v>
      </c>
      <c r="C4471" s="56">
        <f t="shared" si="3"/>
        <v>44680</v>
      </c>
      <c r="D4471" s="56">
        <v>3.054</v>
      </c>
    </row>
    <row r="4472" ht="15.75" customHeight="1">
      <c r="B4472" s="370">
        <f t="shared" si="2"/>
        <v>0.5172453704</v>
      </c>
      <c r="C4472" s="56">
        <f t="shared" si="3"/>
        <v>44690</v>
      </c>
      <c r="D4472" s="56">
        <v>3.359</v>
      </c>
    </row>
    <row r="4473" ht="15.75" customHeight="1">
      <c r="B4473" s="370">
        <f t="shared" si="2"/>
        <v>0.5173611111</v>
      </c>
      <c r="C4473" s="56">
        <f t="shared" si="3"/>
        <v>44700</v>
      </c>
      <c r="D4473" s="56">
        <v>3.287</v>
      </c>
    </row>
    <row r="4474" ht="15.75" customHeight="1">
      <c r="B4474" s="370">
        <f t="shared" si="2"/>
        <v>0.5174768519</v>
      </c>
      <c r="C4474" s="56">
        <f t="shared" si="3"/>
        <v>44710</v>
      </c>
      <c r="D4474" s="56">
        <v>3.218</v>
      </c>
    </row>
    <row r="4475" ht="15.75" customHeight="1">
      <c r="B4475" s="370">
        <f t="shared" si="2"/>
        <v>0.5175925926</v>
      </c>
      <c r="C4475" s="56">
        <f t="shared" si="3"/>
        <v>44720</v>
      </c>
      <c r="D4475" s="56">
        <v>2.909</v>
      </c>
    </row>
    <row r="4476" ht="15.75" customHeight="1">
      <c r="B4476" s="370">
        <f t="shared" si="2"/>
        <v>0.5177083333</v>
      </c>
      <c r="C4476" s="56">
        <f t="shared" si="3"/>
        <v>44730</v>
      </c>
      <c r="D4476" s="56">
        <v>2.675</v>
      </c>
    </row>
    <row r="4477" ht="15.75" customHeight="1">
      <c r="B4477" s="370">
        <f t="shared" si="2"/>
        <v>0.5178240741</v>
      </c>
      <c r="C4477" s="56">
        <f t="shared" si="3"/>
        <v>44740</v>
      </c>
      <c r="D4477" s="56">
        <v>2.718</v>
      </c>
    </row>
    <row r="4478" ht="15.75" customHeight="1">
      <c r="B4478" s="370">
        <f t="shared" si="2"/>
        <v>0.5179398148</v>
      </c>
      <c r="C4478" s="56">
        <f t="shared" si="3"/>
        <v>44750</v>
      </c>
      <c r="D4478" s="56">
        <v>2.747</v>
      </c>
    </row>
    <row r="4479" ht="15.75" customHeight="1">
      <c r="B4479" s="370">
        <f t="shared" si="2"/>
        <v>0.5180555556</v>
      </c>
      <c r="C4479" s="56">
        <f t="shared" si="3"/>
        <v>44760</v>
      </c>
      <c r="D4479" s="56">
        <v>2.692</v>
      </c>
    </row>
    <row r="4480" ht="15.75" customHeight="1">
      <c r="B4480" s="370">
        <f t="shared" si="2"/>
        <v>0.5181712963</v>
      </c>
      <c r="C4480" s="56">
        <f t="shared" si="3"/>
        <v>44770</v>
      </c>
      <c r="D4480" s="56">
        <v>2.605</v>
      </c>
    </row>
    <row r="4481" ht="15.75" customHeight="1">
      <c r="B4481" s="370">
        <f t="shared" si="2"/>
        <v>0.518287037</v>
      </c>
      <c r="C4481" s="56">
        <f t="shared" si="3"/>
        <v>44780</v>
      </c>
      <c r="D4481" s="56">
        <v>2.408</v>
      </c>
    </row>
    <row r="4482" ht="15.75" customHeight="1">
      <c r="B4482" s="370">
        <f t="shared" si="2"/>
        <v>0.5184027778</v>
      </c>
      <c r="C4482" s="56">
        <f t="shared" si="3"/>
        <v>44790</v>
      </c>
      <c r="D4482" s="56">
        <v>2.968</v>
      </c>
    </row>
    <row r="4483" ht="15.75" customHeight="1">
      <c r="B4483" s="370">
        <f t="shared" si="2"/>
        <v>0.5185185185</v>
      </c>
      <c r="C4483" s="56">
        <f t="shared" si="3"/>
        <v>44800</v>
      </c>
      <c r="D4483" s="56">
        <v>3.346</v>
      </c>
    </row>
    <row r="4484" ht="15.75" customHeight="1">
      <c r="B4484" s="370">
        <f t="shared" si="2"/>
        <v>0.5186342593</v>
      </c>
      <c r="C4484" s="56">
        <f t="shared" si="3"/>
        <v>44810</v>
      </c>
      <c r="D4484" s="56">
        <v>3.4</v>
      </c>
    </row>
    <row r="4485" ht="15.75" customHeight="1">
      <c r="B4485" s="370">
        <f t="shared" si="2"/>
        <v>0.51875</v>
      </c>
      <c r="C4485" s="56">
        <f t="shared" si="3"/>
        <v>44820</v>
      </c>
      <c r="D4485" s="56">
        <v>3.461</v>
      </c>
    </row>
    <row r="4486" ht="15.75" customHeight="1">
      <c r="B4486" s="370">
        <f t="shared" si="2"/>
        <v>0.5188657407</v>
      </c>
      <c r="C4486" s="56">
        <f t="shared" si="3"/>
        <v>44830</v>
      </c>
      <c r="D4486" s="56">
        <v>3.227</v>
      </c>
    </row>
    <row r="4487" ht="15.75" customHeight="1">
      <c r="B4487" s="370">
        <f t="shared" si="2"/>
        <v>0.5189814815</v>
      </c>
      <c r="C4487" s="56">
        <f t="shared" si="3"/>
        <v>44840</v>
      </c>
      <c r="D4487" s="56">
        <v>2.643</v>
      </c>
    </row>
    <row r="4488" ht="15.75" customHeight="1">
      <c r="B4488" s="370">
        <f t="shared" si="2"/>
        <v>0.5190972222</v>
      </c>
      <c r="C4488" s="56">
        <f t="shared" si="3"/>
        <v>44850</v>
      </c>
      <c r="D4488" s="56">
        <v>2.157</v>
      </c>
    </row>
    <row r="4489" ht="15.75" customHeight="1">
      <c r="B4489" s="370">
        <f t="shared" si="2"/>
        <v>0.519212963</v>
      </c>
      <c r="C4489" s="56">
        <f t="shared" si="3"/>
        <v>44860</v>
      </c>
      <c r="D4489" s="56">
        <v>2.04</v>
      </c>
    </row>
    <row r="4490" ht="15.75" customHeight="1">
      <c r="B4490" s="370">
        <f t="shared" si="2"/>
        <v>0.5193287037</v>
      </c>
      <c r="C4490" s="56">
        <f t="shared" si="3"/>
        <v>44870</v>
      </c>
      <c r="D4490" s="56">
        <v>2.542</v>
      </c>
    </row>
    <row r="4491" ht="15.75" customHeight="1">
      <c r="B4491" s="370">
        <f t="shared" si="2"/>
        <v>0.5194444444</v>
      </c>
      <c r="C4491" s="56">
        <f t="shared" si="3"/>
        <v>44880</v>
      </c>
      <c r="D4491" s="56">
        <v>3.023</v>
      </c>
    </row>
    <row r="4492" ht="15.75" customHeight="1">
      <c r="B4492" s="370">
        <f t="shared" si="2"/>
        <v>0.5195601852</v>
      </c>
      <c r="C4492" s="56">
        <f t="shared" si="3"/>
        <v>44890</v>
      </c>
      <c r="D4492" s="56">
        <v>3.419</v>
      </c>
    </row>
    <row r="4493" ht="15.75" customHeight="1">
      <c r="B4493" s="370">
        <f t="shared" si="2"/>
        <v>0.5196759259</v>
      </c>
      <c r="C4493" s="56">
        <f t="shared" si="3"/>
        <v>44900</v>
      </c>
      <c r="D4493" s="56">
        <v>3.387</v>
      </c>
    </row>
    <row r="4494" ht="15.75" customHeight="1">
      <c r="B4494" s="370">
        <f t="shared" si="2"/>
        <v>0.5197916667</v>
      </c>
      <c r="C4494" s="56">
        <f t="shared" si="3"/>
        <v>44910</v>
      </c>
      <c r="D4494" s="56">
        <v>3.315</v>
      </c>
    </row>
    <row r="4495" ht="15.75" customHeight="1">
      <c r="B4495" s="370">
        <f t="shared" si="2"/>
        <v>0.5199074074</v>
      </c>
      <c r="C4495" s="56">
        <f t="shared" si="3"/>
        <v>44920</v>
      </c>
      <c r="D4495" s="56">
        <v>3.142</v>
      </c>
    </row>
    <row r="4496" ht="15.75" customHeight="1">
      <c r="B4496" s="370">
        <f t="shared" si="2"/>
        <v>0.5200231481</v>
      </c>
      <c r="C4496" s="56">
        <f t="shared" si="3"/>
        <v>44930</v>
      </c>
      <c r="D4496" s="56">
        <v>2.425</v>
      </c>
    </row>
    <row r="4497" ht="15.75" customHeight="1">
      <c r="B4497" s="370">
        <f t="shared" si="2"/>
        <v>0.5201388889</v>
      </c>
      <c r="C4497" s="56">
        <f t="shared" si="3"/>
        <v>44940</v>
      </c>
      <c r="D4497" s="56">
        <v>2.596</v>
      </c>
    </row>
    <row r="4498" ht="15.75" customHeight="1">
      <c r="B4498" s="370">
        <f t="shared" si="2"/>
        <v>0.5202546296</v>
      </c>
      <c r="C4498" s="56">
        <f t="shared" si="3"/>
        <v>44950</v>
      </c>
      <c r="D4498" s="56">
        <v>2.712</v>
      </c>
    </row>
    <row r="4499" ht="15.75" customHeight="1">
      <c r="B4499" s="370">
        <f t="shared" si="2"/>
        <v>0.5203703704</v>
      </c>
      <c r="C4499" s="56">
        <f t="shared" si="3"/>
        <v>44960</v>
      </c>
      <c r="D4499" s="56">
        <v>2.721</v>
      </c>
    </row>
    <row r="4500" ht="15.75" customHeight="1">
      <c r="B4500" s="370">
        <f t="shared" si="2"/>
        <v>0.5204861111</v>
      </c>
      <c r="C4500" s="56">
        <f t="shared" si="3"/>
        <v>44970</v>
      </c>
      <c r="D4500" s="56">
        <v>2.732</v>
      </c>
    </row>
    <row r="4501" ht="15.75" customHeight="1">
      <c r="B4501" s="370">
        <f t="shared" si="2"/>
        <v>0.5206018519</v>
      </c>
      <c r="C4501" s="56">
        <f t="shared" si="3"/>
        <v>44980</v>
      </c>
      <c r="D4501" s="56">
        <v>2.596</v>
      </c>
    </row>
    <row r="4502" ht="15.75" customHeight="1">
      <c r="B4502" s="370">
        <f t="shared" si="2"/>
        <v>0.5207175926</v>
      </c>
      <c r="C4502" s="56">
        <f t="shared" si="3"/>
        <v>44990</v>
      </c>
      <c r="D4502" s="56">
        <v>2.83</v>
      </c>
    </row>
    <row r="4503" ht="15.75" customHeight="1">
      <c r="B4503" s="370">
        <f t="shared" si="2"/>
        <v>0.5208333333</v>
      </c>
      <c r="C4503" s="56">
        <f t="shared" si="3"/>
        <v>45000</v>
      </c>
      <c r="D4503" s="56">
        <v>3.235</v>
      </c>
    </row>
    <row r="4504" ht="15.75" customHeight="1">
      <c r="B4504" s="370">
        <f t="shared" si="2"/>
        <v>0.5209490741</v>
      </c>
      <c r="C4504" s="56">
        <f t="shared" si="3"/>
        <v>45010</v>
      </c>
      <c r="D4504" s="56">
        <v>3.305</v>
      </c>
    </row>
    <row r="4505" ht="15.75" customHeight="1">
      <c r="B4505" s="370">
        <f t="shared" si="2"/>
        <v>0.5210648148</v>
      </c>
      <c r="C4505" s="56">
        <f t="shared" si="3"/>
        <v>45020</v>
      </c>
      <c r="D4505" s="56">
        <v>3.394</v>
      </c>
    </row>
    <row r="4506" ht="15.75" customHeight="1">
      <c r="B4506" s="370">
        <f t="shared" si="2"/>
        <v>0.5211805556</v>
      </c>
      <c r="C4506" s="56">
        <f t="shared" si="3"/>
        <v>45030</v>
      </c>
      <c r="D4506" s="56">
        <v>3.236</v>
      </c>
    </row>
    <row r="4507" ht="15.75" customHeight="1">
      <c r="B4507" s="370">
        <f t="shared" si="2"/>
        <v>0.5212962963</v>
      </c>
      <c r="C4507" s="56">
        <f t="shared" si="3"/>
        <v>45040</v>
      </c>
      <c r="D4507" s="56">
        <v>2.752</v>
      </c>
    </row>
    <row r="4508" ht="15.75" customHeight="1">
      <c r="B4508" s="370">
        <f t="shared" si="2"/>
        <v>0.521412037</v>
      </c>
      <c r="C4508" s="56">
        <f t="shared" si="3"/>
        <v>45050</v>
      </c>
      <c r="D4508" s="56">
        <v>2.287</v>
      </c>
    </row>
    <row r="4509" ht="15.75" customHeight="1">
      <c r="B4509" s="370">
        <f t="shared" si="2"/>
        <v>0.5215277778</v>
      </c>
      <c r="C4509" s="56">
        <f t="shared" si="3"/>
        <v>45060</v>
      </c>
      <c r="D4509" s="56">
        <v>1.966</v>
      </c>
    </row>
    <row r="4510" ht="15.75" customHeight="1">
      <c r="B4510" s="370">
        <f t="shared" si="2"/>
        <v>0.5216435185</v>
      </c>
      <c r="C4510" s="56">
        <f t="shared" si="3"/>
        <v>45070</v>
      </c>
      <c r="D4510" s="56">
        <v>2.334</v>
      </c>
    </row>
    <row r="4511" ht="15.75" customHeight="1">
      <c r="B4511" s="370">
        <f t="shared" si="2"/>
        <v>0.5217592593</v>
      </c>
      <c r="C4511" s="56">
        <f t="shared" si="3"/>
        <v>45080</v>
      </c>
      <c r="D4511" s="56">
        <v>2.956</v>
      </c>
    </row>
    <row r="4512" ht="15.75" customHeight="1">
      <c r="B4512" s="370">
        <f t="shared" si="2"/>
        <v>0.521875</v>
      </c>
      <c r="C4512" s="56">
        <f t="shared" si="3"/>
        <v>45090</v>
      </c>
      <c r="D4512" s="56">
        <v>3.444</v>
      </c>
    </row>
    <row r="4513" ht="15.75" customHeight="1">
      <c r="B4513" s="370">
        <f t="shared" si="2"/>
        <v>0.5219907407</v>
      </c>
      <c r="C4513" s="56">
        <f t="shared" si="3"/>
        <v>45100</v>
      </c>
      <c r="D4513" s="56">
        <v>3.466</v>
      </c>
    </row>
    <row r="4514" ht="15.75" customHeight="1">
      <c r="B4514" s="370">
        <f t="shared" si="2"/>
        <v>0.5221064815</v>
      </c>
      <c r="C4514" s="56">
        <f t="shared" si="3"/>
        <v>45110</v>
      </c>
      <c r="D4514" s="56">
        <v>3.421</v>
      </c>
    </row>
    <row r="4515" ht="15.75" customHeight="1">
      <c r="B4515" s="370">
        <f t="shared" si="2"/>
        <v>0.5222222222</v>
      </c>
      <c r="C4515" s="56">
        <f t="shared" si="3"/>
        <v>45120</v>
      </c>
      <c r="D4515" s="56">
        <v>3.28</v>
      </c>
    </row>
    <row r="4516" ht="15.75" customHeight="1">
      <c r="B4516" s="370">
        <f t="shared" si="2"/>
        <v>0.522337963</v>
      </c>
      <c r="C4516" s="56">
        <f t="shared" si="3"/>
        <v>45130</v>
      </c>
      <c r="D4516" s="56">
        <v>2.57</v>
      </c>
    </row>
    <row r="4517" ht="15.75" customHeight="1">
      <c r="B4517" s="370">
        <f t="shared" si="2"/>
        <v>0.5224537037</v>
      </c>
      <c r="C4517" s="56">
        <f t="shared" si="3"/>
        <v>45140</v>
      </c>
      <c r="D4517" s="56">
        <v>2.43</v>
      </c>
    </row>
    <row r="4518" ht="15.75" customHeight="1">
      <c r="B4518" s="370">
        <f t="shared" si="2"/>
        <v>0.5225694444</v>
      </c>
      <c r="C4518" s="56">
        <f t="shared" si="3"/>
        <v>45150</v>
      </c>
      <c r="D4518" s="56">
        <v>2.64</v>
      </c>
    </row>
    <row r="4519" ht="15.75" customHeight="1">
      <c r="B4519" s="370">
        <f t="shared" si="2"/>
        <v>0.5226851852</v>
      </c>
      <c r="C4519" s="56">
        <f t="shared" si="3"/>
        <v>45160</v>
      </c>
      <c r="D4519" s="56">
        <v>2.714</v>
      </c>
    </row>
    <row r="4520" ht="15.75" customHeight="1">
      <c r="B4520" s="370">
        <f t="shared" si="2"/>
        <v>0.5228009259</v>
      </c>
      <c r="C4520" s="56">
        <f t="shared" si="3"/>
        <v>45170</v>
      </c>
      <c r="D4520" s="56">
        <v>2.8</v>
      </c>
    </row>
    <row r="4521" ht="15.75" customHeight="1">
      <c r="B4521" s="370">
        <f t="shared" si="2"/>
        <v>0.5229166667</v>
      </c>
      <c r="C4521" s="56">
        <f t="shared" si="3"/>
        <v>45180</v>
      </c>
      <c r="D4521" s="56">
        <v>2.755</v>
      </c>
    </row>
    <row r="4522" ht="15.75" customHeight="1">
      <c r="B4522" s="370">
        <f t="shared" si="2"/>
        <v>0.5230324074</v>
      </c>
      <c r="C4522" s="56">
        <f t="shared" si="3"/>
        <v>45190</v>
      </c>
      <c r="D4522" s="56">
        <v>2.682</v>
      </c>
    </row>
    <row r="4523" ht="15.75" customHeight="1">
      <c r="B4523" s="370">
        <f t="shared" si="2"/>
        <v>0.5231481481</v>
      </c>
      <c r="C4523" s="56">
        <f t="shared" si="3"/>
        <v>45200</v>
      </c>
      <c r="D4523" s="56">
        <v>3.097</v>
      </c>
    </row>
    <row r="4524" ht="15.75" customHeight="1">
      <c r="B4524" s="370">
        <f t="shared" si="2"/>
        <v>0.5232638889</v>
      </c>
      <c r="C4524" s="56">
        <f t="shared" si="3"/>
        <v>45210</v>
      </c>
      <c r="D4524" s="56">
        <v>3.15</v>
      </c>
    </row>
    <row r="4525" ht="15.75" customHeight="1">
      <c r="B4525" s="370">
        <f t="shared" si="2"/>
        <v>0.5233796296</v>
      </c>
      <c r="C4525" s="56">
        <f t="shared" si="3"/>
        <v>45220</v>
      </c>
      <c r="D4525" s="56">
        <v>3.288</v>
      </c>
    </row>
    <row r="4526" ht="15.75" customHeight="1">
      <c r="B4526" s="370">
        <f t="shared" si="2"/>
        <v>0.5234953704</v>
      </c>
      <c r="C4526" s="56">
        <f t="shared" si="3"/>
        <v>45230</v>
      </c>
      <c r="D4526" s="56">
        <v>3.21</v>
      </c>
    </row>
    <row r="4527" ht="15.75" customHeight="1">
      <c r="B4527" s="370">
        <f t="shared" si="2"/>
        <v>0.5236111111</v>
      </c>
      <c r="C4527" s="56">
        <f t="shared" si="3"/>
        <v>45240</v>
      </c>
      <c r="D4527" s="56">
        <v>2.826</v>
      </c>
    </row>
    <row r="4528" ht="15.75" customHeight="1">
      <c r="B4528" s="370">
        <f t="shared" si="2"/>
        <v>0.5237268519</v>
      </c>
      <c r="C4528" s="56">
        <f t="shared" si="3"/>
        <v>45250</v>
      </c>
      <c r="D4528" s="56">
        <v>2.489</v>
      </c>
    </row>
    <row r="4529" ht="15.75" customHeight="1">
      <c r="B4529" s="370">
        <f t="shared" si="2"/>
        <v>0.5238425926</v>
      </c>
      <c r="C4529" s="56">
        <f t="shared" si="3"/>
        <v>45260</v>
      </c>
      <c r="D4529" s="56">
        <v>2.144</v>
      </c>
    </row>
    <row r="4530" ht="15.75" customHeight="1">
      <c r="B4530" s="370">
        <f t="shared" si="2"/>
        <v>0.5239583333</v>
      </c>
      <c r="C4530" s="56">
        <f t="shared" si="3"/>
        <v>45270</v>
      </c>
      <c r="D4530" s="56">
        <v>2.189</v>
      </c>
    </row>
    <row r="4531" ht="15.75" customHeight="1">
      <c r="B4531" s="370">
        <f t="shared" si="2"/>
        <v>0.5240740741</v>
      </c>
      <c r="C4531" s="56">
        <f t="shared" si="3"/>
        <v>45280</v>
      </c>
      <c r="D4531" s="56">
        <v>2.854</v>
      </c>
    </row>
    <row r="4532" ht="15.75" customHeight="1">
      <c r="B4532" s="370">
        <f t="shared" si="2"/>
        <v>0.5241898148</v>
      </c>
      <c r="C4532" s="56">
        <f t="shared" si="3"/>
        <v>45290</v>
      </c>
      <c r="D4532" s="56">
        <v>3.44</v>
      </c>
    </row>
    <row r="4533" ht="15.75" customHeight="1">
      <c r="B4533" s="370">
        <f t="shared" si="2"/>
        <v>0.5243055556</v>
      </c>
      <c r="C4533" s="56">
        <f t="shared" si="3"/>
        <v>45300</v>
      </c>
      <c r="D4533" s="56">
        <v>3.509</v>
      </c>
    </row>
    <row r="4534" ht="15.75" customHeight="1">
      <c r="B4534" s="370">
        <f t="shared" si="2"/>
        <v>0.5244212963</v>
      </c>
      <c r="C4534" s="56">
        <f t="shared" si="3"/>
        <v>45310</v>
      </c>
      <c r="D4534" s="56">
        <v>3.481</v>
      </c>
    </row>
    <row r="4535" ht="15.75" customHeight="1">
      <c r="B4535" s="370">
        <f t="shared" si="2"/>
        <v>0.524537037</v>
      </c>
      <c r="C4535" s="56">
        <f t="shared" si="3"/>
        <v>45320</v>
      </c>
      <c r="D4535" s="56">
        <v>3.377</v>
      </c>
    </row>
    <row r="4536" ht="15.75" customHeight="1">
      <c r="B4536" s="370">
        <f t="shared" si="2"/>
        <v>0.5246527778</v>
      </c>
      <c r="C4536" s="56">
        <f t="shared" si="3"/>
        <v>45330</v>
      </c>
      <c r="D4536" s="56">
        <v>2.697</v>
      </c>
    </row>
    <row r="4537" ht="15.75" customHeight="1">
      <c r="B4537" s="370">
        <f t="shared" si="2"/>
        <v>0.5247685185</v>
      </c>
      <c r="C4537" s="56">
        <f t="shared" si="3"/>
        <v>45340</v>
      </c>
      <c r="D4537" s="56">
        <v>2.254</v>
      </c>
    </row>
    <row r="4538" ht="15.75" customHeight="1">
      <c r="B4538" s="370">
        <f t="shared" si="2"/>
        <v>0.5248842593</v>
      </c>
      <c r="C4538" s="56">
        <f t="shared" si="3"/>
        <v>45350</v>
      </c>
      <c r="D4538" s="56">
        <v>2.534</v>
      </c>
    </row>
    <row r="4539" ht="15.75" customHeight="1">
      <c r="B4539" s="370">
        <f t="shared" si="2"/>
        <v>0.525</v>
      </c>
      <c r="C4539" s="56">
        <f t="shared" si="3"/>
        <v>45360</v>
      </c>
      <c r="D4539" s="56">
        <v>2.667</v>
      </c>
    </row>
    <row r="4540" ht="15.75" customHeight="1">
      <c r="B4540" s="370">
        <f t="shared" si="2"/>
        <v>0.5251157407</v>
      </c>
      <c r="C4540" s="56">
        <f t="shared" si="3"/>
        <v>45370</v>
      </c>
      <c r="D4540" s="56">
        <v>2.832</v>
      </c>
    </row>
    <row r="4541" ht="15.75" customHeight="1">
      <c r="B4541" s="370">
        <f t="shared" si="2"/>
        <v>0.5252314815</v>
      </c>
      <c r="C4541" s="56">
        <f t="shared" si="3"/>
        <v>45380</v>
      </c>
      <c r="D4541" s="56">
        <v>2.868</v>
      </c>
    </row>
    <row r="4542" ht="15.75" customHeight="1">
      <c r="B4542" s="370">
        <f t="shared" si="2"/>
        <v>0.5253472222</v>
      </c>
      <c r="C4542" s="56">
        <f t="shared" si="3"/>
        <v>45390</v>
      </c>
      <c r="D4542" s="56">
        <v>2.901</v>
      </c>
    </row>
    <row r="4543" ht="15.75" customHeight="1">
      <c r="B4543" s="370">
        <f t="shared" si="2"/>
        <v>0.525462963</v>
      </c>
      <c r="C4543" s="56">
        <f t="shared" si="3"/>
        <v>45400</v>
      </c>
      <c r="D4543" s="56">
        <v>2.873</v>
      </c>
    </row>
    <row r="4544" ht="15.75" customHeight="1">
      <c r="B4544" s="370">
        <f t="shared" si="2"/>
        <v>0.5255787037</v>
      </c>
      <c r="C4544" s="56">
        <f t="shared" si="3"/>
        <v>45410</v>
      </c>
      <c r="D4544" s="56">
        <v>3.038</v>
      </c>
    </row>
    <row r="4545" ht="15.75" customHeight="1">
      <c r="B4545" s="370">
        <f t="shared" si="2"/>
        <v>0.5256944444</v>
      </c>
      <c r="C4545" s="56">
        <f t="shared" si="3"/>
        <v>45420</v>
      </c>
      <c r="D4545" s="56">
        <v>3.158</v>
      </c>
    </row>
    <row r="4546" ht="15.75" customHeight="1">
      <c r="B4546" s="370">
        <f t="shared" si="2"/>
        <v>0.5258101852</v>
      </c>
      <c r="C4546" s="56">
        <f t="shared" si="3"/>
        <v>45430</v>
      </c>
      <c r="D4546" s="56">
        <v>3.149</v>
      </c>
    </row>
    <row r="4547" ht="15.75" customHeight="1">
      <c r="B4547" s="370">
        <f t="shared" si="2"/>
        <v>0.5259259259</v>
      </c>
      <c r="C4547" s="56">
        <f t="shared" si="3"/>
        <v>45440</v>
      </c>
      <c r="D4547" s="56">
        <v>2.865</v>
      </c>
    </row>
    <row r="4548" ht="15.75" customHeight="1">
      <c r="B4548" s="370">
        <f t="shared" si="2"/>
        <v>0.5260416667</v>
      </c>
      <c r="C4548" s="56">
        <f t="shared" si="3"/>
        <v>45450</v>
      </c>
      <c r="D4548" s="56">
        <v>2.609</v>
      </c>
    </row>
    <row r="4549" ht="15.75" customHeight="1">
      <c r="B4549" s="370">
        <f t="shared" si="2"/>
        <v>0.5261574074</v>
      </c>
      <c r="C4549" s="56">
        <f t="shared" si="3"/>
        <v>45460</v>
      </c>
      <c r="D4549" s="56">
        <v>2.335</v>
      </c>
    </row>
    <row r="4550" ht="15.75" customHeight="1">
      <c r="B4550" s="370">
        <f t="shared" si="2"/>
        <v>0.5262731481</v>
      </c>
      <c r="C4550" s="56">
        <f t="shared" si="3"/>
        <v>45470</v>
      </c>
      <c r="D4550" s="56">
        <v>2.007</v>
      </c>
    </row>
    <row r="4551" ht="15.75" customHeight="1">
      <c r="B4551" s="370">
        <f t="shared" si="2"/>
        <v>0.5263888889</v>
      </c>
      <c r="C4551" s="56">
        <f t="shared" si="3"/>
        <v>45480</v>
      </c>
      <c r="D4551" s="56">
        <v>2.716</v>
      </c>
    </row>
    <row r="4552" ht="15.75" customHeight="1">
      <c r="B4552" s="370">
        <f t="shared" si="2"/>
        <v>0.5265046296</v>
      </c>
      <c r="C4552" s="56">
        <f t="shared" si="3"/>
        <v>45490</v>
      </c>
      <c r="D4552" s="56">
        <v>3.401</v>
      </c>
    </row>
    <row r="4553" ht="15.75" customHeight="1">
      <c r="B4553" s="370">
        <f t="shared" si="2"/>
        <v>0.5266203704</v>
      </c>
      <c r="C4553" s="56">
        <f t="shared" si="3"/>
        <v>45500</v>
      </c>
      <c r="D4553" s="56">
        <v>3.522</v>
      </c>
    </row>
    <row r="4554" ht="15.75" customHeight="1">
      <c r="B4554" s="370">
        <f t="shared" si="2"/>
        <v>0.5267361111</v>
      </c>
      <c r="C4554" s="56">
        <f t="shared" si="3"/>
        <v>45510</v>
      </c>
      <c r="D4554" s="56">
        <v>3.509</v>
      </c>
    </row>
    <row r="4555" ht="15.75" customHeight="1">
      <c r="B4555" s="370">
        <f t="shared" si="2"/>
        <v>0.5268518519</v>
      </c>
      <c r="C4555" s="56">
        <f t="shared" si="3"/>
        <v>45520</v>
      </c>
      <c r="D4555" s="56">
        <v>3.453</v>
      </c>
    </row>
    <row r="4556" ht="15.75" customHeight="1">
      <c r="B4556" s="370">
        <f t="shared" si="2"/>
        <v>0.5269675926</v>
      </c>
      <c r="C4556" s="56">
        <f t="shared" si="3"/>
        <v>45530</v>
      </c>
      <c r="D4556" s="56">
        <v>2.924</v>
      </c>
    </row>
    <row r="4557" ht="15.75" customHeight="1">
      <c r="B4557" s="370">
        <f t="shared" si="2"/>
        <v>0.5270833333</v>
      </c>
      <c r="C4557" s="56">
        <f t="shared" si="3"/>
        <v>45540</v>
      </c>
      <c r="D4557" s="56">
        <v>2.031</v>
      </c>
    </row>
    <row r="4558" ht="15.75" customHeight="1">
      <c r="B4558" s="370">
        <f t="shared" si="2"/>
        <v>0.5271990741</v>
      </c>
      <c r="C4558" s="56">
        <f t="shared" si="3"/>
        <v>45550</v>
      </c>
      <c r="D4558" s="56">
        <v>2.394</v>
      </c>
    </row>
    <row r="4559" ht="15.75" customHeight="1">
      <c r="B4559" s="370">
        <f t="shared" si="2"/>
        <v>0.5273148148</v>
      </c>
      <c r="C4559" s="56">
        <f t="shared" si="3"/>
        <v>45560</v>
      </c>
      <c r="D4559" s="56">
        <v>2.596</v>
      </c>
    </row>
    <row r="4560" ht="15.75" customHeight="1">
      <c r="B4560" s="370">
        <f t="shared" si="2"/>
        <v>0.5274305556</v>
      </c>
      <c r="C4560" s="56">
        <f t="shared" si="3"/>
        <v>45570</v>
      </c>
      <c r="D4560" s="56">
        <v>2.829</v>
      </c>
    </row>
    <row r="4561" ht="15.75" customHeight="1">
      <c r="B4561" s="370">
        <f t="shared" si="2"/>
        <v>0.5275462963</v>
      </c>
      <c r="C4561" s="56">
        <f t="shared" si="3"/>
        <v>45580</v>
      </c>
      <c r="D4561" s="56">
        <v>2.977</v>
      </c>
    </row>
    <row r="4562" ht="15.75" customHeight="1">
      <c r="B4562" s="370">
        <f t="shared" si="2"/>
        <v>0.527662037</v>
      </c>
      <c r="C4562" s="56">
        <f t="shared" si="3"/>
        <v>45590</v>
      </c>
      <c r="D4562" s="56">
        <v>3.074</v>
      </c>
    </row>
    <row r="4563" ht="15.75" customHeight="1">
      <c r="B4563" s="370">
        <f t="shared" si="2"/>
        <v>0.5277777778</v>
      </c>
      <c r="C4563" s="56">
        <f t="shared" si="3"/>
        <v>45600</v>
      </c>
      <c r="D4563" s="56">
        <v>2.929</v>
      </c>
    </row>
    <row r="4564" ht="15.75" customHeight="1">
      <c r="B4564" s="370">
        <f t="shared" si="2"/>
        <v>0.5278935185</v>
      </c>
      <c r="C4564" s="56">
        <f t="shared" si="3"/>
        <v>45610</v>
      </c>
      <c r="D4564" s="56">
        <v>2.873</v>
      </c>
    </row>
    <row r="4565" ht="15.75" customHeight="1">
      <c r="B4565" s="370">
        <f t="shared" si="2"/>
        <v>0.5280092593</v>
      </c>
      <c r="C4565" s="56">
        <f t="shared" si="3"/>
        <v>45620</v>
      </c>
      <c r="D4565" s="56">
        <v>3.002</v>
      </c>
    </row>
    <row r="4566" ht="15.75" customHeight="1">
      <c r="B4566" s="370">
        <f t="shared" si="2"/>
        <v>0.528125</v>
      </c>
      <c r="C4566" s="56">
        <f t="shared" si="3"/>
        <v>45630</v>
      </c>
      <c r="D4566" s="56">
        <v>3.054</v>
      </c>
    </row>
    <row r="4567" ht="15.75" customHeight="1">
      <c r="B4567" s="370">
        <f t="shared" si="2"/>
        <v>0.5282407407</v>
      </c>
      <c r="C4567" s="56">
        <f t="shared" si="3"/>
        <v>45640</v>
      </c>
      <c r="D4567" s="56">
        <v>2.867</v>
      </c>
    </row>
    <row r="4568" ht="15.75" customHeight="1">
      <c r="B4568" s="370">
        <f t="shared" si="2"/>
        <v>0.5283564815</v>
      </c>
      <c r="C4568" s="56">
        <f t="shared" si="3"/>
        <v>45650</v>
      </c>
      <c r="D4568" s="56">
        <v>2.69</v>
      </c>
    </row>
    <row r="4569" ht="15.75" customHeight="1">
      <c r="B4569" s="370">
        <f t="shared" si="2"/>
        <v>0.5284722222</v>
      </c>
      <c r="C4569" s="56">
        <f t="shared" si="3"/>
        <v>45660</v>
      </c>
      <c r="D4569" s="56">
        <v>2.452</v>
      </c>
    </row>
    <row r="4570" ht="15.75" customHeight="1">
      <c r="B4570" s="370">
        <f t="shared" si="2"/>
        <v>0.528587963</v>
      </c>
      <c r="C4570" s="56">
        <f t="shared" si="3"/>
        <v>45670</v>
      </c>
      <c r="D4570" s="56">
        <v>2.232</v>
      </c>
    </row>
    <row r="4571" ht="15.75" customHeight="1">
      <c r="B4571" s="370">
        <f t="shared" si="2"/>
        <v>0.5287037037</v>
      </c>
      <c r="C4571" s="56">
        <f t="shared" si="3"/>
        <v>45680</v>
      </c>
      <c r="D4571" s="56">
        <v>2.488</v>
      </c>
    </row>
    <row r="4572" ht="15.75" customHeight="1">
      <c r="B4572" s="370">
        <f t="shared" si="2"/>
        <v>0.5288194444</v>
      </c>
      <c r="C4572" s="56">
        <f t="shared" si="3"/>
        <v>45690</v>
      </c>
      <c r="D4572" s="56">
        <v>3.323</v>
      </c>
    </row>
    <row r="4573" ht="15.75" customHeight="1">
      <c r="B4573" s="370">
        <f t="shared" si="2"/>
        <v>0.5289351852</v>
      </c>
      <c r="C4573" s="56">
        <f t="shared" si="3"/>
        <v>45700</v>
      </c>
      <c r="D4573" s="56">
        <v>3.511</v>
      </c>
    </row>
    <row r="4574" ht="15.75" customHeight="1">
      <c r="B4574" s="370">
        <f t="shared" si="2"/>
        <v>0.5290509259</v>
      </c>
      <c r="C4574" s="56">
        <f t="shared" si="3"/>
        <v>45710</v>
      </c>
      <c r="D4574" s="56">
        <v>3.514</v>
      </c>
    </row>
    <row r="4575" ht="15.75" customHeight="1">
      <c r="B4575" s="370">
        <f t="shared" si="2"/>
        <v>0.5291666667</v>
      </c>
      <c r="C4575" s="56">
        <f t="shared" si="3"/>
        <v>45720</v>
      </c>
      <c r="D4575" s="56">
        <v>3.495</v>
      </c>
    </row>
    <row r="4576" ht="15.75" customHeight="1">
      <c r="B4576" s="370">
        <f t="shared" si="2"/>
        <v>0.5292824074</v>
      </c>
      <c r="C4576" s="56">
        <f t="shared" si="3"/>
        <v>45730</v>
      </c>
      <c r="D4576" s="56">
        <v>3.055</v>
      </c>
    </row>
    <row r="4577" ht="15.75" customHeight="1">
      <c r="B4577" s="370">
        <f t="shared" si="2"/>
        <v>0.5293981481</v>
      </c>
      <c r="C4577" s="56">
        <f t="shared" si="3"/>
        <v>45740</v>
      </c>
      <c r="D4577" s="56">
        <v>2.232</v>
      </c>
    </row>
    <row r="4578" ht="15.75" customHeight="1">
      <c r="B4578" s="370">
        <f t="shared" si="2"/>
        <v>0.5295138889</v>
      </c>
      <c r="C4578" s="56">
        <f t="shared" si="3"/>
        <v>45750</v>
      </c>
      <c r="D4578" s="56">
        <v>2.203</v>
      </c>
    </row>
    <row r="4579" ht="15.75" customHeight="1">
      <c r="B4579" s="370">
        <f t="shared" si="2"/>
        <v>0.5296296296</v>
      </c>
      <c r="C4579" s="56">
        <f t="shared" si="3"/>
        <v>45760</v>
      </c>
      <c r="D4579" s="56">
        <v>2.484</v>
      </c>
    </row>
    <row r="4580" ht="15.75" customHeight="1">
      <c r="B4580" s="370">
        <f t="shared" si="2"/>
        <v>0.5297453704</v>
      </c>
      <c r="C4580" s="56">
        <f t="shared" si="3"/>
        <v>45770</v>
      </c>
      <c r="D4580" s="56">
        <v>2.79</v>
      </c>
    </row>
    <row r="4581" ht="15.75" customHeight="1">
      <c r="B4581" s="370">
        <f t="shared" si="2"/>
        <v>0.5298611111</v>
      </c>
      <c r="C4581" s="56">
        <f t="shared" si="3"/>
        <v>45780</v>
      </c>
      <c r="D4581" s="56">
        <v>3.035</v>
      </c>
    </row>
    <row r="4582" ht="15.75" customHeight="1">
      <c r="B4582" s="370">
        <f t="shared" si="2"/>
        <v>0.5299768519</v>
      </c>
      <c r="C4582" s="56">
        <f t="shared" si="3"/>
        <v>45790</v>
      </c>
      <c r="D4582" s="56">
        <v>3.207</v>
      </c>
    </row>
    <row r="4583" ht="15.75" customHeight="1">
      <c r="B4583" s="370">
        <f t="shared" si="2"/>
        <v>0.5300925926</v>
      </c>
      <c r="C4583" s="56">
        <f t="shared" si="3"/>
        <v>45800</v>
      </c>
      <c r="D4583" s="56">
        <v>3.026</v>
      </c>
    </row>
    <row r="4584" ht="15.75" customHeight="1">
      <c r="B4584" s="370">
        <f t="shared" si="2"/>
        <v>0.5302083333</v>
      </c>
      <c r="C4584" s="56">
        <f t="shared" si="3"/>
        <v>45810</v>
      </c>
      <c r="D4584" s="56">
        <v>3.01</v>
      </c>
    </row>
    <row r="4585" ht="15.75" customHeight="1">
      <c r="B4585" s="370">
        <f t="shared" si="2"/>
        <v>0.5303240741</v>
      </c>
      <c r="C4585" s="56">
        <f t="shared" si="3"/>
        <v>45820</v>
      </c>
      <c r="D4585" s="56">
        <v>2.782</v>
      </c>
    </row>
    <row r="4586" ht="15.75" customHeight="1">
      <c r="B4586" s="370">
        <f t="shared" si="2"/>
        <v>0.5304398148</v>
      </c>
      <c r="C4586" s="56">
        <f t="shared" si="3"/>
        <v>45830</v>
      </c>
      <c r="D4586" s="56">
        <v>2.921</v>
      </c>
    </row>
    <row r="4587" ht="15.75" customHeight="1">
      <c r="B4587" s="370">
        <f t="shared" si="2"/>
        <v>0.5305555556</v>
      </c>
      <c r="C4587" s="56">
        <f t="shared" si="3"/>
        <v>45840</v>
      </c>
      <c r="D4587" s="56">
        <v>2.833</v>
      </c>
    </row>
    <row r="4588" ht="15.75" customHeight="1">
      <c r="B4588" s="370">
        <f t="shared" si="2"/>
        <v>0.5306712963</v>
      </c>
      <c r="C4588" s="56">
        <f t="shared" si="3"/>
        <v>45850</v>
      </c>
      <c r="D4588" s="56">
        <v>2.741</v>
      </c>
    </row>
    <row r="4589" ht="15.75" customHeight="1">
      <c r="B4589" s="370">
        <f t="shared" si="2"/>
        <v>0.530787037</v>
      </c>
      <c r="C4589" s="56">
        <f t="shared" si="3"/>
        <v>45860</v>
      </c>
      <c r="D4589" s="56">
        <v>2.591</v>
      </c>
    </row>
    <row r="4590" ht="15.75" customHeight="1">
      <c r="B4590" s="370">
        <f t="shared" si="2"/>
        <v>0.5309027778</v>
      </c>
      <c r="C4590" s="56">
        <f t="shared" si="3"/>
        <v>45870</v>
      </c>
      <c r="D4590" s="56">
        <v>2.419</v>
      </c>
    </row>
    <row r="4591" ht="15.75" customHeight="1">
      <c r="B4591" s="370">
        <f t="shared" si="2"/>
        <v>0.5310185185</v>
      </c>
      <c r="C4591" s="56">
        <f t="shared" si="3"/>
        <v>45880</v>
      </c>
      <c r="D4591" s="56">
        <v>2.353</v>
      </c>
    </row>
    <row r="4592" ht="15.75" customHeight="1">
      <c r="B4592" s="370">
        <f t="shared" si="2"/>
        <v>0.5311342593</v>
      </c>
      <c r="C4592" s="56">
        <f t="shared" si="3"/>
        <v>45890</v>
      </c>
      <c r="D4592" s="56">
        <v>3.225</v>
      </c>
    </row>
    <row r="4593" ht="15.75" customHeight="1">
      <c r="B4593" s="370">
        <f t="shared" si="2"/>
        <v>0.53125</v>
      </c>
      <c r="C4593" s="56">
        <f t="shared" si="3"/>
        <v>45900</v>
      </c>
      <c r="D4593" s="56">
        <v>3.467</v>
      </c>
    </row>
    <row r="4594" ht="15.75" customHeight="1">
      <c r="B4594" s="370">
        <f t="shared" si="2"/>
        <v>0.5313657407</v>
      </c>
      <c r="C4594" s="56">
        <f t="shared" si="3"/>
        <v>45910</v>
      </c>
      <c r="D4594" s="56">
        <v>3.49</v>
      </c>
    </row>
    <row r="4595" ht="15.75" customHeight="1">
      <c r="B4595" s="370">
        <f t="shared" si="2"/>
        <v>0.5314814815</v>
      </c>
      <c r="C4595" s="56">
        <f t="shared" si="3"/>
        <v>45920</v>
      </c>
      <c r="D4595" s="56">
        <v>3.502</v>
      </c>
    </row>
    <row r="4596" ht="15.75" customHeight="1">
      <c r="B4596" s="370">
        <f t="shared" si="2"/>
        <v>0.5315972222</v>
      </c>
      <c r="C4596" s="56">
        <f t="shared" si="3"/>
        <v>45930</v>
      </c>
      <c r="D4596" s="56">
        <v>3.147</v>
      </c>
    </row>
    <row r="4597" ht="15.75" customHeight="1">
      <c r="B4597" s="370">
        <f t="shared" si="2"/>
        <v>0.531712963</v>
      </c>
      <c r="C4597" s="56">
        <f t="shared" si="3"/>
        <v>45940</v>
      </c>
      <c r="D4597" s="56">
        <v>2.357</v>
      </c>
    </row>
    <row r="4598" ht="15.75" customHeight="1">
      <c r="B4598" s="370">
        <f t="shared" si="2"/>
        <v>0.5318287037</v>
      </c>
      <c r="C4598" s="56">
        <f t="shared" si="3"/>
        <v>45950</v>
      </c>
      <c r="D4598" s="56">
        <v>2.028</v>
      </c>
    </row>
    <row r="4599" ht="15.75" customHeight="1">
      <c r="B4599" s="370">
        <f t="shared" si="2"/>
        <v>0.5319444444</v>
      </c>
      <c r="C4599" s="56">
        <f t="shared" si="3"/>
        <v>45960</v>
      </c>
      <c r="D4599" s="56">
        <v>2.31</v>
      </c>
    </row>
    <row r="4600" ht="15.75" customHeight="1">
      <c r="B4600" s="370">
        <f t="shared" si="2"/>
        <v>0.5320601852</v>
      </c>
      <c r="C4600" s="56">
        <f t="shared" si="3"/>
        <v>45970</v>
      </c>
      <c r="D4600" s="56">
        <v>2.713</v>
      </c>
    </row>
    <row r="4601" ht="15.75" customHeight="1">
      <c r="B4601" s="370">
        <f t="shared" si="2"/>
        <v>0.5321759259</v>
      </c>
      <c r="C4601" s="56">
        <f t="shared" si="3"/>
        <v>45980</v>
      </c>
      <c r="D4601" s="56">
        <v>3.057</v>
      </c>
    </row>
    <row r="4602" ht="15.75" customHeight="1">
      <c r="B4602" s="370">
        <f t="shared" si="2"/>
        <v>0.5322916667</v>
      </c>
      <c r="C4602" s="56">
        <f t="shared" si="3"/>
        <v>45990</v>
      </c>
      <c r="D4602" s="56">
        <v>3.311</v>
      </c>
    </row>
    <row r="4603" ht="15.75" customHeight="1">
      <c r="B4603" s="370">
        <f t="shared" si="2"/>
        <v>0.5324074074</v>
      </c>
      <c r="C4603" s="56">
        <f t="shared" si="3"/>
        <v>46000</v>
      </c>
      <c r="D4603" s="56">
        <v>3.231</v>
      </c>
    </row>
    <row r="4604" ht="15.75" customHeight="1">
      <c r="B4604" s="370">
        <f t="shared" si="2"/>
        <v>0.5325231481</v>
      </c>
      <c r="C4604" s="56">
        <f t="shared" si="3"/>
        <v>46010</v>
      </c>
      <c r="D4604" s="56">
        <v>3.154</v>
      </c>
    </row>
    <row r="4605" ht="15.75" customHeight="1">
      <c r="B4605" s="370">
        <f t="shared" si="2"/>
        <v>0.5326388889</v>
      </c>
      <c r="C4605" s="56">
        <f t="shared" si="3"/>
        <v>46020</v>
      </c>
      <c r="D4605" s="56">
        <v>2.897</v>
      </c>
    </row>
    <row r="4606" ht="15.75" customHeight="1">
      <c r="B4606" s="370">
        <f t="shared" si="2"/>
        <v>0.5327546296</v>
      </c>
      <c r="C4606" s="56">
        <f t="shared" si="3"/>
        <v>46030</v>
      </c>
      <c r="D4606" s="56">
        <v>2.746</v>
      </c>
    </row>
    <row r="4607" ht="15.75" customHeight="1">
      <c r="B4607" s="370">
        <f t="shared" si="2"/>
        <v>0.5328703704</v>
      </c>
      <c r="C4607" s="56">
        <f t="shared" si="3"/>
        <v>46040</v>
      </c>
      <c r="D4607" s="56">
        <v>2.762</v>
      </c>
    </row>
    <row r="4608" ht="15.75" customHeight="1">
      <c r="B4608" s="370">
        <f t="shared" si="2"/>
        <v>0.5329861111</v>
      </c>
      <c r="C4608" s="56">
        <f t="shared" si="3"/>
        <v>46050</v>
      </c>
      <c r="D4608" s="56">
        <v>2.755</v>
      </c>
    </row>
    <row r="4609" ht="15.75" customHeight="1">
      <c r="B4609" s="370">
        <f t="shared" si="2"/>
        <v>0.5331018519</v>
      </c>
      <c r="C4609" s="56">
        <f t="shared" si="3"/>
        <v>46060</v>
      </c>
      <c r="D4609" s="56">
        <v>2.669</v>
      </c>
    </row>
    <row r="4610" ht="15.75" customHeight="1">
      <c r="B4610" s="370">
        <f t="shared" si="2"/>
        <v>0.5332175926</v>
      </c>
      <c r="C4610" s="56">
        <f t="shared" si="3"/>
        <v>46070</v>
      </c>
      <c r="D4610" s="56">
        <v>2.569</v>
      </c>
    </row>
    <row r="4611" ht="15.75" customHeight="1">
      <c r="B4611" s="370">
        <f t="shared" si="2"/>
        <v>0.5333333333</v>
      </c>
      <c r="C4611" s="56">
        <f t="shared" si="3"/>
        <v>46080</v>
      </c>
      <c r="D4611" s="56">
        <v>2.23</v>
      </c>
    </row>
    <row r="4612" ht="15.75" customHeight="1">
      <c r="B4612" s="370">
        <f t="shared" si="2"/>
        <v>0.5334490741</v>
      </c>
      <c r="C4612" s="56">
        <f t="shared" si="3"/>
        <v>46090</v>
      </c>
      <c r="D4612" s="56">
        <v>3.084</v>
      </c>
    </row>
    <row r="4613" ht="15.75" customHeight="1">
      <c r="B4613" s="370">
        <f t="shared" si="2"/>
        <v>0.5335648148</v>
      </c>
      <c r="C4613" s="56">
        <f t="shared" si="3"/>
        <v>46100</v>
      </c>
      <c r="D4613" s="56">
        <v>3.395</v>
      </c>
    </row>
    <row r="4614" ht="15.75" customHeight="1">
      <c r="B4614" s="370">
        <f t="shared" si="2"/>
        <v>0.5336805556</v>
      </c>
      <c r="C4614" s="56">
        <f t="shared" si="3"/>
        <v>46110</v>
      </c>
      <c r="D4614" s="56">
        <v>3.431</v>
      </c>
    </row>
    <row r="4615" ht="15.75" customHeight="1">
      <c r="B4615" s="370">
        <f t="shared" si="2"/>
        <v>0.5337962963</v>
      </c>
      <c r="C4615" s="56">
        <f t="shared" si="3"/>
        <v>46120</v>
      </c>
      <c r="D4615" s="56">
        <v>3.48</v>
      </c>
    </row>
    <row r="4616" ht="15.75" customHeight="1">
      <c r="B4616" s="370">
        <f t="shared" si="2"/>
        <v>0.533912037</v>
      </c>
      <c r="C4616" s="56">
        <f t="shared" si="3"/>
        <v>46130</v>
      </c>
      <c r="D4616" s="56">
        <v>3.212</v>
      </c>
    </row>
    <row r="4617" ht="15.75" customHeight="1">
      <c r="B4617" s="370">
        <f t="shared" si="2"/>
        <v>0.5340277778</v>
      </c>
      <c r="C4617" s="56">
        <f t="shared" si="3"/>
        <v>46140</v>
      </c>
      <c r="D4617" s="56">
        <v>2.58</v>
      </c>
    </row>
    <row r="4618" ht="15.75" customHeight="1">
      <c r="B4618" s="370">
        <f t="shared" si="2"/>
        <v>0.5341435185</v>
      </c>
      <c r="C4618" s="56">
        <f t="shared" si="3"/>
        <v>46150</v>
      </c>
      <c r="D4618" s="56">
        <v>2.026</v>
      </c>
    </row>
    <row r="4619" ht="15.75" customHeight="1">
      <c r="B4619" s="370">
        <f t="shared" si="2"/>
        <v>0.5342592593</v>
      </c>
      <c r="C4619" s="56">
        <f t="shared" si="3"/>
        <v>46160</v>
      </c>
      <c r="D4619" s="56">
        <v>2.167</v>
      </c>
    </row>
    <row r="4620" ht="15.75" customHeight="1">
      <c r="B4620" s="370">
        <f t="shared" si="2"/>
        <v>0.534375</v>
      </c>
      <c r="C4620" s="56">
        <f t="shared" si="3"/>
        <v>46170</v>
      </c>
      <c r="D4620" s="56">
        <v>2.604</v>
      </c>
    </row>
    <row r="4621" ht="15.75" customHeight="1">
      <c r="B4621" s="370">
        <f t="shared" si="2"/>
        <v>0.5344907407</v>
      </c>
      <c r="C4621" s="56">
        <f t="shared" si="3"/>
        <v>46180</v>
      </c>
      <c r="D4621" s="56">
        <v>3.042</v>
      </c>
    </row>
    <row r="4622" ht="15.75" customHeight="1">
      <c r="B4622" s="370">
        <f t="shared" si="2"/>
        <v>0.5346064815</v>
      </c>
      <c r="C4622" s="56">
        <f t="shared" si="3"/>
        <v>46190</v>
      </c>
      <c r="D4622" s="56">
        <v>3.395</v>
      </c>
    </row>
    <row r="4623" ht="15.75" customHeight="1">
      <c r="B4623" s="370">
        <f t="shared" si="2"/>
        <v>0.5347222222</v>
      </c>
      <c r="C4623" s="56">
        <f t="shared" si="3"/>
        <v>46200</v>
      </c>
      <c r="D4623" s="56">
        <v>3.348</v>
      </c>
    </row>
    <row r="4624" ht="15.75" customHeight="1">
      <c r="B4624" s="370">
        <f t="shared" si="2"/>
        <v>0.534837963</v>
      </c>
      <c r="C4624" s="56">
        <f t="shared" si="3"/>
        <v>46210</v>
      </c>
      <c r="D4624" s="56">
        <v>3.281</v>
      </c>
    </row>
    <row r="4625" ht="15.75" customHeight="1">
      <c r="B4625" s="370">
        <f t="shared" si="2"/>
        <v>0.5349537037</v>
      </c>
      <c r="C4625" s="56">
        <f t="shared" si="3"/>
        <v>46220</v>
      </c>
      <c r="D4625" s="56">
        <v>3.015</v>
      </c>
    </row>
    <row r="4626" ht="15.75" customHeight="1">
      <c r="B4626" s="370">
        <f t="shared" si="2"/>
        <v>0.5350694444</v>
      </c>
      <c r="C4626" s="56">
        <f t="shared" si="3"/>
        <v>46230</v>
      </c>
      <c r="D4626" s="56">
        <v>2.569</v>
      </c>
    </row>
    <row r="4627" ht="15.75" customHeight="1">
      <c r="B4627" s="370">
        <f t="shared" si="2"/>
        <v>0.5351851852</v>
      </c>
      <c r="C4627" s="56">
        <f t="shared" si="3"/>
        <v>46240</v>
      </c>
      <c r="D4627" s="56">
        <v>2.656</v>
      </c>
    </row>
    <row r="4628" ht="15.75" customHeight="1">
      <c r="B4628" s="370">
        <f t="shared" si="2"/>
        <v>0.5353009259</v>
      </c>
      <c r="C4628" s="56">
        <f t="shared" si="3"/>
        <v>46250</v>
      </c>
      <c r="D4628" s="56">
        <v>2.735</v>
      </c>
    </row>
    <row r="4629" ht="15.75" customHeight="1">
      <c r="B4629" s="370">
        <f t="shared" si="2"/>
        <v>0.5354166667</v>
      </c>
      <c r="C4629" s="56">
        <f t="shared" si="3"/>
        <v>46260</v>
      </c>
      <c r="D4629" s="56">
        <v>2.711</v>
      </c>
    </row>
    <row r="4630" ht="15.75" customHeight="1">
      <c r="B4630" s="370">
        <f t="shared" si="2"/>
        <v>0.5355324074</v>
      </c>
      <c r="C4630" s="56">
        <f t="shared" si="3"/>
        <v>46270</v>
      </c>
      <c r="D4630" s="56">
        <v>2.676</v>
      </c>
    </row>
    <row r="4631" ht="15.75" customHeight="1">
      <c r="B4631" s="370">
        <f t="shared" si="2"/>
        <v>0.5356481481</v>
      </c>
      <c r="C4631" s="56">
        <f t="shared" si="3"/>
        <v>46280</v>
      </c>
      <c r="D4631" s="56">
        <v>2.513</v>
      </c>
    </row>
    <row r="4632" ht="15.75" customHeight="1">
      <c r="B4632" s="370">
        <f t="shared" si="2"/>
        <v>0.5357638889</v>
      </c>
      <c r="C4632" s="56">
        <f t="shared" si="3"/>
        <v>46290</v>
      </c>
      <c r="D4632" s="56">
        <v>2.858</v>
      </c>
    </row>
    <row r="4633" ht="15.75" customHeight="1">
      <c r="B4633" s="370">
        <f t="shared" si="2"/>
        <v>0.5358796296</v>
      </c>
      <c r="C4633" s="56">
        <f t="shared" si="3"/>
        <v>46300</v>
      </c>
      <c r="D4633" s="56">
        <v>3.289</v>
      </c>
    </row>
    <row r="4634" ht="15.75" customHeight="1">
      <c r="B4634" s="370">
        <f t="shared" si="2"/>
        <v>0.5359953704</v>
      </c>
      <c r="C4634" s="56">
        <f t="shared" si="3"/>
        <v>46310</v>
      </c>
      <c r="D4634" s="56">
        <v>3.353</v>
      </c>
    </row>
    <row r="4635" ht="15.75" customHeight="1">
      <c r="B4635" s="370">
        <f t="shared" si="2"/>
        <v>0.5361111111</v>
      </c>
      <c r="C4635" s="56">
        <f t="shared" si="3"/>
        <v>46320</v>
      </c>
      <c r="D4635" s="56">
        <v>3.427</v>
      </c>
    </row>
    <row r="4636" ht="15.75" customHeight="1">
      <c r="B4636" s="370">
        <f t="shared" si="2"/>
        <v>0.5362268519</v>
      </c>
      <c r="C4636" s="56">
        <f t="shared" si="3"/>
        <v>46330</v>
      </c>
      <c r="D4636" s="56">
        <v>3.237</v>
      </c>
    </row>
    <row r="4637" ht="15.75" customHeight="1">
      <c r="B4637" s="370">
        <f t="shared" si="2"/>
        <v>0.5363425926</v>
      </c>
      <c r="C4637" s="56">
        <f t="shared" si="3"/>
        <v>46340</v>
      </c>
      <c r="D4637" s="56">
        <v>2.706</v>
      </c>
    </row>
    <row r="4638" ht="15.75" customHeight="1">
      <c r="B4638" s="370">
        <f t="shared" si="2"/>
        <v>0.5364583333</v>
      </c>
      <c r="C4638" s="56">
        <f t="shared" si="3"/>
        <v>46350</v>
      </c>
      <c r="D4638" s="56">
        <v>2.258</v>
      </c>
    </row>
    <row r="4639" ht="15.75" customHeight="1">
      <c r="B4639" s="370">
        <f t="shared" si="2"/>
        <v>0.5365740741</v>
      </c>
      <c r="C4639" s="56">
        <f t="shared" si="3"/>
        <v>46360</v>
      </c>
      <c r="D4639" s="56">
        <v>1.933</v>
      </c>
    </row>
    <row r="4640" ht="15.75" customHeight="1">
      <c r="B4640" s="370">
        <f t="shared" si="2"/>
        <v>0.5366898148</v>
      </c>
      <c r="C4640" s="56">
        <f t="shared" si="3"/>
        <v>46370</v>
      </c>
      <c r="D4640" s="56">
        <v>2.46</v>
      </c>
    </row>
    <row r="4641" ht="15.75" customHeight="1">
      <c r="B4641" s="370">
        <f t="shared" si="2"/>
        <v>0.5368055556</v>
      </c>
      <c r="C4641" s="56">
        <f t="shared" si="3"/>
        <v>46380</v>
      </c>
      <c r="D4641" s="56">
        <v>2.992</v>
      </c>
    </row>
    <row r="4642" ht="15.75" customHeight="1">
      <c r="B4642" s="370">
        <f t="shared" si="2"/>
        <v>0.5369212963</v>
      </c>
      <c r="C4642" s="56">
        <f t="shared" si="3"/>
        <v>46390</v>
      </c>
      <c r="D4642" s="56">
        <v>3.435</v>
      </c>
    </row>
    <row r="4643" ht="15.75" customHeight="1">
      <c r="B4643" s="370">
        <f t="shared" si="2"/>
        <v>0.537037037</v>
      </c>
      <c r="C4643" s="56">
        <f t="shared" si="3"/>
        <v>46400</v>
      </c>
      <c r="D4643" s="56">
        <v>3.43</v>
      </c>
    </row>
    <row r="4644" ht="15.75" customHeight="1">
      <c r="B4644" s="370">
        <f t="shared" si="2"/>
        <v>0.5371527778</v>
      </c>
      <c r="C4644" s="56">
        <f t="shared" si="3"/>
        <v>46410</v>
      </c>
      <c r="D4644" s="56">
        <v>3.374</v>
      </c>
    </row>
    <row r="4645" ht="15.75" customHeight="1">
      <c r="B4645" s="370">
        <f t="shared" si="2"/>
        <v>0.5372685185</v>
      </c>
      <c r="C4645" s="56">
        <f t="shared" si="3"/>
        <v>46420</v>
      </c>
      <c r="D4645" s="56">
        <v>1.118</v>
      </c>
    </row>
    <row r="4646" ht="15.75" customHeight="1">
      <c r="B4646" s="370">
        <f t="shared" si="2"/>
        <v>0.5373842593</v>
      </c>
      <c r="C4646" s="56">
        <f t="shared" si="3"/>
        <v>46430</v>
      </c>
      <c r="D4646" s="56">
        <v>0.0</v>
      </c>
    </row>
    <row r="4647" ht="15.75" customHeight="1">
      <c r="B4647" s="370">
        <f t="shared" si="2"/>
        <v>0.5375</v>
      </c>
      <c r="C4647" s="56">
        <f t="shared" si="3"/>
        <v>46440</v>
      </c>
      <c r="D4647" s="56">
        <v>0.0</v>
      </c>
    </row>
    <row r="4648" ht="15.75" customHeight="1">
      <c r="B4648" s="370">
        <f t="shared" si="2"/>
        <v>0.5376157407</v>
      </c>
      <c r="C4648" s="56">
        <f t="shared" si="3"/>
        <v>46450</v>
      </c>
      <c r="D4648" s="56">
        <v>0.0</v>
      </c>
    </row>
    <row r="4649" ht="15.75" customHeight="1">
      <c r="B4649" s="370">
        <f t="shared" si="2"/>
        <v>0.5377314815</v>
      </c>
      <c r="C4649" s="56">
        <f t="shared" si="3"/>
        <v>46460</v>
      </c>
      <c r="D4649" s="56">
        <v>0.0</v>
      </c>
    </row>
    <row r="4650" ht="15.75" customHeight="1">
      <c r="B4650" s="370">
        <f t="shared" si="2"/>
        <v>0.5378472222</v>
      </c>
      <c r="C4650" s="56">
        <f t="shared" si="3"/>
        <v>46470</v>
      </c>
      <c r="D4650" s="56">
        <v>0.0</v>
      </c>
    </row>
    <row r="4651" ht="15.75" customHeight="1">
      <c r="B4651" s="370">
        <f t="shared" si="2"/>
        <v>0.537962963</v>
      </c>
      <c r="C4651" s="56">
        <f t="shared" si="3"/>
        <v>46480</v>
      </c>
      <c r="D4651" s="56">
        <v>0.0</v>
      </c>
    </row>
    <row r="4652" ht="15.75" customHeight="1">
      <c r="B4652" s="370">
        <f t="shared" si="2"/>
        <v>0.5380787037</v>
      </c>
      <c r="C4652" s="56">
        <f t="shared" si="3"/>
        <v>46490</v>
      </c>
      <c r="D4652" s="56">
        <v>0.0</v>
      </c>
    </row>
    <row r="4653" ht="15.75" customHeight="1">
      <c r="B4653" s="370">
        <f t="shared" si="2"/>
        <v>0.5381944444</v>
      </c>
      <c r="C4653" s="56">
        <f t="shared" si="3"/>
        <v>46500</v>
      </c>
      <c r="D4653" s="56">
        <v>0.0</v>
      </c>
    </row>
    <row r="4654" ht="15.75" customHeight="1">
      <c r="B4654" s="370">
        <f t="shared" si="2"/>
        <v>0.5383101852</v>
      </c>
      <c r="C4654" s="56">
        <f t="shared" si="3"/>
        <v>46510</v>
      </c>
      <c r="D4654" s="56">
        <v>0.0</v>
      </c>
    </row>
    <row r="4655" ht="15.75" customHeight="1">
      <c r="B4655" s="370">
        <f t="shared" si="2"/>
        <v>0.5384259259</v>
      </c>
      <c r="C4655" s="56">
        <f t="shared" si="3"/>
        <v>46520</v>
      </c>
      <c r="D4655" s="56">
        <v>0.0</v>
      </c>
    </row>
    <row r="4656" ht="15.75" customHeight="1">
      <c r="B4656" s="370">
        <f t="shared" si="2"/>
        <v>0.5385416667</v>
      </c>
      <c r="C4656" s="56">
        <f t="shared" si="3"/>
        <v>46530</v>
      </c>
      <c r="D4656" s="56">
        <v>0.0</v>
      </c>
    </row>
    <row r="4657" ht="15.75" customHeight="1">
      <c r="B4657" s="370">
        <f t="shared" si="2"/>
        <v>0.5386574074</v>
      </c>
      <c r="C4657" s="56">
        <f t="shared" si="3"/>
        <v>46540</v>
      </c>
      <c r="D4657" s="56">
        <v>0.0</v>
      </c>
    </row>
    <row r="4658" ht="15.75" customHeight="1">
      <c r="B4658" s="370">
        <f t="shared" si="2"/>
        <v>0.5387731481</v>
      </c>
      <c r="C4658" s="56">
        <f t="shared" si="3"/>
        <v>46550</v>
      </c>
      <c r="D4658" s="56">
        <v>0.0</v>
      </c>
    </row>
    <row r="4659" ht="15.75" customHeight="1">
      <c r="B4659" s="370">
        <f t="shared" si="2"/>
        <v>0.5388888889</v>
      </c>
      <c r="C4659" s="56">
        <f t="shared" si="3"/>
        <v>46560</v>
      </c>
      <c r="D4659" s="56">
        <v>0.0</v>
      </c>
    </row>
    <row r="4660" ht="15.75" customHeight="1">
      <c r="B4660" s="370">
        <f t="shared" si="2"/>
        <v>0.5390046296</v>
      </c>
      <c r="C4660" s="56">
        <f t="shared" si="3"/>
        <v>46570</v>
      </c>
      <c r="D4660" s="56">
        <v>0.0</v>
      </c>
    </row>
    <row r="4661" ht="15.75" customHeight="1">
      <c r="B4661" s="370">
        <f t="shared" si="2"/>
        <v>0.5391203704</v>
      </c>
      <c r="C4661" s="56">
        <f t="shared" si="3"/>
        <v>46580</v>
      </c>
      <c r="D4661" s="56">
        <v>0.0</v>
      </c>
    </row>
    <row r="4662" ht="15.75" customHeight="1">
      <c r="B4662" s="370">
        <f t="shared" si="2"/>
        <v>0.5392361111</v>
      </c>
      <c r="C4662" s="56">
        <f t="shared" si="3"/>
        <v>46590</v>
      </c>
      <c r="D4662" s="56">
        <v>0.0</v>
      </c>
    </row>
    <row r="4663" ht="15.75" customHeight="1">
      <c r="B4663" s="370">
        <f t="shared" si="2"/>
        <v>0.5393518519</v>
      </c>
      <c r="C4663" s="56">
        <f t="shared" si="3"/>
        <v>46600</v>
      </c>
      <c r="D4663" s="56">
        <v>0.0</v>
      </c>
    </row>
    <row r="4664" ht="15.75" customHeight="1">
      <c r="B4664" s="370">
        <f t="shared" si="2"/>
        <v>0.5394675926</v>
      </c>
      <c r="C4664" s="56">
        <f t="shared" si="3"/>
        <v>46610</v>
      </c>
      <c r="D4664" s="56">
        <v>0.0</v>
      </c>
    </row>
    <row r="4665" ht="15.75" customHeight="1">
      <c r="B4665" s="370">
        <f t="shared" si="2"/>
        <v>0.5395833333</v>
      </c>
      <c r="C4665" s="56">
        <f t="shared" si="3"/>
        <v>46620</v>
      </c>
      <c r="D4665" s="56">
        <v>0.0</v>
      </c>
    </row>
    <row r="4666" ht="15.75" customHeight="1">
      <c r="B4666" s="370">
        <f t="shared" si="2"/>
        <v>0.5396990741</v>
      </c>
      <c r="C4666" s="56">
        <f t="shared" si="3"/>
        <v>46630</v>
      </c>
      <c r="D4666" s="56">
        <v>0.0</v>
      </c>
    </row>
    <row r="4667" ht="15.75" customHeight="1">
      <c r="B4667" s="370">
        <f t="shared" si="2"/>
        <v>0.5398148148</v>
      </c>
      <c r="C4667" s="56">
        <f t="shared" si="3"/>
        <v>46640</v>
      </c>
      <c r="D4667" s="56">
        <v>0.0</v>
      </c>
    </row>
    <row r="4668" ht="15.75" customHeight="1">
      <c r="B4668" s="370">
        <f t="shared" si="2"/>
        <v>0.5399305556</v>
      </c>
      <c r="C4668" s="56">
        <f t="shared" si="3"/>
        <v>46650</v>
      </c>
      <c r="D4668" s="56">
        <v>0.0</v>
      </c>
    </row>
    <row r="4669" ht="15.75" customHeight="1">
      <c r="B4669" s="370">
        <f t="shared" si="2"/>
        <v>0.5400462963</v>
      </c>
      <c r="C4669" s="56">
        <f t="shared" si="3"/>
        <v>46660</v>
      </c>
      <c r="D4669" s="56">
        <v>0.0</v>
      </c>
    </row>
    <row r="4670" ht="15.75" customHeight="1">
      <c r="B4670" s="370">
        <f t="shared" si="2"/>
        <v>0.540162037</v>
      </c>
      <c r="C4670" s="56">
        <f t="shared" si="3"/>
        <v>46670</v>
      </c>
      <c r="D4670" s="56">
        <v>0.0</v>
      </c>
    </row>
    <row r="4671" ht="15.75" customHeight="1">
      <c r="B4671" s="370">
        <f t="shared" si="2"/>
        <v>0.5402777778</v>
      </c>
      <c r="C4671" s="56">
        <f t="shared" si="3"/>
        <v>46680</v>
      </c>
      <c r="D4671" s="56">
        <v>0.0</v>
      </c>
    </row>
    <row r="4672" ht="15.75" customHeight="1">
      <c r="B4672" s="370">
        <f t="shared" si="2"/>
        <v>0.5403935185</v>
      </c>
      <c r="C4672" s="56">
        <f t="shared" si="3"/>
        <v>46690</v>
      </c>
      <c r="D4672" s="56">
        <v>0.0</v>
      </c>
    </row>
    <row r="4673" ht="15.75" customHeight="1">
      <c r="B4673" s="370">
        <f t="shared" si="2"/>
        <v>0.5405092593</v>
      </c>
      <c r="C4673" s="56">
        <f t="shared" si="3"/>
        <v>46700</v>
      </c>
      <c r="D4673" s="56">
        <v>0.0</v>
      </c>
    </row>
    <row r="4674" ht="15.75" customHeight="1">
      <c r="B4674" s="370">
        <f t="shared" si="2"/>
        <v>0.540625</v>
      </c>
      <c r="C4674" s="56">
        <f t="shared" si="3"/>
        <v>46710</v>
      </c>
      <c r="D4674" s="56">
        <v>0.0</v>
      </c>
    </row>
    <row r="4675" ht="15.75" customHeight="1">
      <c r="B4675" s="370">
        <f t="shared" si="2"/>
        <v>0.5407407407</v>
      </c>
      <c r="C4675" s="56">
        <f t="shared" si="3"/>
        <v>46720</v>
      </c>
      <c r="D4675" s="56">
        <v>0.0</v>
      </c>
    </row>
    <row r="4676" ht="15.75" customHeight="1">
      <c r="B4676" s="370">
        <f t="shared" si="2"/>
        <v>0.5408564815</v>
      </c>
      <c r="C4676" s="56">
        <f t="shared" si="3"/>
        <v>46730</v>
      </c>
      <c r="D4676" s="56">
        <v>0.0</v>
      </c>
    </row>
    <row r="4677" ht="15.75" customHeight="1">
      <c r="B4677" s="370">
        <f t="shared" si="2"/>
        <v>0.5409722222</v>
      </c>
      <c r="C4677" s="56">
        <f t="shared" si="3"/>
        <v>46740</v>
      </c>
      <c r="D4677" s="56">
        <v>0.0</v>
      </c>
    </row>
    <row r="4678" ht="15.75" customHeight="1">
      <c r="B4678" s="370">
        <f t="shared" si="2"/>
        <v>0.541087963</v>
      </c>
      <c r="C4678" s="56">
        <f t="shared" si="3"/>
        <v>46750</v>
      </c>
      <c r="D4678" s="56">
        <v>0.0</v>
      </c>
    </row>
    <row r="4679" ht="15.75" customHeight="1">
      <c r="B4679" s="370">
        <f t="shared" si="2"/>
        <v>0.5412037037</v>
      </c>
      <c r="C4679" s="56">
        <f t="shared" si="3"/>
        <v>46760</v>
      </c>
      <c r="D4679" s="56">
        <v>0.0</v>
      </c>
    </row>
    <row r="4680" ht="15.75" customHeight="1">
      <c r="B4680" s="370">
        <f t="shared" si="2"/>
        <v>0.5413194444</v>
      </c>
      <c r="C4680" s="56">
        <f t="shared" si="3"/>
        <v>46770</v>
      </c>
      <c r="D4680" s="56">
        <v>0.0</v>
      </c>
    </row>
    <row r="4681" ht="15.75" customHeight="1">
      <c r="B4681" s="370">
        <f t="shared" si="2"/>
        <v>0.5414351852</v>
      </c>
      <c r="C4681" s="56">
        <f t="shared" si="3"/>
        <v>46780</v>
      </c>
      <c r="D4681" s="56">
        <v>0.0</v>
      </c>
    </row>
    <row r="4682" ht="15.75" customHeight="1">
      <c r="B4682" s="370">
        <f t="shared" si="2"/>
        <v>0.5415509259</v>
      </c>
      <c r="C4682" s="56">
        <f t="shared" si="3"/>
        <v>46790</v>
      </c>
      <c r="D4682" s="56">
        <v>0.0</v>
      </c>
    </row>
    <row r="4683" ht="15.75" customHeight="1">
      <c r="B4683" s="370">
        <f t="shared" si="2"/>
        <v>0.5416666667</v>
      </c>
      <c r="C4683" s="56">
        <f t="shared" si="3"/>
        <v>46800</v>
      </c>
      <c r="D4683" s="56">
        <v>0.0</v>
      </c>
    </row>
    <row r="4684" ht="15.75" customHeight="1">
      <c r="B4684" s="370">
        <f t="shared" si="2"/>
        <v>0.5417824074</v>
      </c>
      <c r="C4684" s="56">
        <f t="shared" si="3"/>
        <v>46810</v>
      </c>
      <c r="D4684" s="56">
        <v>0.0</v>
      </c>
    </row>
    <row r="4685" ht="15.75" customHeight="1">
      <c r="B4685" s="370">
        <f t="shared" si="2"/>
        <v>0.5418981481</v>
      </c>
      <c r="C4685" s="56">
        <f t="shared" si="3"/>
        <v>46820</v>
      </c>
      <c r="D4685" s="56">
        <v>0.0</v>
      </c>
    </row>
    <row r="4686" ht="15.75" customHeight="1">
      <c r="B4686" s="370">
        <f t="shared" si="2"/>
        <v>0.5420138889</v>
      </c>
      <c r="C4686" s="56">
        <f t="shared" si="3"/>
        <v>46830</v>
      </c>
      <c r="D4686" s="56">
        <v>0.0</v>
      </c>
    </row>
    <row r="4687" ht="15.75" customHeight="1">
      <c r="B4687" s="370">
        <f t="shared" si="2"/>
        <v>0.5421296296</v>
      </c>
      <c r="C4687" s="56">
        <f t="shared" si="3"/>
        <v>46840</v>
      </c>
      <c r="D4687" s="56">
        <v>0.0</v>
      </c>
    </row>
    <row r="4688" ht="15.75" customHeight="1">
      <c r="B4688" s="370">
        <f t="shared" si="2"/>
        <v>0.5422453704</v>
      </c>
      <c r="C4688" s="56">
        <f t="shared" si="3"/>
        <v>46850</v>
      </c>
      <c r="D4688" s="56">
        <v>0.0</v>
      </c>
    </row>
    <row r="4689" ht="15.75" customHeight="1">
      <c r="B4689" s="370">
        <f t="shared" si="2"/>
        <v>0.5423611111</v>
      </c>
      <c r="C4689" s="56">
        <f t="shared" si="3"/>
        <v>46860</v>
      </c>
      <c r="D4689" s="56">
        <v>0.0</v>
      </c>
    </row>
    <row r="4690" ht="15.75" customHeight="1">
      <c r="B4690" s="370">
        <f t="shared" si="2"/>
        <v>0.5424768519</v>
      </c>
      <c r="C4690" s="56">
        <f t="shared" si="3"/>
        <v>46870</v>
      </c>
      <c r="D4690" s="56">
        <v>0.0</v>
      </c>
    </row>
    <row r="4691" ht="15.75" customHeight="1">
      <c r="B4691" s="370">
        <f t="shared" si="2"/>
        <v>0.5425925926</v>
      </c>
      <c r="C4691" s="56">
        <f t="shared" si="3"/>
        <v>46880</v>
      </c>
      <c r="D4691" s="56">
        <v>0.0</v>
      </c>
    </row>
    <row r="4692" ht="15.75" customHeight="1">
      <c r="B4692" s="370">
        <f t="shared" si="2"/>
        <v>0.5427083333</v>
      </c>
      <c r="C4692" s="56">
        <f t="shared" si="3"/>
        <v>46890</v>
      </c>
      <c r="D4692" s="56">
        <v>0.0</v>
      </c>
    </row>
    <row r="4693" ht="15.75" customHeight="1">
      <c r="B4693" s="370">
        <f t="shared" si="2"/>
        <v>0.5428240741</v>
      </c>
      <c r="C4693" s="56">
        <f t="shared" si="3"/>
        <v>46900</v>
      </c>
      <c r="D4693" s="56">
        <v>0.0</v>
      </c>
    </row>
    <row r="4694" ht="15.75" customHeight="1">
      <c r="B4694" s="370">
        <f t="shared" si="2"/>
        <v>0.5429398148</v>
      </c>
      <c r="C4694" s="56">
        <f t="shared" si="3"/>
        <v>46910</v>
      </c>
      <c r="D4694" s="56">
        <v>0.0</v>
      </c>
    </row>
    <row r="4695" ht="15.75" customHeight="1">
      <c r="B4695" s="370">
        <f t="shared" si="2"/>
        <v>0.5430555556</v>
      </c>
      <c r="C4695" s="56">
        <f t="shared" si="3"/>
        <v>46920</v>
      </c>
      <c r="D4695" s="56">
        <v>0.0</v>
      </c>
    </row>
    <row r="4696" ht="15.75" customHeight="1">
      <c r="B4696" s="370">
        <f t="shared" si="2"/>
        <v>0.5431712963</v>
      </c>
      <c r="C4696" s="56">
        <f t="shared" si="3"/>
        <v>46930</v>
      </c>
      <c r="D4696" s="56">
        <v>0.0</v>
      </c>
    </row>
    <row r="4697" ht="15.75" customHeight="1">
      <c r="B4697" s="370">
        <f t="shared" si="2"/>
        <v>0.543287037</v>
      </c>
      <c r="C4697" s="56">
        <f t="shared" si="3"/>
        <v>46940</v>
      </c>
      <c r="D4697" s="56">
        <v>0.0</v>
      </c>
    </row>
    <row r="4698" ht="15.75" customHeight="1">
      <c r="B4698" s="370">
        <f t="shared" si="2"/>
        <v>0.5434027778</v>
      </c>
      <c r="C4698" s="56">
        <f t="shared" si="3"/>
        <v>46950</v>
      </c>
      <c r="D4698" s="56">
        <v>0.0</v>
      </c>
    </row>
    <row r="4699" ht="15.75" customHeight="1">
      <c r="B4699" s="370">
        <f t="shared" si="2"/>
        <v>0.5435185185</v>
      </c>
      <c r="C4699" s="56">
        <f t="shared" si="3"/>
        <v>46960</v>
      </c>
      <c r="D4699" s="56">
        <v>0.0</v>
      </c>
    </row>
    <row r="4700" ht="15.75" customHeight="1">
      <c r="B4700" s="370">
        <f t="shared" si="2"/>
        <v>0.5436342593</v>
      </c>
      <c r="C4700" s="56">
        <f t="shared" si="3"/>
        <v>46970</v>
      </c>
      <c r="D4700" s="56">
        <v>0.0</v>
      </c>
    </row>
    <row r="4701" ht="15.75" customHeight="1">
      <c r="B4701" s="370">
        <f t="shared" si="2"/>
        <v>0.54375</v>
      </c>
      <c r="C4701" s="56">
        <f t="shared" si="3"/>
        <v>46980</v>
      </c>
      <c r="D4701" s="56">
        <v>0.0</v>
      </c>
    </row>
    <row r="4702" ht="15.75" customHeight="1">
      <c r="B4702" s="370">
        <f t="shared" si="2"/>
        <v>0.5438657407</v>
      </c>
      <c r="C4702" s="56">
        <f t="shared" si="3"/>
        <v>46990</v>
      </c>
      <c r="D4702" s="56">
        <v>0.0</v>
      </c>
    </row>
    <row r="4703" ht="15.75" customHeight="1">
      <c r="B4703" s="370">
        <f t="shared" si="2"/>
        <v>0.5439814815</v>
      </c>
      <c r="C4703" s="56">
        <f t="shared" si="3"/>
        <v>47000</v>
      </c>
      <c r="D4703" s="56">
        <v>0.0</v>
      </c>
    </row>
    <row r="4704" ht="15.75" customHeight="1">
      <c r="B4704" s="370">
        <f t="shared" si="2"/>
        <v>0.5440972222</v>
      </c>
      <c r="C4704" s="56">
        <f t="shared" si="3"/>
        <v>47010</v>
      </c>
      <c r="D4704" s="56">
        <v>0.0</v>
      </c>
    </row>
    <row r="4705" ht="15.75" customHeight="1">
      <c r="B4705" s="370">
        <f t="shared" si="2"/>
        <v>0.544212963</v>
      </c>
      <c r="C4705" s="56">
        <f t="shared" si="3"/>
        <v>47020</v>
      </c>
      <c r="D4705" s="56">
        <v>0.0</v>
      </c>
    </row>
    <row r="4706" ht="15.75" customHeight="1">
      <c r="B4706" s="370">
        <f t="shared" si="2"/>
        <v>0.5443287037</v>
      </c>
      <c r="C4706" s="56">
        <f t="shared" si="3"/>
        <v>47030</v>
      </c>
      <c r="D4706" s="56">
        <v>0.0</v>
      </c>
    </row>
    <row r="4707" ht="15.75" customHeight="1">
      <c r="B4707" s="370">
        <f t="shared" si="2"/>
        <v>0.5444444444</v>
      </c>
      <c r="C4707" s="56">
        <f t="shared" si="3"/>
        <v>47040</v>
      </c>
      <c r="D4707" s="56">
        <v>0.0</v>
      </c>
    </row>
    <row r="4708" ht="15.75" customHeight="1">
      <c r="B4708" s="370">
        <f t="shared" si="2"/>
        <v>0.5445601852</v>
      </c>
      <c r="C4708" s="56">
        <f t="shared" si="3"/>
        <v>47050</v>
      </c>
      <c r="D4708" s="56">
        <v>0.0</v>
      </c>
    </row>
    <row r="4709" ht="15.75" customHeight="1">
      <c r="B4709" s="370">
        <f t="shared" si="2"/>
        <v>0.5446759259</v>
      </c>
      <c r="C4709" s="56">
        <f t="shared" si="3"/>
        <v>47060</v>
      </c>
      <c r="D4709" s="56">
        <v>0.0</v>
      </c>
    </row>
    <row r="4710" ht="15.75" customHeight="1">
      <c r="B4710" s="370">
        <f t="shared" si="2"/>
        <v>0.5447916667</v>
      </c>
      <c r="C4710" s="56">
        <f t="shared" si="3"/>
        <v>47070</v>
      </c>
      <c r="D4710" s="56">
        <v>0.0</v>
      </c>
    </row>
    <row r="4711" ht="15.75" customHeight="1">
      <c r="B4711" s="370">
        <f t="shared" si="2"/>
        <v>0.5449074074</v>
      </c>
      <c r="C4711" s="56">
        <f t="shared" si="3"/>
        <v>47080</v>
      </c>
      <c r="D4711" s="56">
        <v>0.0</v>
      </c>
    </row>
    <row r="4712" ht="15.75" customHeight="1">
      <c r="B4712" s="370">
        <f t="shared" si="2"/>
        <v>0.5450231481</v>
      </c>
      <c r="C4712" s="56">
        <f t="shared" si="3"/>
        <v>47090</v>
      </c>
      <c r="D4712" s="56">
        <v>0.0</v>
      </c>
    </row>
    <row r="4713" ht="15.75" customHeight="1">
      <c r="B4713" s="370">
        <f t="shared" si="2"/>
        <v>0.5451388889</v>
      </c>
      <c r="C4713" s="56">
        <f t="shared" si="3"/>
        <v>47100</v>
      </c>
      <c r="D4713" s="56">
        <v>0.0</v>
      </c>
    </row>
    <row r="4714" ht="15.75" customHeight="1">
      <c r="B4714" s="370">
        <f t="shared" si="2"/>
        <v>0.5452546296</v>
      </c>
      <c r="C4714" s="56">
        <f t="shared" si="3"/>
        <v>47110</v>
      </c>
      <c r="D4714" s="56">
        <v>0.0</v>
      </c>
    </row>
    <row r="4715" ht="15.75" customHeight="1">
      <c r="B4715" s="370">
        <f t="shared" si="2"/>
        <v>0.5453703704</v>
      </c>
      <c r="C4715" s="56">
        <f t="shared" si="3"/>
        <v>47120</v>
      </c>
      <c r="D4715" s="56">
        <v>0.0</v>
      </c>
    </row>
    <row r="4716" ht="15.75" customHeight="1">
      <c r="B4716" s="370">
        <f t="shared" si="2"/>
        <v>0.5454861111</v>
      </c>
      <c r="C4716" s="56">
        <f t="shared" si="3"/>
        <v>47130</v>
      </c>
      <c r="D4716" s="56">
        <v>0.0</v>
      </c>
    </row>
    <row r="4717" ht="15.75" customHeight="1">
      <c r="B4717" s="370">
        <f t="shared" si="2"/>
        <v>0.5456018519</v>
      </c>
      <c r="C4717" s="56">
        <f t="shared" si="3"/>
        <v>47140</v>
      </c>
      <c r="D4717" s="56">
        <v>0.0</v>
      </c>
    </row>
    <row r="4718" ht="15.75" customHeight="1">
      <c r="B4718" s="370">
        <f t="shared" si="2"/>
        <v>0.5457175926</v>
      </c>
      <c r="C4718" s="56">
        <f t="shared" si="3"/>
        <v>47150</v>
      </c>
      <c r="D4718" s="56">
        <v>0.0</v>
      </c>
    </row>
    <row r="4719" ht="15.75" customHeight="1">
      <c r="B4719" s="370">
        <f t="shared" si="2"/>
        <v>0.5458333333</v>
      </c>
      <c r="C4719" s="56">
        <f t="shared" si="3"/>
        <v>47160</v>
      </c>
      <c r="D4719" s="56">
        <v>0.0</v>
      </c>
    </row>
    <row r="4720" ht="15.75" customHeight="1">
      <c r="B4720" s="370">
        <f t="shared" si="2"/>
        <v>0.5459490741</v>
      </c>
      <c r="C4720" s="56">
        <f t="shared" si="3"/>
        <v>47170</v>
      </c>
      <c r="D4720" s="56">
        <v>0.0</v>
      </c>
    </row>
    <row r="4721" ht="15.75" customHeight="1">
      <c r="B4721" s="370">
        <f t="shared" si="2"/>
        <v>0.5460648148</v>
      </c>
      <c r="C4721" s="56">
        <f t="shared" si="3"/>
        <v>47180</v>
      </c>
      <c r="D4721" s="56">
        <v>0.0</v>
      </c>
    </row>
    <row r="4722" ht="15.75" customHeight="1">
      <c r="B4722" s="370">
        <f t="shared" si="2"/>
        <v>0.5461805556</v>
      </c>
      <c r="C4722" s="56">
        <f t="shared" si="3"/>
        <v>47190</v>
      </c>
      <c r="D4722" s="56">
        <v>0.0</v>
      </c>
    </row>
    <row r="4723" ht="15.75" customHeight="1">
      <c r="B4723" s="370">
        <f t="shared" si="2"/>
        <v>0.5462962963</v>
      </c>
      <c r="C4723" s="56">
        <f t="shared" si="3"/>
        <v>47200</v>
      </c>
      <c r="D4723" s="56">
        <v>0.0</v>
      </c>
    </row>
    <row r="4724" ht="15.75" customHeight="1">
      <c r="B4724" s="370">
        <f t="shared" si="2"/>
        <v>0.546412037</v>
      </c>
      <c r="C4724" s="56">
        <f t="shared" si="3"/>
        <v>47210</v>
      </c>
      <c r="D4724" s="56">
        <v>0.0</v>
      </c>
    </row>
    <row r="4725" ht="15.75" customHeight="1">
      <c r="B4725" s="370">
        <f t="shared" si="2"/>
        <v>0.5465277778</v>
      </c>
      <c r="C4725" s="56">
        <f t="shared" si="3"/>
        <v>47220</v>
      </c>
      <c r="D4725" s="56">
        <v>0.0</v>
      </c>
    </row>
    <row r="4726" ht="15.75" customHeight="1">
      <c r="B4726" s="370">
        <f t="shared" si="2"/>
        <v>0.5466435185</v>
      </c>
      <c r="C4726" s="56">
        <f t="shared" si="3"/>
        <v>47230</v>
      </c>
      <c r="D4726" s="56">
        <v>0.0</v>
      </c>
    </row>
    <row r="4727" ht="15.75" customHeight="1">
      <c r="B4727" s="370">
        <f t="shared" si="2"/>
        <v>0.5467592593</v>
      </c>
      <c r="C4727" s="56">
        <f t="shared" si="3"/>
        <v>47240</v>
      </c>
      <c r="D4727" s="56">
        <v>0.0</v>
      </c>
    </row>
    <row r="4728" ht="15.75" customHeight="1">
      <c r="B4728" s="370">
        <f t="shared" si="2"/>
        <v>0.546875</v>
      </c>
      <c r="C4728" s="56">
        <f t="shared" si="3"/>
        <v>47250</v>
      </c>
      <c r="D4728" s="56">
        <v>0.0</v>
      </c>
    </row>
    <row r="4729" ht="15.75" customHeight="1">
      <c r="B4729" s="370">
        <f t="shared" si="2"/>
        <v>0.5469907407</v>
      </c>
      <c r="C4729" s="56">
        <f t="shared" si="3"/>
        <v>47260</v>
      </c>
      <c r="D4729" s="56">
        <v>0.0</v>
      </c>
    </row>
    <row r="4730" ht="15.75" customHeight="1">
      <c r="B4730" s="370">
        <f t="shared" si="2"/>
        <v>0.5471064815</v>
      </c>
      <c r="C4730" s="56">
        <f t="shared" si="3"/>
        <v>47270</v>
      </c>
      <c r="D4730" s="56">
        <v>0.0</v>
      </c>
    </row>
    <row r="4731" ht="15.75" customHeight="1">
      <c r="B4731" s="370">
        <f t="shared" si="2"/>
        <v>0.5472222222</v>
      </c>
      <c r="C4731" s="56">
        <f t="shared" si="3"/>
        <v>47280</v>
      </c>
      <c r="D4731" s="56">
        <v>0.0</v>
      </c>
    </row>
    <row r="4732" ht="15.75" customHeight="1">
      <c r="B4732" s="370">
        <f t="shared" si="2"/>
        <v>0.547337963</v>
      </c>
      <c r="C4732" s="56">
        <f t="shared" si="3"/>
        <v>47290</v>
      </c>
      <c r="D4732" s="56">
        <v>0.0</v>
      </c>
    </row>
    <row r="4733" ht="15.75" customHeight="1">
      <c r="B4733" s="370">
        <f t="shared" si="2"/>
        <v>0.5474537037</v>
      </c>
      <c r="C4733" s="56">
        <f t="shared" si="3"/>
        <v>47300</v>
      </c>
      <c r="D4733" s="56">
        <v>0.0</v>
      </c>
    </row>
    <row r="4734" ht="15.75" customHeight="1">
      <c r="B4734" s="370">
        <f t="shared" si="2"/>
        <v>0.5475694444</v>
      </c>
      <c r="C4734" s="56">
        <f t="shared" si="3"/>
        <v>47310</v>
      </c>
      <c r="D4734" s="56">
        <v>0.0</v>
      </c>
    </row>
    <row r="4735" ht="15.75" customHeight="1">
      <c r="B4735" s="370">
        <f t="shared" si="2"/>
        <v>0.5476851852</v>
      </c>
      <c r="C4735" s="56">
        <f t="shared" si="3"/>
        <v>47320</v>
      </c>
      <c r="D4735" s="56">
        <v>0.0</v>
      </c>
    </row>
    <row r="4736" ht="15.75" customHeight="1">
      <c r="B4736" s="370">
        <f t="shared" si="2"/>
        <v>0.5478009259</v>
      </c>
      <c r="C4736" s="56">
        <f t="shared" si="3"/>
        <v>47330</v>
      </c>
      <c r="D4736" s="56">
        <v>0.0</v>
      </c>
    </row>
    <row r="4737" ht="15.75" customHeight="1">
      <c r="B4737" s="370">
        <f t="shared" si="2"/>
        <v>0.5479166667</v>
      </c>
      <c r="C4737" s="56">
        <f t="shared" si="3"/>
        <v>47340</v>
      </c>
      <c r="D4737" s="56">
        <v>0.0</v>
      </c>
    </row>
    <row r="4738" ht="15.75" customHeight="1">
      <c r="B4738" s="370">
        <f t="shared" si="2"/>
        <v>0.5480324074</v>
      </c>
      <c r="C4738" s="56">
        <f t="shared" si="3"/>
        <v>47350</v>
      </c>
      <c r="D4738" s="56">
        <v>0.0</v>
      </c>
    </row>
    <row r="4739" ht="15.75" customHeight="1">
      <c r="B4739" s="370">
        <f t="shared" si="2"/>
        <v>0.5481481481</v>
      </c>
      <c r="C4739" s="56">
        <f t="shared" si="3"/>
        <v>47360</v>
      </c>
      <c r="D4739" s="56">
        <v>0.0</v>
      </c>
    </row>
    <row r="4740" ht="15.75" customHeight="1">
      <c r="B4740" s="370">
        <f t="shared" si="2"/>
        <v>0.5482638889</v>
      </c>
      <c r="C4740" s="56">
        <f t="shared" si="3"/>
        <v>47370</v>
      </c>
      <c r="D4740" s="56">
        <v>0.0</v>
      </c>
    </row>
    <row r="4741" ht="15.75" customHeight="1">
      <c r="B4741" s="370">
        <f t="shared" si="2"/>
        <v>0.5483796296</v>
      </c>
      <c r="C4741" s="56">
        <f t="shared" si="3"/>
        <v>47380</v>
      </c>
      <c r="D4741" s="56">
        <v>0.0</v>
      </c>
    </row>
    <row r="4742" ht="15.75" customHeight="1">
      <c r="B4742" s="370">
        <f t="shared" si="2"/>
        <v>0.5484953704</v>
      </c>
      <c r="C4742" s="56">
        <f t="shared" si="3"/>
        <v>47390</v>
      </c>
      <c r="D4742" s="56">
        <v>0.0</v>
      </c>
    </row>
    <row r="4743" ht="15.75" customHeight="1">
      <c r="B4743" s="370">
        <f t="shared" si="2"/>
        <v>0.5486111111</v>
      </c>
      <c r="C4743" s="56">
        <f t="shared" si="3"/>
        <v>47400</v>
      </c>
      <c r="D4743" s="56">
        <v>0.0</v>
      </c>
    </row>
    <row r="4744" ht="15.75" customHeight="1">
      <c r="B4744" s="370">
        <f t="shared" si="2"/>
        <v>0.5487268519</v>
      </c>
      <c r="C4744" s="56">
        <f t="shared" si="3"/>
        <v>47410</v>
      </c>
      <c r="D4744" s="56">
        <v>0.0</v>
      </c>
    </row>
    <row r="4745" ht="15.75" customHeight="1">
      <c r="B4745" s="370">
        <f t="shared" si="2"/>
        <v>0.5488425926</v>
      </c>
      <c r="C4745" s="56">
        <f t="shared" si="3"/>
        <v>47420</v>
      </c>
      <c r="D4745" s="56">
        <v>0.0</v>
      </c>
    </row>
    <row r="4746" ht="15.75" customHeight="1">
      <c r="B4746" s="370">
        <f t="shared" si="2"/>
        <v>0.5489583333</v>
      </c>
      <c r="C4746" s="56">
        <f t="shared" si="3"/>
        <v>47430</v>
      </c>
      <c r="D4746" s="56">
        <v>0.0</v>
      </c>
    </row>
    <row r="4747" ht="15.75" customHeight="1">
      <c r="B4747" s="370">
        <f t="shared" si="2"/>
        <v>0.5490740741</v>
      </c>
      <c r="C4747" s="56">
        <f t="shared" si="3"/>
        <v>47440</v>
      </c>
      <c r="D4747" s="56">
        <v>0.0</v>
      </c>
    </row>
    <row r="4748" ht="15.75" customHeight="1">
      <c r="B4748" s="370">
        <f t="shared" si="2"/>
        <v>0.5491898148</v>
      </c>
      <c r="C4748" s="56">
        <f t="shared" si="3"/>
        <v>47450</v>
      </c>
      <c r="D4748" s="56">
        <v>0.0</v>
      </c>
    </row>
    <row r="4749" ht="15.75" customHeight="1">
      <c r="B4749" s="370">
        <f t="shared" si="2"/>
        <v>0.5493055556</v>
      </c>
      <c r="C4749" s="56">
        <f t="shared" si="3"/>
        <v>47460</v>
      </c>
      <c r="D4749" s="56">
        <v>0.0</v>
      </c>
    </row>
    <row r="4750" ht="15.75" customHeight="1">
      <c r="B4750" s="370">
        <f t="shared" si="2"/>
        <v>0.5494212963</v>
      </c>
      <c r="C4750" s="56">
        <f t="shared" si="3"/>
        <v>47470</v>
      </c>
      <c r="D4750" s="56">
        <v>0.0</v>
      </c>
    </row>
    <row r="4751" ht="15.75" customHeight="1">
      <c r="B4751" s="370">
        <f t="shared" si="2"/>
        <v>0.549537037</v>
      </c>
      <c r="C4751" s="56">
        <f t="shared" si="3"/>
        <v>47480</v>
      </c>
      <c r="D4751" s="56">
        <v>0.0</v>
      </c>
    </row>
    <row r="4752" ht="15.75" customHeight="1">
      <c r="B4752" s="370">
        <f t="shared" si="2"/>
        <v>0.5496527778</v>
      </c>
      <c r="C4752" s="56">
        <f t="shared" si="3"/>
        <v>47490</v>
      </c>
      <c r="D4752" s="56">
        <v>0.0</v>
      </c>
    </row>
    <row r="4753" ht="15.75" customHeight="1">
      <c r="B4753" s="370">
        <f t="shared" si="2"/>
        <v>0.5497685185</v>
      </c>
      <c r="C4753" s="56">
        <f t="shared" si="3"/>
        <v>47500</v>
      </c>
      <c r="D4753" s="56">
        <v>0.0</v>
      </c>
    </row>
    <row r="4754" ht="15.75" customHeight="1">
      <c r="B4754" s="370">
        <f t="shared" si="2"/>
        <v>0.5498842593</v>
      </c>
      <c r="C4754" s="56">
        <f t="shared" si="3"/>
        <v>47510</v>
      </c>
      <c r="D4754" s="56">
        <v>0.0</v>
      </c>
    </row>
    <row r="4755" ht="15.75" customHeight="1">
      <c r="B4755" s="370">
        <f t="shared" si="2"/>
        <v>0.55</v>
      </c>
      <c r="C4755" s="56">
        <f t="shared" si="3"/>
        <v>47520</v>
      </c>
      <c r="D4755" s="56">
        <v>0.0</v>
      </c>
    </row>
    <row r="4756" ht="15.75" customHeight="1">
      <c r="B4756" s="370">
        <f t="shared" si="2"/>
        <v>0.5501157407</v>
      </c>
      <c r="C4756" s="56">
        <f t="shared" si="3"/>
        <v>47530</v>
      </c>
      <c r="D4756" s="56">
        <v>0.0</v>
      </c>
    </row>
    <row r="4757" ht="15.75" customHeight="1">
      <c r="B4757" s="370">
        <f t="shared" si="2"/>
        <v>0.5502314815</v>
      </c>
      <c r="C4757" s="56">
        <f t="shared" si="3"/>
        <v>47540</v>
      </c>
      <c r="D4757" s="56">
        <v>0.0</v>
      </c>
    </row>
    <row r="4758" ht="15.75" customHeight="1">
      <c r="B4758" s="370">
        <f t="shared" si="2"/>
        <v>0.5503472222</v>
      </c>
      <c r="C4758" s="56">
        <f t="shared" si="3"/>
        <v>47550</v>
      </c>
      <c r="D4758" s="56">
        <v>0.0</v>
      </c>
    </row>
    <row r="4759" ht="15.75" customHeight="1">
      <c r="B4759" s="370">
        <f t="shared" si="2"/>
        <v>0.550462963</v>
      </c>
      <c r="C4759" s="56">
        <f t="shared" si="3"/>
        <v>47560</v>
      </c>
      <c r="D4759" s="56">
        <v>0.0</v>
      </c>
    </row>
    <row r="4760" ht="15.75" customHeight="1">
      <c r="B4760" s="370">
        <f t="shared" si="2"/>
        <v>0.5505787037</v>
      </c>
      <c r="C4760" s="56">
        <f t="shared" si="3"/>
        <v>47570</v>
      </c>
      <c r="D4760" s="56">
        <v>0.0</v>
      </c>
    </row>
    <row r="4761" ht="15.75" customHeight="1">
      <c r="B4761" s="370">
        <f t="shared" si="2"/>
        <v>0.5506944444</v>
      </c>
      <c r="C4761" s="56">
        <f t="shared" si="3"/>
        <v>47580</v>
      </c>
      <c r="D4761" s="56">
        <v>0.0</v>
      </c>
    </row>
    <row r="4762" ht="15.75" customHeight="1">
      <c r="B4762" s="370">
        <f t="shared" si="2"/>
        <v>0.5508101852</v>
      </c>
      <c r="C4762" s="56">
        <f t="shared" si="3"/>
        <v>47590</v>
      </c>
      <c r="D4762" s="56">
        <v>0.0</v>
      </c>
    </row>
    <row r="4763" ht="15.75" customHeight="1">
      <c r="B4763" s="370">
        <f t="shared" si="2"/>
        <v>0.5509259259</v>
      </c>
      <c r="C4763" s="56">
        <f t="shared" si="3"/>
        <v>47600</v>
      </c>
      <c r="D4763" s="56">
        <v>0.0</v>
      </c>
    </row>
    <row r="4764" ht="15.75" customHeight="1">
      <c r="B4764" s="370">
        <f t="shared" si="2"/>
        <v>0.5510416667</v>
      </c>
      <c r="C4764" s="56">
        <f t="shared" si="3"/>
        <v>47610</v>
      </c>
      <c r="D4764" s="56">
        <v>0.0</v>
      </c>
    </row>
    <row r="4765" ht="15.75" customHeight="1">
      <c r="B4765" s="370">
        <f t="shared" si="2"/>
        <v>0.5511574074</v>
      </c>
      <c r="C4765" s="56">
        <f t="shared" si="3"/>
        <v>47620</v>
      </c>
      <c r="D4765" s="56">
        <v>0.0</v>
      </c>
    </row>
    <row r="4766" ht="15.75" customHeight="1">
      <c r="B4766" s="370">
        <f t="shared" si="2"/>
        <v>0.5512731481</v>
      </c>
      <c r="C4766" s="56">
        <f t="shared" si="3"/>
        <v>47630</v>
      </c>
      <c r="D4766" s="56">
        <v>0.0</v>
      </c>
    </row>
    <row r="4767" ht="15.75" customHeight="1">
      <c r="B4767" s="370">
        <f t="shared" si="2"/>
        <v>0.5513888889</v>
      </c>
      <c r="C4767" s="56">
        <f t="shared" si="3"/>
        <v>47640</v>
      </c>
      <c r="D4767" s="56">
        <v>0.0</v>
      </c>
    </row>
    <row r="4768" ht="15.75" customHeight="1">
      <c r="B4768" s="370">
        <f t="shared" si="2"/>
        <v>0.5515046296</v>
      </c>
      <c r="C4768" s="56">
        <f t="shared" si="3"/>
        <v>47650</v>
      </c>
      <c r="D4768" s="56">
        <v>0.0</v>
      </c>
    </row>
    <row r="4769" ht="15.75" customHeight="1">
      <c r="B4769" s="370">
        <f t="shared" si="2"/>
        <v>0.5516203704</v>
      </c>
      <c r="C4769" s="56">
        <f t="shared" si="3"/>
        <v>47660</v>
      </c>
      <c r="D4769" s="56">
        <v>0.0</v>
      </c>
    </row>
    <row r="4770" ht="15.75" customHeight="1">
      <c r="B4770" s="370">
        <f t="shared" si="2"/>
        <v>0.5517361111</v>
      </c>
      <c r="C4770" s="56">
        <f t="shared" si="3"/>
        <v>47670</v>
      </c>
      <c r="D4770" s="56">
        <v>0.0</v>
      </c>
    </row>
    <row r="4771" ht="15.75" customHeight="1">
      <c r="B4771" s="370">
        <f t="shared" si="2"/>
        <v>0.5518518519</v>
      </c>
      <c r="C4771" s="56">
        <f t="shared" si="3"/>
        <v>47680</v>
      </c>
      <c r="D4771" s="56">
        <v>0.0</v>
      </c>
    </row>
    <row r="4772" ht="15.75" customHeight="1">
      <c r="B4772" s="370">
        <f t="shared" si="2"/>
        <v>0.5519675926</v>
      </c>
      <c r="C4772" s="56">
        <f t="shared" si="3"/>
        <v>47690</v>
      </c>
      <c r="D4772" s="56">
        <v>0.0</v>
      </c>
    </row>
    <row r="4773" ht="15.75" customHeight="1">
      <c r="B4773" s="370">
        <f t="shared" si="2"/>
        <v>0.5520833333</v>
      </c>
      <c r="C4773" s="56">
        <f t="shared" si="3"/>
        <v>47700</v>
      </c>
      <c r="D4773" s="56">
        <v>0.0</v>
      </c>
    </row>
    <row r="4774" ht="15.75" customHeight="1">
      <c r="B4774" s="370">
        <f t="shared" si="2"/>
        <v>0.5521990741</v>
      </c>
      <c r="C4774" s="56">
        <f t="shared" si="3"/>
        <v>47710</v>
      </c>
      <c r="D4774" s="56">
        <v>0.0</v>
      </c>
    </row>
    <row r="4775" ht="15.75" customHeight="1">
      <c r="B4775" s="370">
        <f t="shared" si="2"/>
        <v>0.5523148148</v>
      </c>
      <c r="C4775" s="56">
        <f t="shared" si="3"/>
        <v>47720</v>
      </c>
      <c r="D4775" s="56">
        <v>0.0</v>
      </c>
    </row>
    <row r="4776" ht="15.75" customHeight="1">
      <c r="B4776" s="370">
        <f t="shared" si="2"/>
        <v>0.5524305556</v>
      </c>
      <c r="C4776" s="56">
        <f t="shared" si="3"/>
        <v>47730</v>
      </c>
      <c r="D4776" s="56">
        <v>0.0</v>
      </c>
    </row>
    <row r="4777" ht="15.75" customHeight="1">
      <c r="B4777" s="370">
        <f t="shared" si="2"/>
        <v>0.5525462963</v>
      </c>
      <c r="C4777" s="56">
        <f t="shared" si="3"/>
        <v>47740</v>
      </c>
      <c r="D4777" s="56">
        <v>0.0</v>
      </c>
    </row>
    <row r="4778" ht="15.75" customHeight="1">
      <c r="B4778" s="370">
        <f t="shared" si="2"/>
        <v>0.552662037</v>
      </c>
      <c r="C4778" s="56">
        <f t="shared" si="3"/>
        <v>47750</v>
      </c>
      <c r="D4778" s="56">
        <v>0.0</v>
      </c>
    </row>
    <row r="4779" ht="15.75" customHeight="1">
      <c r="B4779" s="370">
        <f t="shared" si="2"/>
        <v>0.5527777778</v>
      </c>
      <c r="C4779" s="56">
        <f t="shared" si="3"/>
        <v>47760</v>
      </c>
      <c r="D4779" s="56">
        <v>0.0</v>
      </c>
    </row>
    <row r="4780" ht="15.75" customHeight="1">
      <c r="B4780" s="370">
        <f t="shared" si="2"/>
        <v>0.5528935185</v>
      </c>
      <c r="C4780" s="56">
        <f t="shared" si="3"/>
        <v>47770</v>
      </c>
      <c r="D4780" s="56">
        <v>0.0</v>
      </c>
    </row>
    <row r="4781" ht="15.75" customHeight="1">
      <c r="B4781" s="370">
        <f t="shared" si="2"/>
        <v>0.5530092593</v>
      </c>
      <c r="C4781" s="56">
        <f t="shared" si="3"/>
        <v>47780</v>
      </c>
      <c r="D4781" s="56">
        <v>0.0</v>
      </c>
    </row>
    <row r="4782" ht="15.75" customHeight="1">
      <c r="B4782" s="370">
        <f t="shared" si="2"/>
        <v>0.553125</v>
      </c>
      <c r="C4782" s="56">
        <f t="shared" si="3"/>
        <v>47790</v>
      </c>
      <c r="D4782" s="56">
        <v>0.0</v>
      </c>
    </row>
    <row r="4783" ht="15.75" customHeight="1">
      <c r="B4783" s="370">
        <f t="shared" si="2"/>
        <v>0.5532407407</v>
      </c>
      <c r="C4783" s="56">
        <f t="shared" si="3"/>
        <v>47800</v>
      </c>
      <c r="D4783" s="56">
        <v>0.0</v>
      </c>
    </row>
    <row r="4784" ht="15.75" customHeight="1">
      <c r="B4784" s="370">
        <f t="shared" si="2"/>
        <v>0.5533564815</v>
      </c>
      <c r="C4784" s="56">
        <f t="shared" si="3"/>
        <v>47810</v>
      </c>
      <c r="D4784" s="56">
        <v>0.0</v>
      </c>
    </row>
    <row r="4785" ht="15.75" customHeight="1">
      <c r="B4785" s="370">
        <f t="shared" si="2"/>
        <v>0.5534722222</v>
      </c>
      <c r="C4785" s="56">
        <f t="shared" si="3"/>
        <v>47820</v>
      </c>
      <c r="D4785" s="56">
        <v>0.0</v>
      </c>
    </row>
    <row r="4786" ht="15.75" customHeight="1">
      <c r="B4786" s="370">
        <f t="shared" si="2"/>
        <v>0.553587963</v>
      </c>
      <c r="C4786" s="56">
        <f t="shared" si="3"/>
        <v>47830</v>
      </c>
      <c r="D4786" s="56">
        <v>0.0</v>
      </c>
    </row>
    <row r="4787" ht="15.75" customHeight="1">
      <c r="B4787" s="370">
        <f t="shared" si="2"/>
        <v>0.5537037037</v>
      </c>
      <c r="C4787" s="56">
        <f t="shared" si="3"/>
        <v>47840</v>
      </c>
      <c r="D4787" s="56">
        <v>0.0</v>
      </c>
    </row>
    <row r="4788" ht="15.75" customHeight="1">
      <c r="B4788" s="370">
        <f t="shared" si="2"/>
        <v>0.5538194444</v>
      </c>
      <c r="C4788" s="56">
        <f t="shared" si="3"/>
        <v>47850</v>
      </c>
      <c r="D4788" s="56">
        <v>0.0</v>
      </c>
    </row>
    <row r="4789" ht="15.75" customHeight="1">
      <c r="B4789" s="370">
        <f t="shared" si="2"/>
        <v>0.5539351852</v>
      </c>
      <c r="C4789" s="56">
        <f t="shared" si="3"/>
        <v>47860</v>
      </c>
      <c r="D4789" s="56">
        <v>0.0</v>
      </c>
    </row>
    <row r="4790" ht="15.75" customHeight="1">
      <c r="B4790" s="370">
        <f t="shared" si="2"/>
        <v>0.5540509259</v>
      </c>
      <c r="C4790" s="56">
        <f t="shared" si="3"/>
        <v>47870</v>
      </c>
      <c r="D4790" s="56">
        <v>0.0</v>
      </c>
    </row>
    <row r="4791" ht="15.75" customHeight="1">
      <c r="B4791" s="370">
        <f t="shared" si="2"/>
        <v>0.5541666667</v>
      </c>
      <c r="C4791" s="56">
        <f t="shared" si="3"/>
        <v>47880</v>
      </c>
      <c r="D4791" s="56">
        <v>0.0</v>
      </c>
    </row>
    <row r="4792" ht="15.75" customHeight="1">
      <c r="B4792" s="370">
        <f t="shared" si="2"/>
        <v>0.5542824074</v>
      </c>
      <c r="C4792" s="56">
        <f t="shared" si="3"/>
        <v>47890</v>
      </c>
      <c r="D4792" s="56">
        <v>0.0</v>
      </c>
    </row>
    <row r="4793" ht="15.75" customHeight="1">
      <c r="B4793" s="370">
        <f t="shared" si="2"/>
        <v>0.5543981481</v>
      </c>
      <c r="C4793" s="56">
        <f t="shared" si="3"/>
        <v>47900</v>
      </c>
      <c r="D4793" s="56">
        <v>0.0</v>
      </c>
    </row>
    <row r="4794" ht="15.75" customHeight="1">
      <c r="B4794" s="370">
        <f t="shared" si="2"/>
        <v>0.5545138889</v>
      </c>
      <c r="C4794" s="56">
        <f t="shared" si="3"/>
        <v>47910</v>
      </c>
      <c r="D4794" s="56">
        <v>0.0</v>
      </c>
    </row>
    <row r="4795" ht="15.75" customHeight="1">
      <c r="B4795" s="370">
        <f t="shared" si="2"/>
        <v>0.5546296296</v>
      </c>
      <c r="C4795" s="56">
        <f t="shared" si="3"/>
        <v>47920</v>
      </c>
      <c r="D4795" s="56">
        <v>0.0</v>
      </c>
    </row>
    <row r="4796" ht="15.75" customHeight="1">
      <c r="B4796" s="370">
        <f t="shared" si="2"/>
        <v>0.5547453704</v>
      </c>
      <c r="C4796" s="56">
        <f t="shared" si="3"/>
        <v>47930</v>
      </c>
      <c r="D4796" s="56">
        <v>0.0</v>
      </c>
    </row>
    <row r="4797" ht="15.75" customHeight="1">
      <c r="B4797" s="370">
        <f t="shared" si="2"/>
        <v>0.5548611111</v>
      </c>
      <c r="C4797" s="56">
        <f t="shared" si="3"/>
        <v>47940</v>
      </c>
      <c r="D4797" s="56">
        <v>0.0</v>
      </c>
    </row>
    <row r="4798" ht="15.75" customHeight="1">
      <c r="B4798" s="370">
        <f t="shared" si="2"/>
        <v>0.5549768519</v>
      </c>
      <c r="C4798" s="56">
        <f t="shared" si="3"/>
        <v>47950</v>
      </c>
      <c r="D4798" s="56">
        <v>0.0</v>
      </c>
    </row>
    <row r="4799" ht="15.75" customHeight="1">
      <c r="B4799" s="370">
        <f t="shared" si="2"/>
        <v>0.5550925926</v>
      </c>
      <c r="C4799" s="56">
        <f t="shared" si="3"/>
        <v>47960</v>
      </c>
      <c r="D4799" s="56">
        <v>0.0</v>
      </c>
    </row>
    <row r="4800" ht="15.75" customHeight="1">
      <c r="B4800" s="370">
        <f t="shared" si="2"/>
        <v>0.5552083333</v>
      </c>
      <c r="C4800" s="56">
        <f t="shared" si="3"/>
        <v>47970</v>
      </c>
      <c r="D4800" s="56">
        <v>0.0</v>
      </c>
    </row>
    <row r="4801" ht="15.75" customHeight="1">
      <c r="B4801" s="370">
        <f t="shared" si="2"/>
        <v>0.5553240741</v>
      </c>
      <c r="C4801" s="56">
        <f t="shared" si="3"/>
        <v>47980</v>
      </c>
      <c r="D4801" s="56">
        <v>0.0</v>
      </c>
    </row>
    <row r="4802" ht="15.75" customHeight="1">
      <c r="B4802" s="370">
        <f t="shared" si="2"/>
        <v>0.5554398148</v>
      </c>
      <c r="C4802" s="56">
        <f t="shared" si="3"/>
        <v>47990</v>
      </c>
      <c r="D4802" s="56">
        <v>0.0</v>
      </c>
    </row>
    <row r="4803" ht="15.75" customHeight="1">
      <c r="B4803" s="370">
        <f t="shared" si="2"/>
        <v>0.5555555556</v>
      </c>
      <c r="C4803" s="56">
        <f t="shared" si="3"/>
        <v>48000</v>
      </c>
      <c r="D4803" s="56">
        <v>0.0</v>
      </c>
    </row>
    <row r="4804" ht="15.75" customHeight="1">
      <c r="B4804" s="370">
        <f t="shared" si="2"/>
        <v>0.5556712963</v>
      </c>
      <c r="C4804" s="56">
        <f t="shared" si="3"/>
        <v>48010</v>
      </c>
      <c r="D4804" s="56">
        <v>0.0</v>
      </c>
    </row>
    <row r="4805" ht="15.75" customHeight="1">
      <c r="B4805" s="370">
        <f t="shared" si="2"/>
        <v>0.555787037</v>
      </c>
      <c r="C4805" s="56">
        <f t="shared" si="3"/>
        <v>48020</v>
      </c>
      <c r="D4805" s="56">
        <v>0.0</v>
      </c>
    </row>
    <row r="4806" ht="15.75" customHeight="1">
      <c r="B4806" s="370">
        <f t="shared" si="2"/>
        <v>0.5559027778</v>
      </c>
      <c r="C4806" s="56">
        <f t="shared" si="3"/>
        <v>48030</v>
      </c>
      <c r="D4806" s="56">
        <v>0.0</v>
      </c>
    </row>
    <row r="4807" ht="15.75" customHeight="1">
      <c r="B4807" s="370">
        <f t="shared" si="2"/>
        <v>0.5560185185</v>
      </c>
      <c r="C4807" s="56">
        <f t="shared" si="3"/>
        <v>48040</v>
      </c>
      <c r="D4807" s="56">
        <v>0.0</v>
      </c>
    </row>
    <row r="4808" ht="15.75" customHeight="1">
      <c r="B4808" s="370">
        <f t="shared" si="2"/>
        <v>0.5561342593</v>
      </c>
      <c r="C4808" s="56">
        <f t="shared" si="3"/>
        <v>48050</v>
      </c>
      <c r="D4808" s="56">
        <v>0.0</v>
      </c>
    </row>
    <row r="4809" ht="15.75" customHeight="1">
      <c r="B4809" s="370">
        <f t="shared" si="2"/>
        <v>0.55625</v>
      </c>
      <c r="C4809" s="56">
        <f t="shared" si="3"/>
        <v>48060</v>
      </c>
      <c r="D4809" s="56">
        <v>0.0</v>
      </c>
    </row>
    <row r="4810" ht="15.75" customHeight="1">
      <c r="B4810" s="370">
        <f t="shared" si="2"/>
        <v>0.5563657407</v>
      </c>
      <c r="C4810" s="56">
        <f t="shared" si="3"/>
        <v>48070</v>
      </c>
      <c r="D4810" s="56">
        <v>0.0</v>
      </c>
    </row>
    <row r="4811" ht="15.75" customHeight="1">
      <c r="B4811" s="370">
        <f t="shared" si="2"/>
        <v>0.5564814815</v>
      </c>
      <c r="C4811" s="56">
        <f t="shared" si="3"/>
        <v>48080</v>
      </c>
      <c r="D4811" s="56">
        <v>0.0</v>
      </c>
    </row>
    <row r="4812" ht="15.75" customHeight="1">
      <c r="B4812" s="370">
        <f t="shared" si="2"/>
        <v>0.5565972222</v>
      </c>
      <c r="C4812" s="56">
        <f t="shared" si="3"/>
        <v>48090</v>
      </c>
      <c r="D4812" s="56">
        <v>0.0</v>
      </c>
    </row>
    <row r="4813" ht="15.75" customHeight="1">
      <c r="B4813" s="370">
        <f t="shared" si="2"/>
        <v>0.556712963</v>
      </c>
      <c r="C4813" s="56">
        <f t="shared" si="3"/>
        <v>48100</v>
      </c>
      <c r="D4813" s="56">
        <v>0.0</v>
      </c>
    </row>
    <row r="4814" ht="15.75" customHeight="1">
      <c r="B4814" s="370">
        <f t="shared" si="2"/>
        <v>0.5568287037</v>
      </c>
      <c r="C4814" s="56">
        <f t="shared" si="3"/>
        <v>48110</v>
      </c>
      <c r="D4814" s="56">
        <v>0.0</v>
      </c>
    </row>
    <row r="4815" ht="15.75" customHeight="1">
      <c r="B4815" s="370">
        <f t="shared" si="2"/>
        <v>0.5569444444</v>
      </c>
      <c r="C4815" s="56">
        <f t="shared" si="3"/>
        <v>48120</v>
      </c>
      <c r="D4815" s="56">
        <v>0.0</v>
      </c>
    </row>
    <row r="4816" ht="15.75" customHeight="1">
      <c r="B4816" s="370">
        <f t="shared" si="2"/>
        <v>0.5570601852</v>
      </c>
      <c r="C4816" s="56">
        <f t="shared" si="3"/>
        <v>48130</v>
      </c>
      <c r="D4816" s="56">
        <v>0.0</v>
      </c>
    </row>
    <row r="4817" ht="15.75" customHeight="1">
      <c r="B4817" s="370">
        <f t="shared" si="2"/>
        <v>0.5571759259</v>
      </c>
      <c r="C4817" s="56">
        <f t="shared" si="3"/>
        <v>48140</v>
      </c>
      <c r="D4817" s="56">
        <v>0.0</v>
      </c>
    </row>
    <row r="4818" ht="15.75" customHeight="1">
      <c r="B4818" s="370">
        <f t="shared" si="2"/>
        <v>0.5572916667</v>
      </c>
      <c r="C4818" s="56">
        <f t="shared" si="3"/>
        <v>48150</v>
      </c>
      <c r="D4818" s="56">
        <v>0.0</v>
      </c>
    </row>
    <row r="4819" ht="15.75" customHeight="1">
      <c r="B4819" s="370">
        <f t="shared" si="2"/>
        <v>0.5574074074</v>
      </c>
      <c r="C4819" s="56">
        <f t="shared" si="3"/>
        <v>48160</v>
      </c>
      <c r="D4819" s="56">
        <v>0.0</v>
      </c>
    </row>
    <row r="4820" ht="15.75" customHeight="1">
      <c r="B4820" s="370">
        <f t="shared" si="2"/>
        <v>0.5575231481</v>
      </c>
      <c r="C4820" s="56">
        <f t="shared" si="3"/>
        <v>48170</v>
      </c>
      <c r="D4820" s="56">
        <v>0.0</v>
      </c>
    </row>
    <row r="4821" ht="15.75" customHeight="1">
      <c r="B4821" s="370">
        <f t="shared" si="2"/>
        <v>0.5576388889</v>
      </c>
      <c r="C4821" s="56">
        <f t="shared" si="3"/>
        <v>48180</v>
      </c>
      <c r="D4821" s="56">
        <v>0.0</v>
      </c>
    </row>
    <row r="4822" ht="15.75" customHeight="1">
      <c r="B4822" s="370">
        <f t="shared" si="2"/>
        <v>0.5577546296</v>
      </c>
      <c r="C4822" s="56">
        <f t="shared" si="3"/>
        <v>48190</v>
      </c>
      <c r="D4822" s="56">
        <v>0.0</v>
      </c>
    </row>
    <row r="4823" ht="15.75" customHeight="1">
      <c r="B4823" s="370">
        <f t="shared" si="2"/>
        <v>0.5578703704</v>
      </c>
      <c r="C4823" s="56">
        <f t="shared" si="3"/>
        <v>48200</v>
      </c>
      <c r="D4823" s="56">
        <v>0.0</v>
      </c>
    </row>
    <row r="4824" ht="15.75" customHeight="1">
      <c r="B4824" s="370">
        <f t="shared" si="2"/>
        <v>0.5579861111</v>
      </c>
      <c r="C4824" s="56">
        <f t="shared" si="3"/>
        <v>48210</v>
      </c>
      <c r="D4824" s="56">
        <v>0.0</v>
      </c>
    </row>
    <row r="4825" ht="15.75" customHeight="1">
      <c r="B4825" s="370">
        <f t="shared" si="2"/>
        <v>0.5581018519</v>
      </c>
      <c r="C4825" s="56">
        <f t="shared" si="3"/>
        <v>48220</v>
      </c>
      <c r="D4825" s="56">
        <v>0.0</v>
      </c>
    </row>
    <row r="4826" ht="15.75" customHeight="1">
      <c r="B4826" s="370">
        <f t="shared" si="2"/>
        <v>0.5582175926</v>
      </c>
      <c r="C4826" s="56">
        <f t="shared" si="3"/>
        <v>48230</v>
      </c>
      <c r="D4826" s="56">
        <v>0.0</v>
      </c>
    </row>
    <row r="4827" ht="15.75" customHeight="1">
      <c r="B4827" s="370">
        <f t="shared" si="2"/>
        <v>0.5583333333</v>
      </c>
      <c r="C4827" s="56">
        <f t="shared" si="3"/>
        <v>48240</v>
      </c>
      <c r="D4827" s="56">
        <v>0.0</v>
      </c>
    </row>
    <row r="4828" ht="15.75" customHeight="1">
      <c r="B4828" s="370">
        <f t="shared" si="2"/>
        <v>0.5584490741</v>
      </c>
      <c r="C4828" s="56">
        <f t="shared" si="3"/>
        <v>48250</v>
      </c>
      <c r="D4828" s="56">
        <v>0.0</v>
      </c>
    </row>
    <row r="4829" ht="15.75" customHeight="1">
      <c r="B4829" s="370">
        <f t="shared" si="2"/>
        <v>0.5585648148</v>
      </c>
      <c r="C4829" s="56">
        <f t="shared" si="3"/>
        <v>48260</v>
      </c>
      <c r="D4829" s="56">
        <v>0.0</v>
      </c>
    </row>
    <row r="4830" ht="15.75" customHeight="1">
      <c r="B4830" s="370">
        <f t="shared" si="2"/>
        <v>0.5586805556</v>
      </c>
      <c r="C4830" s="56">
        <f t="shared" si="3"/>
        <v>48270</v>
      </c>
      <c r="D4830" s="56">
        <v>0.0</v>
      </c>
    </row>
    <row r="4831" ht="15.75" customHeight="1">
      <c r="B4831" s="370">
        <f t="shared" si="2"/>
        <v>0.5587962963</v>
      </c>
      <c r="C4831" s="56">
        <f t="shared" si="3"/>
        <v>48280</v>
      </c>
      <c r="D4831" s="56">
        <v>0.0</v>
      </c>
    </row>
    <row r="4832" ht="15.75" customHeight="1">
      <c r="B4832" s="370">
        <f t="shared" si="2"/>
        <v>0.558912037</v>
      </c>
      <c r="C4832" s="56">
        <f t="shared" si="3"/>
        <v>48290</v>
      </c>
      <c r="D4832" s="56">
        <v>0.0</v>
      </c>
    </row>
    <row r="4833" ht="15.75" customHeight="1">
      <c r="B4833" s="370">
        <f t="shared" si="2"/>
        <v>0.5590277778</v>
      </c>
      <c r="C4833" s="56">
        <f t="shared" si="3"/>
        <v>48300</v>
      </c>
      <c r="D4833" s="56">
        <v>0.0</v>
      </c>
    </row>
    <row r="4834" ht="15.75" customHeight="1">
      <c r="B4834" s="370">
        <f t="shared" si="2"/>
        <v>0.5591435185</v>
      </c>
      <c r="C4834" s="56">
        <f t="shared" si="3"/>
        <v>48310</v>
      </c>
      <c r="D4834" s="56">
        <v>0.0</v>
      </c>
    </row>
    <row r="4835" ht="15.75" customHeight="1">
      <c r="B4835" s="370">
        <f t="shared" si="2"/>
        <v>0.5592592593</v>
      </c>
      <c r="C4835" s="56">
        <f t="shared" si="3"/>
        <v>48320</v>
      </c>
      <c r="D4835" s="56">
        <v>0.0</v>
      </c>
    </row>
    <row r="4836" ht="15.75" customHeight="1">
      <c r="B4836" s="370">
        <f t="shared" si="2"/>
        <v>0.559375</v>
      </c>
      <c r="C4836" s="56">
        <f t="shared" si="3"/>
        <v>48330</v>
      </c>
      <c r="D4836" s="56">
        <v>0.0</v>
      </c>
    </row>
    <row r="4837" ht="15.75" customHeight="1">
      <c r="B4837" s="370">
        <f t="shared" si="2"/>
        <v>0.5594907407</v>
      </c>
      <c r="C4837" s="56">
        <f t="shared" si="3"/>
        <v>48340</v>
      </c>
      <c r="D4837" s="56">
        <v>0.0</v>
      </c>
    </row>
    <row r="4838" ht="15.75" customHeight="1">
      <c r="B4838" s="370">
        <f t="shared" si="2"/>
        <v>0.5596064815</v>
      </c>
      <c r="C4838" s="56">
        <f t="shared" si="3"/>
        <v>48350</v>
      </c>
      <c r="D4838" s="56">
        <v>0.0</v>
      </c>
    </row>
    <row r="4839" ht="15.75" customHeight="1">
      <c r="B4839" s="370">
        <f t="shared" si="2"/>
        <v>0.5597222222</v>
      </c>
      <c r="C4839" s="56">
        <f t="shared" si="3"/>
        <v>48360</v>
      </c>
      <c r="D4839" s="56">
        <v>0.0</v>
      </c>
    </row>
    <row r="4840" ht="15.75" customHeight="1">
      <c r="B4840" s="370">
        <f t="shared" si="2"/>
        <v>0.559837963</v>
      </c>
      <c r="C4840" s="56">
        <f t="shared" si="3"/>
        <v>48370</v>
      </c>
      <c r="D4840" s="56">
        <v>0.0</v>
      </c>
    </row>
    <row r="4841" ht="15.75" customHeight="1">
      <c r="B4841" s="370">
        <f t="shared" si="2"/>
        <v>0.5599537037</v>
      </c>
      <c r="C4841" s="56">
        <f t="shared" si="3"/>
        <v>48380</v>
      </c>
      <c r="D4841" s="56">
        <v>0.0</v>
      </c>
    </row>
    <row r="4842" ht="15.75" customHeight="1">
      <c r="B4842" s="370">
        <f t="shared" si="2"/>
        <v>0.5600694444</v>
      </c>
      <c r="C4842" s="56">
        <f t="shared" si="3"/>
        <v>48390</v>
      </c>
      <c r="D4842" s="56">
        <v>0.0</v>
      </c>
    </row>
    <row r="4843" ht="15.75" customHeight="1">
      <c r="B4843" s="370">
        <f t="shared" si="2"/>
        <v>0.5601851852</v>
      </c>
      <c r="C4843" s="56">
        <f t="shared" si="3"/>
        <v>48400</v>
      </c>
      <c r="D4843" s="56">
        <v>0.0</v>
      </c>
    </row>
    <row r="4844" ht="15.75" customHeight="1">
      <c r="B4844" s="370">
        <f t="shared" si="2"/>
        <v>0.5603009259</v>
      </c>
      <c r="C4844" s="56">
        <f t="shared" si="3"/>
        <v>48410</v>
      </c>
      <c r="D4844" s="56">
        <v>0.0</v>
      </c>
    </row>
    <row r="4845" ht="15.75" customHeight="1">
      <c r="B4845" s="370">
        <f t="shared" si="2"/>
        <v>0.5604166667</v>
      </c>
      <c r="C4845" s="56">
        <f t="shared" si="3"/>
        <v>48420</v>
      </c>
      <c r="D4845" s="56">
        <v>0.0</v>
      </c>
    </row>
    <row r="4846" ht="15.75" customHeight="1">
      <c r="B4846" s="370">
        <f t="shared" si="2"/>
        <v>0.5605324074</v>
      </c>
      <c r="C4846" s="56">
        <f t="shared" si="3"/>
        <v>48430</v>
      </c>
      <c r="D4846" s="56">
        <v>0.0</v>
      </c>
    </row>
    <row r="4847" ht="15.75" customHeight="1">
      <c r="B4847" s="370">
        <f t="shared" si="2"/>
        <v>0.5606481481</v>
      </c>
      <c r="C4847" s="56">
        <f t="shared" si="3"/>
        <v>48440</v>
      </c>
      <c r="D4847" s="56">
        <v>0.0</v>
      </c>
    </row>
    <row r="4848" ht="15.75" customHeight="1">
      <c r="B4848" s="370">
        <f t="shared" si="2"/>
        <v>0.5607638889</v>
      </c>
      <c r="C4848" s="56">
        <f t="shared" si="3"/>
        <v>48450</v>
      </c>
      <c r="D4848" s="56">
        <v>0.0</v>
      </c>
    </row>
    <row r="4849" ht="15.75" customHeight="1">
      <c r="B4849" s="370">
        <f t="shared" si="2"/>
        <v>0.5608796296</v>
      </c>
      <c r="C4849" s="56">
        <f t="shared" si="3"/>
        <v>48460</v>
      </c>
      <c r="D4849" s="56">
        <v>0.0</v>
      </c>
    </row>
    <row r="4850" ht="15.75" customHeight="1">
      <c r="B4850" s="370">
        <f t="shared" si="2"/>
        <v>0.5609953704</v>
      </c>
      <c r="C4850" s="56">
        <f t="shared" si="3"/>
        <v>48470</v>
      </c>
      <c r="D4850" s="56">
        <v>0.0</v>
      </c>
    </row>
    <row r="4851" ht="15.75" customHeight="1">
      <c r="B4851" s="370">
        <f t="shared" si="2"/>
        <v>0.5611111111</v>
      </c>
      <c r="C4851" s="56">
        <f t="shared" si="3"/>
        <v>48480</v>
      </c>
      <c r="D4851" s="56">
        <v>0.0</v>
      </c>
    </row>
    <row r="4852" ht="15.75" customHeight="1">
      <c r="B4852" s="370">
        <f t="shared" si="2"/>
        <v>0.5612268519</v>
      </c>
      <c r="C4852" s="56">
        <f t="shared" si="3"/>
        <v>48490</v>
      </c>
      <c r="D4852" s="56">
        <v>1.796</v>
      </c>
    </row>
    <row r="4853" ht="15.75" customHeight="1">
      <c r="B4853" s="370">
        <f t="shared" si="2"/>
        <v>0.5613425926</v>
      </c>
      <c r="C4853" s="56">
        <f t="shared" si="3"/>
        <v>48500</v>
      </c>
      <c r="D4853" s="56">
        <v>3.504</v>
      </c>
    </row>
    <row r="4854" ht="15.75" customHeight="1">
      <c r="B4854" s="370">
        <f t="shared" si="2"/>
        <v>0.5614583333</v>
      </c>
      <c r="C4854" s="56">
        <f t="shared" si="3"/>
        <v>48510</v>
      </c>
      <c r="D4854" s="56">
        <v>3.512</v>
      </c>
    </row>
    <row r="4855" ht="15.75" customHeight="1">
      <c r="B4855" s="370">
        <f t="shared" si="2"/>
        <v>0.5615740741</v>
      </c>
      <c r="C4855" s="56">
        <f t="shared" si="3"/>
        <v>48520</v>
      </c>
      <c r="D4855" s="56">
        <v>3.498</v>
      </c>
    </row>
    <row r="4856" ht="15.75" customHeight="1">
      <c r="B4856" s="370">
        <f t="shared" si="2"/>
        <v>0.5616898148</v>
      </c>
      <c r="C4856" s="56">
        <f t="shared" si="3"/>
        <v>48530</v>
      </c>
      <c r="D4856" s="56">
        <v>3.062</v>
      </c>
    </row>
    <row r="4857" ht="15.75" customHeight="1">
      <c r="B4857" s="370">
        <f t="shared" si="2"/>
        <v>0.5618055556</v>
      </c>
      <c r="C4857" s="56">
        <f t="shared" si="3"/>
        <v>48540</v>
      </c>
      <c r="D4857" s="56">
        <v>2.222</v>
      </c>
    </row>
    <row r="4858" ht="15.75" customHeight="1">
      <c r="B4858" s="370">
        <f t="shared" si="2"/>
        <v>0.5619212963</v>
      </c>
      <c r="C4858" s="56">
        <f t="shared" si="3"/>
        <v>48550</v>
      </c>
      <c r="D4858" s="56">
        <v>2.208</v>
      </c>
    </row>
    <row r="4859" ht="15.75" customHeight="1">
      <c r="B4859" s="370">
        <f t="shared" si="2"/>
        <v>0.562037037</v>
      </c>
      <c r="C4859" s="56">
        <f t="shared" si="3"/>
        <v>48560</v>
      </c>
      <c r="D4859" s="56">
        <v>2.478</v>
      </c>
    </row>
    <row r="4860" ht="15.75" customHeight="1">
      <c r="B4860" s="370">
        <f t="shared" si="2"/>
        <v>0.5621527778</v>
      </c>
      <c r="C4860" s="56">
        <f t="shared" si="3"/>
        <v>48570</v>
      </c>
      <c r="D4860" s="56">
        <v>2.784</v>
      </c>
    </row>
    <row r="4861" ht="15.75" customHeight="1">
      <c r="B4861" s="370">
        <f t="shared" si="2"/>
        <v>0.5622685185</v>
      </c>
      <c r="C4861" s="56">
        <f t="shared" si="3"/>
        <v>48580</v>
      </c>
      <c r="D4861" s="56">
        <v>3.038</v>
      </c>
    </row>
    <row r="4862" ht="15.75" customHeight="1">
      <c r="B4862" s="370">
        <f t="shared" si="2"/>
        <v>0.5623842593</v>
      </c>
      <c r="C4862" s="56">
        <f t="shared" si="3"/>
        <v>48590</v>
      </c>
      <c r="D4862" s="56">
        <v>3.224</v>
      </c>
    </row>
    <row r="4863" ht="15.75" customHeight="1">
      <c r="B4863" s="370">
        <f t="shared" si="2"/>
        <v>0.5625</v>
      </c>
      <c r="C4863" s="56">
        <f t="shared" si="3"/>
        <v>48600</v>
      </c>
      <c r="D4863" s="56">
        <v>3.101</v>
      </c>
    </row>
    <row r="4864" ht="15.75" customHeight="1">
      <c r="B4864" s="370">
        <f t="shared" si="2"/>
        <v>0.5626157407</v>
      </c>
      <c r="C4864" s="56">
        <f t="shared" si="3"/>
        <v>48610</v>
      </c>
      <c r="D4864" s="56">
        <v>2.943</v>
      </c>
    </row>
    <row r="4865" ht="15.75" customHeight="1">
      <c r="B4865" s="370">
        <f t="shared" si="2"/>
        <v>0.5627314815</v>
      </c>
      <c r="C4865" s="56">
        <f t="shared" si="3"/>
        <v>48620</v>
      </c>
      <c r="D4865" s="56">
        <v>2.811</v>
      </c>
    </row>
    <row r="4866" ht="15.75" customHeight="1">
      <c r="B4866" s="370">
        <f t="shared" si="2"/>
        <v>0.5628472222</v>
      </c>
      <c r="C4866" s="56">
        <f t="shared" si="3"/>
        <v>48630</v>
      </c>
      <c r="D4866" s="56">
        <v>2.888</v>
      </c>
    </row>
    <row r="4867" ht="15.75" customHeight="1">
      <c r="B4867" s="370">
        <f t="shared" si="2"/>
        <v>0.562962963</v>
      </c>
      <c r="C4867" s="56">
        <f t="shared" si="3"/>
        <v>48640</v>
      </c>
      <c r="D4867" s="56">
        <v>2.828</v>
      </c>
    </row>
    <row r="4868" ht="15.75" customHeight="1">
      <c r="B4868" s="370">
        <f t="shared" si="2"/>
        <v>0.5630787037</v>
      </c>
      <c r="C4868" s="56">
        <f t="shared" si="3"/>
        <v>48650</v>
      </c>
      <c r="D4868" s="56">
        <v>2.742</v>
      </c>
    </row>
    <row r="4869" ht="15.75" customHeight="1">
      <c r="B4869" s="370">
        <f t="shared" si="2"/>
        <v>0.5631944444</v>
      </c>
      <c r="C4869" s="56">
        <f t="shared" si="3"/>
        <v>48660</v>
      </c>
      <c r="D4869" s="56">
        <v>2.591</v>
      </c>
    </row>
    <row r="4870" ht="15.75" customHeight="1">
      <c r="B4870" s="370">
        <f t="shared" si="2"/>
        <v>0.5633101852</v>
      </c>
      <c r="C4870" s="56">
        <f t="shared" si="3"/>
        <v>48670</v>
      </c>
      <c r="D4870" s="56">
        <v>2.429</v>
      </c>
    </row>
    <row r="4871" ht="15.75" customHeight="1">
      <c r="B4871" s="370">
        <f t="shared" si="2"/>
        <v>0.5634259259</v>
      </c>
      <c r="C4871" s="56">
        <f t="shared" si="3"/>
        <v>48680</v>
      </c>
      <c r="D4871" s="56">
        <v>2.248</v>
      </c>
    </row>
    <row r="4872" ht="15.75" customHeight="1">
      <c r="B4872" s="370">
        <f t="shared" si="2"/>
        <v>0.5635416667</v>
      </c>
      <c r="C4872" s="56">
        <f t="shared" si="3"/>
        <v>48690</v>
      </c>
      <c r="D4872" s="56">
        <v>3.208</v>
      </c>
    </row>
    <row r="4873" ht="15.75" customHeight="1">
      <c r="B4873" s="370">
        <f t="shared" si="2"/>
        <v>0.5636574074</v>
      </c>
      <c r="C4873" s="56">
        <f t="shared" si="3"/>
        <v>48700</v>
      </c>
      <c r="D4873" s="56">
        <v>3.462</v>
      </c>
    </row>
    <row r="4874" ht="15.75" customHeight="1">
      <c r="B4874" s="370">
        <f t="shared" si="2"/>
        <v>0.5637731481</v>
      </c>
      <c r="C4874" s="56">
        <f t="shared" si="3"/>
        <v>48710</v>
      </c>
      <c r="D4874" s="56">
        <v>3.485</v>
      </c>
    </row>
    <row r="4875" ht="15.75" customHeight="1">
      <c r="B4875" s="370">
        <f t="shared" si="2"/>
        <v>0.5638888889</v>
      </c>
      <c r="C4875" s="56">
        <f t="shared" si="3"/>
        <v>48720</v>
      </c>
      <c r="D4875" s="56">
        <v>3.504</v>
      </c>
    </row>
    <row r="4876" ht="15.75" customHeight="1">
      <c r="B4876" s="370">
        <f t="shared" si="2"/>
        <v>0.5640046296</v>
      </c>
      <c r="C4876" s="56">
        <f t="shared" si="3"/>
        <v>48730</v>
      </c>
      <c r="D4876" s="56">
        <v>3.156</v>
      </c>
    </row>
    <row r="4877" ht="15.75" customHeight="1">
      <c r="B4877" s="370">
        <f t="shared" si="2"/>
        <v>0.5641203704</v>
      </c>
      <c r="C4877" s="56">
        <f t="shared" si="3"/>
        <v>48740</v>
      </c>
      <c r="D4877" s="56">
        <v>2.433</v>
      </c>
    </row>
    <row r="4878" ht="15.75" customHeight="1">
      <c r="B4878" s="370">
        <f t="shared" si="2"/>
        <v>0.5642361111</v>
      </c>
      <c r="C4878" s="56">
        <f t="shared" si="3"/>
        <v>48750</v>
      </c>
      <c r="D4878" s="56">
        <v>1.97</v>
      </c>
    </row>
    <row r="4879" ht="15.75" customHeight="1">
      <c r="B4879" s="370">
        <f t="shared" si="2"/>
        <v>0.5643518519</v>
      </c>
      <c r="C4879" s="56">
        <f t="shared" si="3"/>
        <v>48760</v>
      </c>
      <c r="D4879" s="56">
        <v>2.33</v>
      </c>
    </row>
    <row r="4880" ht="15.75" customHeight="1">
      <c r="B4880" s="370">
        <f t="shared" si="2"/>
        <v>0.5644675926</v>
      </c>
      <c r="C4880" s="56">
        <f t="shared" si="3"/>
        <v>48770</v>
      </c>
      <c r="D4880" s="56">
        <v>2.708</v>
      </c>
    </row>
    <row r="4881" ht="15.75" customHeight="1">
      <c r="B4881" s="370">
        <f t="shared" si="2"/>
        <v>0.5645833333</v>
      </c>
      <c r="C4881" s="56">
        <f t="shared" si="3"/>
        <v>48780</v>
      </c>
      <c r="D4881" s="56">
        <v>3.057</v>
      </c>
    </row>
    <row r="4882" ht="15.75" customHeight="1">
      <c r="B4882" s="370">
        <f t="shared" si="2"/>
        <v>0.5646990741</v>
      </c>
      <c r="C4882" s="56">
        <f t="shared" si="3"/>
        <v>48790</v>
      </c>
      <c r="D4882" s="56">
        <v>3.321</v>
      </c>
    </row>
    <row r="4883" ht="15.75" customHeight="1">
      <c r="B4883" s="370">
        <f t="shared" si="2"/>
        <v>0.5648148148</v>
      </c>
      <c r="C4883" s="56">
        <f t="shared" si="3"/>
        <v>48800</v>
      </c>
      <c r="D4883" s="56">
        <v>3.208</v>
      </c>
    </row>
    <row r="4884" ht="15.75" customHeight="1">
      <c r="B4884" s="370">
        <f t="shared" si="2"/>
        <v>0.5649305556</v>
      </c>
      <c r="C4884" s="56">
        <f t="shared" si="3"/>
        <v>48810</v>
      </c>
      <c r="D4884" s="56">
        <v>3.169</v>
      </c>
    </row>
    <row r="4885" ht="15.75" customHeight="1">
      <c r="B4885" s="370">
        <f t="shared" si="2"/>
        <v>0.5650462963</v>
      </c>
      <c r="C4885" s="56">
        <f t="shared" si="3"/>
        <v>48820</v>
      </c>
      <c r="D4885" s="56">
        <v>2.878</v>
      </c>
    </row>
    <row r="4886" ht="15.75" customHeight="1">
      <c r="B4886" s="370">
        <f t="shared" si="2"/>
        <v>0.565162037</v>
      </c>
      <c r="C4886" s="56">
        <f t="shared" si="3"/>
        <v>48830</v>
      </c>
      <c r="D4886" s="56">
        <v>2.746</v>
      </c>
    </row>
    <row r="4887" ht="15.75" customHeight="1">
      <c r="B4887" s="370">
        <f t="shared" si="2"/>
        <v>0.5652777778</v>
      </c>
      <c r="C4887" s="56">
        <f t="shared" si="3"/>
        <v>48840</v>
      </c>
      <c r="D4887" s="56">
        <v>2.755</v>
      </c>
    </row>
    <row r="4888" ht="15.75" customHeight="1">
      <c r="B4888" s="370">
        <f t="shared" si="2"/>
        <v>0.5653935185</v>
      </c>
      <c r="C4888" s="56">
        <f t="shared" si="3"/>
        <v>48850</v>
      </c>
      <c r="D4888" s="56">
        <v>2.755</v>
      </c>
    </row>
    <row r="4889" ht="15.75" customHeight="1">
      <c r="B4889" s="370">
        <f t="shared" si="2"/>
        <v>0.5655092593</v>
      </c>
      <c r="C4889" s="56">
        <f t="shared" si="3"/>
        <v>48860</v>
      </c>
      <c r="D4889" s="56">
        <v>2.673</v>
      </c>
    </row>
    <row r="4890" ht="15.75" customHeight="1">
      <c r="B4890" s="370">
        <f t="shared" si="2"/>
        <v>0.565625</v>
      </c>
      <c r="C4890" s="56">
        <f t="shared" si="3"/>
        <v>48870</v>
      </c>
      <c r="D4890" s="56">
        <v>2.58</v>
      </c>
    </row>
    <row r="4891" ht="15.75" customHeight="1">
      <c r="B4891" s="370">
        <f t="shared" si="2"/>
        <v>0.5657407407</v>
      </c>
      <c r="C4891" s="56">
        <f t="shared" si="3"/>
        <v>48880</v>
      </c>
      <c r="D4891" s="56">
        <v>2.329</v>
      </c>
    </row>
    <row r="4892" ht="15.75" customHeight="1">
      <c r="B4892" s="370">
        <f t="shared" si="2"/>
        <v>0.5658564815</v>
      </c>
      <c r="C4892" s="56">
        <f t="shared" si="3"/>
        <v>48890</v>
      </c>
      <c r="D4892" s="56">
        <v>3.069</v>
      </c>
    </row>
    <row r="4893" ht="15.75" customHeight="1">
      <c r="B4893" s="370">
        <f t="shared" si="2"/>
        <v>0.5659722222</v>
      </c>
      <c r="C4893" s="56">
        <f t="shared" si="3"/>
        <v>48900</v>
      </c>
      <c r="D4893" s="56">
        <v>3.385</v>
      </c>
    </row>
    <row r="4894" ht="15.75" customHeight="1">
      <c r="B4894" s="370">
        <f t="shared" si="2"/>
        <v>0.566087963</v>
      </c>
      <c r="C4894" s="56">
        <f t="shared" si="3"/>
        <v>48910</v>
      </c>
      <c r="D4894" s="56">
        <v>3.43</v>
      </c>
    </row>
    <row r="4895" ht="15.75" customHeight="1">
      <c r="B4895" s="370">
        <f t="shared" si="2"/>
        <v>0.5662037037</v>
      </c>
      <c r="C4895" s="56">
        <f t="shared" si="3"/>
        <v>48920</v>
      </c>
      <c r="D4895" s="56">
        <v>3.476</v>
      </c>
    </row>
    <row r="4896" ht="15.75" customHeight="1">
      <c r="B4896" s="370">
        <f t="shared" si="2"/>
        <v>0.5663194444</v>
      </c>
      <c r="C4896" s="56">
        <f t="shared" si="3"/>
        <v>48930</v>
      </c>
      <c r="D4896" s="56">
        <v>3.213</v>
      </c>
    </row>
    <row r="4897" ht="15.75" customHeight="1">
      <c r="B4897" s="370">
        <f t="shared" si="2"/>
        <v>0.5664351852</v>
      </c>
      <c r="C4897" s="56">
        <f t="shared" si="3"/>
        <v>48940</v>
      </c>
      <c r="D4897" s="56">
        <v>2.553</v>
      </c>
    </row>
    <row r="4898" ht="15.75" customHeight="1">
      <c r="B4898" s="370">
        <f t="shared" si="2"/>
        <v>0.5665509259</v>
      </c>
      <c r="C4898" s="56">
        <f t="shared" si="3"/>
        <v>48950</v>
      </c>
      <c r="D4898" s="56">
        <v>2.082</v>
      </c>
    </row>
    <row r="4899" ht="15.75" customHeight="1">
      <c r="B4899" s="370">
        <f t="shared" si="2"/>
        <v>0.5666666667</v>
      </c>
      <c r="C4899" s="56">
        <f t="shared" si="3"/>
        <v>48960</v>
      </c>
      <c r="D4899" s="56">
        <v>2.092</v>
      </c>
    </row>
    <row r="4900" ht="15.75" customHeight="1">
      <c r="B4900" s="370">
        <f t="shared" si="2"/>
        <v>0.5667824074</v>
      </c>
      <c r="C4900" s="56">
        <f t="shared" si="3"/>
        <v>48970</v>
      </c>
      <c r="D4900" s="56">
        <v>2.593</v>
      </c>
    </row>
    <row r="4901" ht="15.75" customHeight="1">
      <c r="B4901" s="370">
        <f t="shared" si="2"/>
        <v>0.5668981481</v>
      </c>
      <c r="C4901" s="56">
        <f t="shared" si="3"/>
        <v>48980</v>
      </c>
      <c r="D4901" s="56">
        <v>3.038</v>
      </c>
    </row>
    <row r="4902" ht="15.75" customHeight="1">
      <c r="B4902" s="370">
        <f t="shared" si="2"/>
        <v>0.5670138889</v>
      </c>
      <c r="C4902" s="56">
        <f t="shared" si="3"/>
        <v>48990</v>
      </c>
      <c r="D4902" s="56">
        <v>3.401</v>
      </c>
    </row>
    <row r="4903" ht="15.75" customHeight="1">
      <c r="B4903" s="370">
        <f t="shared" si="2"/>
        <v>0.5671296296</v>
      </c>
      <c r="C4903" s="56">
        <f t="shared" si="3"/>
        <v>49000</v>
      </c>
      <c r="D4903" s="56">
        <v>3.354</v>
      </c>
    </row>
    <row r="4904" ht="15.75" customHeight="1">
      <c r="B4904" s="370">
        <f t="shared" si="2"/>
        <v>0.5672453704</v>
      </c>
      <c r="C4904" s="56">
        <f t="shared" si="3"/>
        <v>49010</v>
      </c>
      <c r="D4904" s="56">
        <v>3.291</v>
      </c>
    </row>
    <row r="4905" ht="15.75" customHeight="1">
      <c r="B4905" s="370">
        <f t="shared" si="2"/>
        <v>0.5673611111</v>
      </c>
      <c r="C4905" s="56">
        <f t="shared" si="3"/>
        <v>49020</v>
      </c>
      <c r="D4905" s="56">
        <v>3.081</v>
      </c>
    </row>
    <row r="4906" ht="15.75" customHeight="1">
      <c r="B4906" s="370">
        <f t="shared" si="2"/>
        <v>0.5674768519</v>
      </c>
      <c r="C4906" s="56">
        <f t="shared" si="3"/>
        <v>49030</v>
      </c>
      <c r="D4906" s="56">
        <v>2.511</v>
      </c>
    </row>
    <row r="4907" ht="15.75" customHeight="1">
      <c r="B4907" s="370">
        <f t="shared" si="2"/>
        <v>0.5675925926</v>
      </c>
      <c r="C4907" s="56">
        <f t="shared" si="3"/>
        <v>49040</v>
      </c>
      <c r="D4907" s="56">
        <v>2.647</v>
      </c>
    </row>
    <row r="4908" ht="15.75" customHeight="1">
      <c r="B4908" s="370">
        <f t="shared" si="2"/>
        <v>0.5677083333</v>
      </c>
      <c r="C4908" s="56">
        <f t="shared" si="3"/>
        <v>49050</v>
      </c>
      <c r="D4908" s="56">
        <v>2.734</v>
      </c>
    </row>
    <row r="4909" ht="15.75" customHeight="1">
      <c r="B4909" s="370">
        <f t="shared" si="2"/>
        <v>0.5678240741</v>
      </c>
      <c r="C4909" s="56">
        <f t="shared" si="3"/>
        <v>49060</v>
      </c>
      <c r="D4909" s="56">
        <v>2.713</v>
      </c>
    </row>
    <row r="4910" ht="15.75" customHeight="1">
      <c r="B4910" s="370">
        <f t="shared" si="2"/>
        <v>0.5679398148</v>
      </c>
      <c r="C4910" s="56">
        <f t="shared" si="3"/>
        <v>49070</v>
      </c>
      <c r="D4910" s="56">
        <v>2.695</v>
      </c>
    </row>
    <row r="4911" ht="15.75" customHeight="1">
      <c r="B4911" s="370">
        <f t="shared" si="2"/>
        <v>0.5680555556</v>
      </c>
      <c r="C4911" s="56">
        <f t="shared" si="3"/>
        <v>49080</v>
      </c>
      <c r="D4911" s="56">
        <v>2.451</v>
      </c>
    </row>
    <row r="4912" ht="15.75" customHeight="1">
      <c r="B4912" s="370">
        <f t="shared" si="2"/>
        <v>0.5681712963</v>
      </c>
      <c r="C4912" s="56">
        <f t="shared" si="3"/>
        <v>49090</v>
      </c>
      <c r="D4912" s="56">
        <v>2.904</v>
      </c>
    </row>
    <row r="4913" ht="15.75" customHeight="1">
      <c r="B4913" s="370">
        <f t="shared" si="2"/>
        <v>0.568287037</v>
      </c>
      <c r="C4913" s="56">
        <f t="shared" si="3"/>
        <v>49100</v>
      </c>
      <c r="D4913" s="56">
        <v>3.273</v>
      </c>
    </row>
    <row r="4914" ht="15.75" customHeight="1">
      <c r="B4914" s="370">
        <f t="shared" si="2"/>
        <v>0.5684027778</v>
      </c>
      <c r="C4914" s="56">
        <f t="shared" si="3"/>
        <v>49110</v>
      </c>
      <c r="D4914" s="56">
        <v>3.341</v>
      </c>
    </row>
    <row r="4915" ht="15.75" customHeight="1">
      <c r="B4915" s="370">
        <f t="shared" si="2"/>
        <v>0.5685185185</v>
      </c>
      <c r="C4915" s="56">
        <f t="shared" si="3"/>
        <v>49120</v>
      </c>
      <c r="D4915" s="56">
        <v>3.423</v>
      </c>
    </row>
    <row r="4916" ht="15.75" customHeight="1">
      <c r="B4916" s="370">
        <f t="shared" si="2"/>
        <v>0.5686342593</v>
      </c>
      <c r="C4916" s="56">
        <f t="shared" si="3"/>
        <v>49130</v>
      </c>
      <c r="D4916" s="56">
        <v>3.239</v>
      </c>
    </row>
    <row r="4917" ht="15.75" customHeight="1">
      <c r="B4917" s="370">
        <f t="shared" si="2"/>
        <v>0.56875</v>
      </c>
      <c r="C4917" s="56">
        <f t="shared" si="3"/>
        <v>49140</v>
      </c>
      <c r="D4917" s="56">
        <v>2.712</v>
      </c>
    </row>
    <row r="4918" ht="15.75" customHeight="1">
      <c r="B4918" s="370">
        <f t="shared" si="2"/>
        <v>0.5688657407</v>
      </c>
      <c r="C4918" s="56">
        <f t="shared" si="3"/>
        <v>49150</v>
      </c>
      <c r="D4918" s="56">
        <v>2.27</v>
      </c>
    </row>
    <row r="4919" ht="15.75" customHeight="1">
      <c r="B4919" s="370">
        <f t="shared" si="2"/>
        <v>0.5689814815</v>
      </c>
      <c r="C4919" s="56">
        <f t="shared" si="3"/>
        <v>49160</v>
      </c>
      <c r="D4919" s="56">
        <v>1.958</v>
      </c>
    </row>
    <row r="4920" ht="15.75" customHeight="1">
      <c r="B4920" s="370">
        <f t="shared" si="2"/>
        <v>0.5690972222</v>
      </c>
      <c r="C4920" s="56">
        <f t="shared" si="3"/>
        <v>49170</v>
      </c>
      <c r="D4920" s="56">
        <v>2.443</v>
      </c>
    </row>
    <row r="4921" ht="15.75" customHeight="1">
      <c r="B4921" s="370">
        <f t="shared" si="2"/>
        <v>0.569212963</v>
      </c>
      <c r="C4921" s="56">
        <f t="shared" si="3"/>
        <v>49180</v>
      </c>
      <c r="D4921" s="56">
        <v>2.983</v>
      </c>
    </row>
    <row r="4922" ht="15.75" customHeight="1">
      <c r="B4922" s="370">
        <f t="shared" si="2"/>
        <v>0.5693287037</v>
      </c>
      <c r="C4922" s="56">
        <f t="shared" si="3"/>
        <v>49190</v>
      </c>
      <c r="D4922" s="56">
        <v>3.44</v>
      </c>
    </row>
    <row r="4923" ht="15.75" customHeight="1">
      <c r="B4923" s="370">
        <f t="shared" si="2"/>
        <v>0.5694444444</v>
      </c>
      <c r="C4923" s="56">
        <f t="shared" si="3"/>
        <v>49200</v>
      </c>
      <c r="D4923" s="56">
        <v>3.44</v>
      </c>
    </row>
    <row r="4924" ht="15.75" customHeight="1">
      <c r="B4924" s="370">
        <f t="shared" si="2"/>
        <v>0.5695601852</v>
      </c>
      <c r="C4924" s="56">
        <f t="shared" si="3"/>
        <v>49210</v>
      </c>
      <c r="D4924" s="56">
        <v>3.387</v>
      </c>
    </row>
    <row r="4925" ht="15.75" customHeight="1">
      <c r="B4925" s="370">
        <f t="shared" si="2"/>
        <v>0.5696759259</v>
      </c>
      <c r="C4925" s="56">
        <f t="shared" si="3"/>
        <v>49220</v>
      </c>
      <c r="D4925" s="56">
        <v>3.196</v>
      </c>
    </row>
    <row r="4926" ht="15.75" customHeight="1">
      <c r="B4926" s="370">
        <f t="shared" si="2"/>
        <v>0.5697916667</v>
      </c>
      <c r="C4926" s="56">
        <f t="shared" si="3"/>
        <v>49230</v>
      </c>
      <c r="D4926" s="56">
        <v>2.493</v>
      </c>
    </row>
    <row r="4927" ht="15.75" customHeight="1">
      <c r="B4927" s="370">
        <f t="shared" si="2"/>
        <v>0.5699074074</v>
      </c>
      <c r="C4927" s="56">
        <f t="shared" si="3"/>
        <v>49240</v>
      </c>
      <c r="D4927" s="56">
        <v>2.471</v>
      </c>
    </row>
    <row r="4928" ht="15.75" customHeight="1">
      <c r="B4928" s="370">
        <f t="shared" si="2"/>
        <v>0.5700231481</v>
      </c>
      <c r="C4928" s="56">
        <f t="shared" si="3"/>
        <v>49250</v>
      </c>
      <c r="D4928" s="56">
        <v>2.671</v>
      </c>
    </row>
    <row r="4929" ht="15.75" customHeight="1">
      <c r="B4929" s="370">
        <f t="shared" si="2"/>
        <v>0.5701388889</v>
      </c>
      <c r="C4929" s="56">
        <f t="shared" si="3"/>
        <v>49260</v>
      </c>
      <c r="D4929" s="56">
        <v>2.72</v>
      </c>
    </row>
    <row r="4930" ht="15.75" customHeight="1">
      <c r="B4930" s="370">
        <f t="shared" si="2"/>
        <v>0.5702546296</v>
      </c>
      <c r="C4930" s="56">
        <f t="shared" si="3"/>
        <v>49270</v>
      </c>
      <c r="D4930" s="56">
        <v>2.778</v>
      </c>
    </row>
    <row r="4931" ht="15.75" customHeight="1">
      <c r="B4931" s="370">
        <f t="shared" si="2"/>
        <v>0.5703703704</v>
      </c>
      <c r="C4931" s="56">
        <f t="shared" si="3"/>
        <v>49280</v>
      </c>
      <c r="D4931" s="56">
        <v>2.698</v>
      </c>
    </row>
    <row r="4932" ht="15.75" customHeight="1">
      <c r="B4932" s="370">
        <f t="shared" si="2"/>
        <v>0.5704861111</v>
      </c>
      <c r="C4932" s="56">
        <f t="shared" si="3"/>
        <v>49290</v>
      </c>
      <c r="D4932" s="56">
        <v>2.684</v>
      </c>
    </row>
    <row r="4933" ht="15.75" customHeight="1">
      <c r="B4933" s="370">
        <f t="shared" si="2"/>
        <v>0.5706018519</v>
      </c>
      <c r="C4933" s="56">
        <f t="shared" si="3"/>
        <v>49300</v>
      </c>
      <c r="D4933" s="56">
        <v>3.152</v>
      </c>
    </row>
    <row r="4934" ht="15.75" customHeight="1">
      <c r="B4934" s="370">
        <f t="shared" si="2"/>
        <v>0.5707175926</v>
      </c>
      <c r="C4934" s="56">
        <f t="shared" si="3"/>
        <v>49310</v>
      </c>
      <c r="D4934" s="56">
        <v>3.23</v>
      </c>
    </row>
    <row r="4935" ht="15.75" customHeight="1">
      <c r="B4935" s="370">
        <f t="shared" si="2"/>
        <v>0.5708333333</v>
      </c>
      <c r="C4935" s="56">
        <f t="shared" si="3"/>
        <v>49320</v>
      </c>
      <c r="D4935" s="56">
        <v>3.334</v>
      </c>
    </row>
    <row r="4936" ht="15.75" customHeight="1">
      <c r="B4936" s="370">
        <f t="shared" si="2"/>
        <v>0.5709490741</v>
      </c>
      <c r="C4936" s="56">
        <f t="shared" si="3"/>
        <v>49330</v>
      </c>
      <c r="D4936" s="56">
        <v>3.226</v>
      </c>
    </row>
    <row r="4937" ht="15.75" customHeight="1">
      <c r="B4937" s="370">
        <f t="shared" si="2"/>
        <v>0.5710648148</v>
      </c>
      <c r="C4937" s="56">
        <f t="shared" si="3"/>
        <v>49340</v>
      </c>
      <c r="D4937" s="56">
        <v>2.803</v>
      </c>
    </row>
    <row r="4938" ht="15.75" customHeight="1">
      <c r="B4938" s="370">
        <f t="shared" si="2"/>
        <v>0.5711805556</v>
      </c>
      <c r="C4938" s="56">
        <f t="shared" si="3"/>
        <v>49350</v>
      </c>
      <c r="D4938" s="56">
        <v>2.434</v>
      </c>
    </row>
    <row r="4939" ht="15.75" customHeight="1">
      <c r="B4939" s="370">
        <f t="shared" si="2"/>
        <v>0.5712962963</v>
      </c>
      <c r="C4939" s="56">
        <f t="shared" si="3"/>
        <v>49360</v>
      </c>
      <c r="D4939" s="56">
        <v>2.011</v>
      </c>
    </row>
    <row r="4940" ht="15.75" customHeight="1">
      <c r="B4940" s="370">
        <f t="shared" si="2"/>
        <v>0.571412037</v>
      </c>
      <c r="C4940" s="56">
        <f t="shared" si="3"/>
        <v>49370</v>
      </c>
      <c r="D4940" s="56">
        <v>2.269</v>
      </c>
    </row>
    <row r="4941" ht="15.75" customHeight="1">
      <c r="B4941" s="370">
        <f t="shared" si="2"/>
        <v>0.5715277778</v>
      </c>
      <c r="C4941" s="56">
        <f t="shared" si="3"/>
        <v>49380</v>
      </c>
      <c r="D4941" s="56">
        <v>2.898</v>
      </c>
    </row>
    <row r="4942" ht="15.75" customHeight="1">
      <c r="B4942" s="370">
        <f t="shared" si="2"/>
        <v>0.5716435185</v>
      </c>
      <c r="C4942" s="56">
        <f t="shared" si="3"/>
        <v>49390</v>
      </c>
      <c r="D4942" s="56">
        <v>3.445</v>
      </c>
    </row>
    <row r="4943" ht="15.75" customHeight="1">
      <c r="B4943" s="370">
        <f t="shared" si="2"/>
        <v>0.5717592593</v>
      </c>
      <c r="C4943" s="56">
        <f t="shared" si="3"/>
        <v>49400</v>
      </c>
      <c r="D4943" s="56">
        <v>3.492</v>
      </c>
    </row>
    <row r="4944" ht="15.75" customHeight="1">
      <c r="B4944" s="370">
        <f t="shared" si="2"/>
        <v>0.571875</v>
      </c>
      <c r="C4944" s="56">
        <f t="shared" si="3"/>
        <v>49410</v>
      </c>
      <c r="D4944" s="56">
        <v>3.463</v>
      </c>
    </row>
    <row r="4945" ht="15.75" customHeight="1">
      <c r="B4945" s="370">
        <f t="shared" si="2"/>
        <v>0.5719907407</v>
      </c>
      <c r="C4945" s="56">
        <f t="shared" si="3"/>
        <v>49420</v>
      </c>
      <c r="D4945" s="56">
        <v>3.344</v>
      </c>
    </row>
    <row r="4946" ht="15.75" customHeight="1">
      <c r="B4946" s="370">
        <f t="shared" si="2"/>
        <v>0.5721064815</v>
      </c>
      <c r="C4946" s="56">
        <f t="shared" si="3"/>
        <v>49430</v>
      </c>
      <c r="D4946" s="56">
        <v>2.679</v>
      </c>
    </row>
    <row r="4947" ht="15.75" customHeight="1">
      <c r="B4947" s="370">
        <f t="shared" si="2"/>
        <v>0.5722222222</v>
      </c>
      <c r="C4947" s="56">
        <f t="shared" si="3"/>
        <v>49440</v>
      </c>
      <c r="D4947" s="56">
        <v>2.33</v>
      </c>
    </row>
    <row r="4948" ht="15.75" customHeight="1">
      <c r="B4948" s="370">
        <f t="shared" si="2"/>
        <v>0.572337963</v>
      </c>
      <c r="C4948" s="56">
        <f t="shared" si="3"/>
        <v>49450</v>
      </c>
      <c r="D4948" s="56">
        <v>2.581</v>
      </c>
    </row>
    <row r="4949" ht="15.75" customHeight="1">
      <c r="B4949" s="370">
        <f t="shared" si="2"/>
        <v>0.5724537037</v>
      </c>
      <c r="C4949" s="56">
        <f t="shared" si="3"/>
        <v>49460</v>
      </c>
      <c r="D4949" s="56">
        <v>2.692</v>
      </c>
    </row>
    <row r="4950" ht="15.75" customHeight="1">
      <c r="B4950" s="370">
        <f t="shared" si="2"/>
        <v>0.5725694444</v>
      </c>
      <c r="C4950" s="56">
        <f t="shared" si="3"/>
        <v>49470</v>
      </c>
      <c r="D4950" s="56">
        <v>2.824</v>
      </c>
    </row>
    <row r="4951" ht="15.75" customHeight="1">
      <c r="B4951" s="370">
        <f t="shared" si="2"/>
        <v>0.5726851852</v>
      </c>
      <c r="C4951" s="56">
        <f t="shared" si="3"/>
        <v>49480</v>
      </c>
      <c r="D4951" s="56">
        <v>2.839</v>
      </c>
    </row>
    <row r="4952" ht="15.75" customHeight="1">
      <c r="B4952" s="370">
        <f t="shared" si="2"/>
        <v>0.5728009259</v>
      </c>
      <c r="C4952" s="56">
        <f t="shared" si="3"/>
        <v>49490</v>
      </c>
      <c r="D4952" s="56">
        <v>2.828</v>
      </c>
    </row>
    <row r="4953" ht="15.75" customHeight="1">
      <c r="B4953" s="370">
        <f t="shared" si="2"/>
        <v>0.5729166667</v>
      </c>
      <c r="C4953" s="56">
        <f t="shared" si="3"/>
        <v>49500</v>
      </c>
      <c r="D4953" s="56">
        <v>2.965</v>
      </c>
    </row>
    <row r="4954" ht="15.75" customHeight="1">
      <c r="B4954" s="370">
        <f t="shared" si="2"/>
        <v>0.5730324074</v>
      </c>
      <c r="C4954" s="56">
        <f t="shared" si="3"/>
        <v>49510</v>
      </c>
      <c r="D4954" s="56">
        <v>3.098</v>
      </c>
    </row>
    <row r="4955" ht="15.75" customHeight="1">
      <c r="B4955" s="370">
        <f t="shared" si="2"/>
        <v>0.5731481481</v>
      </c>
      <c r="C4955" s="56">
        <f t="shared" si="3"/>
        <v>49520</v>
      </c>
      <c r="D4955" s="56">
        <v>3.196</v>
      </c>
    </row>
    <row r="4956" ht="15.75" customHeight="1">
      <c r="B4956" s="370">
        <f t="shared" si="2"/>
        <v>0.5732638889</v>
      </c>
      <c r="C4956" s="56">
        <f t="shared" si="3"/>
        <v>49530</v>
      </c>
      <c r="D4956" s="56">
        <v>3.175</v>
      </c>
    </row>
    <row r="4957" ht="15.75" customHeight="1">
      <c r="B4957" s="370">
        <f t="shared" si="2"/>
        <v>0.5733796296</v>
      </c>
      <c r="C4957" s="56">
        <f t="shared" si="3"/>
        <v>49540</v>
      </c>
      <c r="D4957" s="56">
        <v>2.854</v>
      </c>
    </row>
    <row r="4958" ht="15.75" customHeight="1">
      <c r="B4958" s="370">
        <f t="shared" si="2"/>
        <v>0.5734953704</v>
      </c>
      <c r="C4958" s="56">
        <f t="shared" si="3"/>
        <v>49550</v>
      </c>
      <c r="D4958" s="56">
        <v>2.546</v>
      </c>
    </row>
    <row r="4959" ht="15.75" customHeight="1">
      <c r="B4959" s="370">
        <f t="shared" si="2"/>
        <v>0.5736111111</v>
      </c>
      <c r="C4959" s="56">
        <f t="shared" si="3"/>
        <v>49560</v>
      </c>
      <c r="D4959" s="56">
        <v>2.272</v>
      </c>
    </row>
    <row r="4960" ht="15.75" customHeight="1">
      <c r="B4960" s="370">
        <f t="shared" si="2"/>
        <v>0.5737268519</v>
      </c>
      <c r="C4960" s="56">
        <f t="shared" si="3"/>
        <v>49570</v>
      </c>
      <c r="D4960" s="56">
        <v>2.013</v>
      </c>
    </row>
    <row r="4961" ht="15.75" customHeight="1">
      <c r="B4961" s="370">
        <f t="shared" si="2"/>
        <v>0.5738425926</v>
      </c>
      <c r="C4961" s="56">
        <f t="shared" si="3"/>
        <v>49580</v>
      </c>
      <c r="D4961" s="56">
        <v>2.773</v>
      </c>
    </row>
    <row r="4962" ht="15.75" customHeight="1">
      <c r="B4962" s="370">
        <f t="shared" si="2"/>
        <v>0.5739583333</v>
      </c>
      <c r="C4962" s="56">
        <f t="shared" si="3"/>
        <v>49590</v>
      </c>
      <c r="D4962" s="56">
        <v>3.418</v>
      </c>
    </row>
    <row r="4963" ht="15.75" customHeight="1">
      <c r="B4963" s="370">
        <f t="shared" si="2"/>
        <v>0.5740740741</v>
      </c>
      <c r="C4963" s="56">
        <f t="shared" si="3"/>
        <v>49600</v>
      </c>
      <c r="D4963" s="56">
        <v>3.524</v>
      </c>
    </row>
    <row r="4964" ht="15.75" customHeight="1">
      <c r="B4964" s="370">
        <f t="shared" si="2"/>
        <v>0.5741898148</v>
      </c>
      <c r="C4964" s="56">
        <f t="shared" si="3"/>
        <v>49610</v>
      </c>
      <c r="D4964" s="56">
        <v>3.502</v>
      </c>
    </row>
    <row r="4965" ht="15.75" customHeight="1">
      <c r="B4965" s="370">
        <f t="shared" si="2"/>
        <v>0.5743055556</v>
      </c>
      <c r="C4965" s="56">
        <f t="shared" si="3"/>
        <v>49620</v>
      </c>
      <c r="D4965" s="56">
        <v>3.43</v>
      </c>
    </row>
    <row r="4966" ht="15.75" customHeight="1">
      <c r="B4966" s="370">
        <f t="shared" si="2"/>
        <v>0.5744212963</v>
      </c>
      <c r="C4966" s="56">
        <f t="shared" si="3"/>
        <v>49630</v>
      </c>
      <c r="D4966" s="56">
        <v>2.864</v>
      </c>
    </row>
    <row r="4967" ht="15.75" customHeight="1">
      <c r="B4967" s="370">
        <f t="shared" si="2"/>
        <v>0.574537037</v>
      </c>
      <c r="C4967" s="56">
        <f t="shared" si="3"/>
        <v>49640</v>
      </c>
      <c r="D4967" s="56">
        <v>2.081</v>
      </c>
    </row>
    <row r="4968" ht="15.75" customHeight="1">
      <c r="B4968" s="370">
        <f t="shared" si="2"/>
        <v>0.5746527778</v>
      </c>
      <c r="C4968" s="56">
        <f t="shared" si="3"/>
        <v>49650</v>
      </c>
      <c r="D4968" s="56">
        <v>2.453</v>
      </c>
    </row>
    <row r="4969" ht="15.75" customHeight="1">
      <c r="B4969" s="370">
        <f t="shared" si="2"/>
        <v>0.5747685185</v>
      </c>
      <c r="C4969" s="56">
        <f t="shared" si="3"/>
        <v>49660</v>
      </c>
      <c r="D4969" s="56">
        <v>2.63</v>
      </c>
    </row>
    <row r="4970" ht="15.75" customHeight="1">
      <c r="B4970" s="370">
        <f t="shared" si="2"/>
        <v>0.5748842593</v>
      </c>
      <c r="C4970" s="56">
        <f t="shared" si="3"/>
        <v>49670</v>
      </c>
      <c r="D4970" s="56">
        <v>2.834</v>
      </c>
    </row>
    <row r="4971" ht="15.75" customHeight="1">
      <c r="B4971" s="370">
        <f t="shared" si="2"/>
        <v>0.575</v>
      </c>
      <c r="C4971" s="56">
        <f t="shared" si="3"/>
        <v>49680</v>
      </c>
      <c r="D4971" s="56">
        <v>2.945</v>
      </c>
    </row>
    <row r="4972" ht="15.75" customHeight="1">
      <c r="B4972" s="370">
        <f t="shared" si="2"/>
        <v>0.5751157407</v>
      </c>
      <c r="C4972" s="56">
        <f t="shared" si="3"/>
        <v>49690</v>
      </c>
      <c r="D4972" s="56">
        <v>2.951</v>
      </c>
    </row>
    <row r="4973" ht="15.75" customHeight="1">
      <c r="B4973" s="370">
        <f t="shared" si="2"/>
        <v>0.5752314815</v>
      </c>
      <c r="C4973" s="56">
        <f t="shared" si="3"/>
        <v>49700</v>
      </c>
      <c r="D4973" s="56">
        <v>2.868</v>
      </c>
    </row>
    <row r="4974" ht="15.75" customHeight="1">
      <c r="B4974" s="370">
        <f t="shared" si="2"/>
        <v>0.5753472222</v>
      </c>
      <c r="C4974" s="56">
        <f t="shared" si="3"/>
        <v>49710</v>
      </c>
      <c r="D4974" s="56">
        <v>2.887</v>
      </c>
    </row>
    <row r="4975" ht="15.75" customHeight="1">
      <c r="B4975" s="370">
        <f t="shared" si="2"/>
        <v>0.575462963</v>
      </c>
      <c r="C4975" s="56">
        <f t="shared" si="3"/>
        <v>49720</v>
      </c>
      <c r="D4975" s="56">
        <v>3.065</v>
      </c>
    </row>
    <row r="4976" ht="15.75" customHeight="1">
      <c r="B4976" s="370">
        <f t="shared" si="2"/>
        <v>0.5755787037</v>
      </c>
      <c r="C4976" s="56">
        <f t="shared" si="3"/>
        <v>49730</v>
      </c>
      <c r="D4976" s="56">
        <v>3.097</v>
      </c>
    </row>
    <row r="4977" ht="15.75" customHeight="1">
      <c r="B4977" s="370">
        <f t="shared" si="2"/>
        <v>0.5756944444</v>
      </c>
      <c r="C4977" s="56">
        <f t="shared" si="3"/>
        <v>49740</v>
      </c>
      <c r="D4977" s="56">
        <v>2.872</v>
      </c>
    </row>
    <row r="4978" ht="15.75" customHeight="1">
      <c r="B4978" s="370">
        <f t="shared" si="2"/>
        <v>0.5758101852</v>
      </c>
      <c r="C4978" s="56">
        <f t="shared" si="3"/>
        <v>49750</v>
      </c>
      <c r="D4978" s="56">
        <v>2.663</v>
      </c>
    </row>
    <row r="4979" ht="15.75" customHeight="1">
      <c r="B4979" s="370">
        <f t="shared" si="2"/>
        <v>0.5759259259</v>
      </c>
      <c r="C4979" s="56">
        <f t="shared" si="3"/>
        <v>49760</v>
      </c>
      <c r="D4979" s="56">
        <v>2.436</v>
      </c>
    </row>
    <row r="4980" ht="15.75" customHeight="1">
      <c r="B4980" s="370">
        <f t="shared" si="2"/>
        <v>0.5760416667</v>
      </c>
      <c r="C4980" s="56">
        <f t="shared" si="3"/>
        <v>49770</v>
      </c>
      <c r="D4980" s="56">
        <v>2.152</v>
      </c>
    </row>
    <row r="4981" ht="15.75" customHeight="1">
      <c r="B4981" s="370">
        <f t="shared" si="2"/>
        <v>0.5761574074</v>
      </c>
      <c r="C4981" s="56">
        <f t="shared" si="3"/>
        <v>49780</v>
      </c>
      <c r="D4981" s="56">
        <v>2.604</v>
      </c>
    </row>
    <row r="4982" ht="15.75" customHeight="1">
      <c r="B4982" s="370">
        <f t="shared" si="2"/>
        <v>0.5762731481</v>
      </c>
      <c r="C4982" s="56">
        <f t="shared" si="3"/>
        <v>49790</v>
      </c>
      <c r="D4982" s="56">
        <v>3.36</v>
      </c>
    </row>
    <row r="4983" ht="15.75" customHeight="1">
      <c r="B4983" s="370">
        <f t="shared" si="2"/>
        <v>0.5763888889</v>
      </c>
      <c r="C4983" s="56">
        <f t="shared" si="3"/>
        <v>49800</v>
      </c>
      <c r="D4983" s="56">
        <v>3.52</v>
      </c>
    </row>
    <row r="4984" ht="15.75" customHeight="1">
      <c r="B4984" s="370">
        <f t="shared" si="2"/>
        <v>0.5765046296</v>
      </c>
      <c r="C4984" s="56">
        <f t="shared" si="3"/>
        <v>49810</v>
      </c>
      <c r="D4984" s="56">
        <v>3.515</v>
      </c>
    </row>
    <row r="4985" ht="15.75" customHeight="1">
      <c r="B4985" s="370">
        <f t="shared" si="2"/>
        <v>0.5766203704</v>
      </c>
      <c r="C4985" s="56">
        <f t="shared" si="3"/>
        <v>49820</v>
      </c>
      <c r="D4985" s="56">
        <v>3.479</v>
      </c>
    </row>
    <row r="4986" ht="15.75" customHeight="1">
      <c r="B4986" s="370">
        <f t="shared" si="2"/>
        <v>0.5767361111</v>
      </c>
      <c r="C4986" s="56">
        <f t="shared" si="3"/>
        <v>49830</v>
      </c>
      <c r="D4986" s="56">
        <v>2.98</v>
      </c>
    </row>
    <row r="4987" ht="15.75" customHeight="1">
      <c r="B4987" s="370">
        <f t="shared" si="2"/>
        <v>0.5768518519</v>
      </c>
      <c r="C4987" s="56">
        <f t="shared" si="3"/>
        <v>49840</v>
      </c>
      <c r="D4987" s="56">
        <v>2.15</v>
      </c>
    </row>
    <row r="4988" ht="15.75" customHeight="1">
      <c r="B4988" s="370">
        <f t="shared" si="2"/>
        <v>0.5769675926</v>
      </c>
      <c r="C4988" s="56">
        <f t="shared" si="3"/>
        <v>49850</v>
      </c>
      <c r="D4988" s="56">
        <v>2.249</v>
      </c>
    </row>
    <row r="4989" ht="15.75" customHeight="1">
      <c r="B4989" s="370">
        <f t="shared" si="2"/>
        <v>0.5770833333</v>
      </c>
      <c r="C4989" s="56">
        <f t="shared" si="3"/>
        <v>49860</v>
      </c>
      <c r="D4989" s="56">
        <v>2.529</v>
      </c>
    </row>
    <row r="4990" ht="15.75" customHeight="1">
      <c r="B4990" s="370">
        <f t="shared" si="2"/>
        <v>0.5771990741</v>
      </c>
      <c r="C4990" s="56">
        <f t="shared" si="3"/>
        <v>49870</v>
      </c>
      <c r="D4990" s="56">
        <v>2.808</v>
      </c>
    </row>
    <row r="4991" ht="15.75" customHeight="1">
      <c r="B4991" s="370">
        <f t="shared" si="2"/>
        <v>0.5773148148</v>
      </c>
      <c r="C4991" s="56">
        <f t="shared" si="3"/>
        <v>49880</v>
      </c>
      <c r="D4991" s="56">
        <v>3.017</v>
      </c>
    </row>
    <row r="4992" ht="15.75" customHeight="1">
      <c r="B4992" s="370">
        <f t="shared" si="2"/>
        <v>0.5774305556</v>
      </c>
      <c r="C4992" s="56">
        <f t="shared" si="3"/>
        <v>49890</v>
      </c>
      <c r="D4992" s="56">
        <v>3.159</v>
      </c>
    </row>
    <row r="4993" ht="15.75" customHeight="1">
      <c r="B4993" s="370">
        <f t="shared" si="2"/>
        <v>0.5775462963</v>
      </c>
      <c r="C4993" s="56">
        <f t="shared" si="3"/>
        <v>49900</v>
      </c>
      <c r="D4993" s="56">
        <v>3.005</v>
      </c>
    </row>
    <row r="4994" ht="15.75" customHeight="1">
      <c r="B4994" s="370">
        <f t="shared" si="2"/>
        <v>0.577662037</v>
      </c>
      <c r="C4994" s="56">
        <f t="shared" si="3"/>
        <v>49910</v>
      </c>
      <c r="D4994" s="56">
        <v>2.947</v>
      </c>
    </row>
    <row r="4995" ht="15.75" customHeight="1">
      <c r="B4995" s="370">
        <f t="shared" si="2"/>
        <v>0.5777777778</v>
      </c>
      <c r="C4995" s="56">
        <f t="shared" si="3"/>
        <v>49920</v>
      </c>
      <c r="D4995" s="56">
        <v>2.851</v>
      </c>
    </row>
    <row r="4996" ht="15.75" customHeight="1">
      <c r="B4996" s="370">
        <f t="shared" si="2"/>
        <v>0.5778935185</v>
      </c>
      <c r="C4996" s="56">
        <f t="shared" si="3"/>
        <v>49930</v>
      </c>
      <c r="D4996" s="56">
        <v>2.979</v>
      </c>
    </row>
    <row r="4997" ht="15.75" customHeight="1">
      <c r="B4997" s="370">
        <f t="shared" si="2"/>
        <v>0.5780092593</v>
      </c>
      <c r="C4997" s="56">
        <f t="shared" si="3"/>
        <v>49940</v>
      </c>
      <c r="D4997" s="56">
        <v>2.851</v>
      </c>
    </row>
    <row r="4998" ht="15.75" customHeight="1">
      <c r="B4998" s="370">
        <f t="shared" si="2"/>
        <v>0.578125</v>
      </c>
      <c r="C4998" s="56">
        <f t="shared" si="3"/>
        <v>49950</v>
      </c>
      <c r="D4998" s="56">
        <v>2.726</v>
      </c>
    </row>
    <row r="4999" ht="15.75" customHeight="1">
      <c r="B4999" s="370">
        <f t="shared" si="2"/>
        <v>0.5782407407</v>
      </c>
      <c r="C4999" s="56">
        <f t="shared" si="3"/>
        <v>49960</v>
      </c>
      <c r="D4999" s="56">
        <v>2.549</v>
      </c>
    </row>
    <row r="5000" ht="15.75" customHeight="1">
      <c r="B5000" s="370">
        <f t="shared" si="2"/>
        <v>0.5783564815</v>
      </c>
      <c r="C5000" s="56">
        <f t="shared" si="3"/>
        <v>49970</v>
      </c>
      <c r="D5000" s="56">
        <v>2.283</v>
      </c>
    </row>
    <row r="5001" ht="15.75" customHeight="1">
      <c r="B5001" s="370">
        <f t="shared" si="2"/>
        <v>0.5784722222</v>
      </c>
      <c r="C5001" s="56">
        <f t="shared" si="3"/>
        <v>49980</v>
      </c>
      <c r="D5001" s="56">
        <v>2.431</v>
      </c>
    </row>
    <row r="5002" ht="15.75" customHeight="1">
      <c r="B5002" s="370">
        <f t="shared" si="2"/>
        <v>0.578587963</v>
      </c>
      <c r="C5002" s="56">
        <f t="shared" si="3"/>
        <v>49990</v>
      </c>
      <c r="D5002" s="56">
        <v>3.272</v>
      </c>
    </row>
    <row r="5003" ht="15.75" customHeight="1">
      <c r="B5003" s="370">
        <f t="shared" si="2"/>
        <v>0.5787037037</v>
      </c>
      <c r="C5003" s="56">
        <f t="shared" si="3"/>
        <v>50000</v>
      </c>
      <c r="D5003" s="56">
        <v>3.482</v>
      </c>
    </row>
    <row r="5004" ht="15.75" customHeight="1">
      <c r="B5004" s="370">
        <f t="shared" si="2"/>
        <v>0.5788194444</v>
      </c>
      <c r="C5004" s="56">
        <f t="shared" si="3"/>
        <v>50010</v>
      </c>
      <c r="D5004" s="56">
        <v>3.501</v>
      </c>
    </row>
    <row r="5005" ht="15.75" customHeight="1">
      <c r="B5005" s="370">
        <f t="shared" si="2"/>
        <v>0.5789351852</v>
      </c>
      <c r="C5005" s="56">
        <f t="shared" si="3"/>
        <v>50020</v>
      </c>
      <c r="D5005" s="56">
        <v>3.506</v>
      </c>
    </row>
    <row r="5006" ht="15.75" customHeight="1">
      <c r="B5006" s="370">
        <f t="shared" si="2"/>
        <v>0.5790509259</v>
      </c>
      <c r="C5006" s="56">
        <f t="shared" si="3"/>
        <v>50030</v>
      </c>
      <c r="D5006" s="56">
        <v>3.117</v>
      </c>
    </row>
    <row r="5007" ht="15.75" customHeight="1">
      <c r="B5007" s="370">
        <f t="shared" si="2"/>
        <v>0.5791666667</v>
      </c>
      <c r="C5007" s="56">
        <f t="shared" si="3"/>
        <v>50040</v>
      </c>
      <c r="D5007" s="56">
        <v>2.343</v>
      </c>
    </row>
    <row r="5008" ht="15.75" customHeight="1">
      <c r="B5008" s="370">
        <f t="shared" si="2"/>
        <v>0.5792824074</v>
      </c>
      <c r="C5008" s="56">
        <f t="shared" si="3"/>
        <v>50050</v>
      </c>
      <c r="D5008" s="56">
        <v>2.104</v>
      </c>
    </row>
    <row r="5009" ht="15.75" customHeight="1">
      <c r="B5009" s="370">
        <f t="shared" si="2"/>
        <v>0.5793981481</v>
      </c>
      <c r="C5009" s="56">
        <f t="shared" si="3"/>
        <v>50060</v>
      </c>
      <c r="D5009" s="56">
        <v>2.405</v>
      </c>
    </row>
    <row r="5010" ht="15.75" customHeight="1">
      <c r="B5010" s="370">
        <f t="shared" si="2"/>
        <v>0.5795138889</v>
      </c>
      <c r="C5010" s="56">
        <f t="shared" si="3"/>
        <v>50070</v>
      </c>
      <c r="D5010" s="56">
        <v>2.748</v>
      </c>
    </row>
    <row r="5011" ht="15.75" customHeight="1">
      <c r="B5011" s="370">
        <f t="shared" si="2"/>
        <v>0.5796296296</v>
      </c>
      <c r="C5011" s="56">
        <f t="shared" si="3"/>
        <v>50080</v>
      </c>
      <c r="D5011" s="56">
        <v>3.052</v>
      </c>
    </row>
    <row r="5012" ht="15.75" customHeight="1">
      <c r="B5012" s="370">
        <f t="shared" si="2"/>
        <v>0.5797453704</v>
      </c>
      <c r="C5012" s="56">
        <f t="shared" si="3"/>
        <v>50090</v>
      </c>
      <c r="D5012" s="56">
        <v>3.283</v>
      </c>
    </row>
    <row r="5013" ht="15.75" customHeight="1">
      <c r="B5013" s="370">
        <f t="shared" si="2"/>
        <v>0.5798611111</v>
      </c>
      <c r="C5013" s="56">
        <f t="shared" si="3"/>
        <v>50100</v>
      </c>
      <c r="D5013" s="56">
        <v>3.179</v>
      </c>
    </row>
    <row r="5014" ht="15.75" customHeight="1">
      <c r="B5014" s="370">
        <f t="shared" si="2"/>
        <v>0.5799768519</v>
      </c>
      <c r="C5014" s="56">
        <f t="shared" si="3"/>
        <v>50110</v>
      </c>
      <c r="D5014" s="56">
        <v>3.038</v>
      </c>
    </row>
    <row r="5015" ht="15.75" customHeight="1">
      <c r="B5015" s="370">
        <f t="shared" si="2"/>
        <v>0.5800925926</v>
      </c>
      <c r="C5015" s="56">
        <f t="shared" si="3"/>
        <v>50120</v>
      </c>
      <c r="D5015" s="56">
        <v>2.829</v>
      </c>
    </row>
    <row r="5016" ht="15.75" customHeight="1">
      <c r="B5016" s="370">
        <f t="shared" si="2"/>
        <v>0.5802083333</v>
      </c>
      <c r="C5016" s="56">
        <f t="shared" si="3"/>
        <v>50130</v>
      </c>
      <c r="D5016" s="56">
        <v>2.787</v>
      </c>
    </row>
    <row r="5017" ht="15.75" customHeight="1">
      <c r="B5017" s="370">
        <f t="shared" si="2"/>
        <v>0.5803240741</v>
      </c>
      <c r="C5017" s="56">
        <f t="shared" si="3"/>
        <v>50140</v>
      </c>
      <c r="D5017" s="56">
        <v>2.794</v>
      </c>
    </row>
    <row r="5018" ht="15.75" customHeight="1">
      <c r="B5018" s="370">
        <f t="shared" si="2"/>
        <v>0.5804398148</v>
      </c>
      <c r="C5018" s="56">
        <f t="shared" si="3"/>
        <v>50150</v>
      </c>
      <c r="D5018" s="56">
        <v>2.754</v>
      </c>
    </row>
    <row r="5019" ht="15.75" customHeight="1">
      <c r="B5019" s="370">
        <f t="shared" si="2"/>
        <v>0.5805555556</v>
      </c>
      <c r="C5019" s="56">
        <f t="shared" si="3"/>
        <v>50160</v>
      </c>
      <c r="D5019" s="56">
        <v>2.644</v>
      </c>
    </row>
    <row r="5020" ht="15.75" customHeight="1">
      <c r="B5020" s="370">
        <f t="shared" si="2"/>
        <v>0.5806712963</v>
      </c>
      <c r="C5020" s="56">
        <f t="shared" si="3"/>
        <v>50170</v>
      </c>
      <c r="D5020" s="56">
        <v>2.514</v>
      </c>
    </row>
    <row r="5021" ht="15.75" customHeight="1">
      <c r="B5021" s="370">
        <f t="shared" si="2"/>
        <v>0.580787037</v>
      </c>
      <c r="C5021" s="56">
        <f t="shared" si="3"/>
        <v>50180</v>
      </c>
      <c r="D5021" s="56">
        <v>2.222</v>
      </c>
    </row>
    <row r="5022" ht="15.75" customHeight="1">
      <c r="B5022" s="370">
        <f t="shared" si="2"/>
        <v>0.5809027778</v>
      </c>
      <c r="C5022" s="56">
        <f t="shared" si="3"/>
        <v>50190</v>
      </c>
      <c r="D5022" s="56">
        <v>3.137</v>
      </c>
    </row>
    <row r="5023" ht="15.75" customHeight="1">
      <c r="B5023" s="370">
        <f t="shared" si="2"/>
        <v>0.5810185185</v>
      </c>
      <c r="C5023" s="56">
        <f t="shared" si="3"/>
        <v>50200</v>
      </c>
      <c r="D5023" s="56">
        <v>3.425</v>
      </c>
    </row>
    <row r="5024" ht="15.75" customHeight="1">
      <c r="B5024" s="370">
        <f t="shared" si="2"/>
        <v>0.5811342593</v>
      </c>
      <c r="C5024" s="56">
        <f t="shared" si="3"/>
        <v>50210</v>
      </c>
      <c r="D5024" s="56">
        <v>3.458</v>
      </c>
    </row>
    <row r="5025" ht="15.75" customHeight="1">
      <c r="B5025" s="370">
        <f t="shared" si="2"/>
        <v>0.58125</v>
      </c>
      <c r="C5025" s="56">
        <f t="shared" si="3"/>
        <v>50220</v>
      </c>
      <c r="D5025" s="56">
        <v>3.496</v>
      </c>
    </row>
    <row r="5026" ht="15.75" customHeight="1">
      <c r="B5026" s="370">
        <f t="shared" si="2"/>
        <v>0.5813657407</v>
      </c>
      <c r="C5026" s="56">
        <f t="shared" si="3"/>
        <v>50230</v>
      </c>
      <c r="D5026" s="56">
        <v>3.193</v>
      </c>
    </row>
    <row r="5027" ht="15.75" customHeight="1">
      <c r="B5027" s="370">
        <f t="shared" si="2"/>
        <v>0.5814814815</v>
      </c>
      <c r="C5027" s="56">
        <f t="shared" si="3"/>
        <v>50240</v>
      </c>
      <c r="D5027" s="56">
        <v>2.523</v>
      </c>
    </row>
    <row r="5028" ht="15.75" customHeight="1">
      <c r="B5028" s="370">
        <f t="shared" si="2"/>
        <v>0.5815972222</v>
      </c>
      <c r="C5028" s="56">
        <f t="shared" si="3"/>
        <v>50250</v>
      </c>
      <c r="D5028" s="56">
        <v>1.955</v>
      </c>
    </row>
    <row r="5029" ht="15.75" customHeight="1">
      <c r="B5029" s="370">
        <f t="shared" si="2"/>
        <v>0.581712963</v>
      </c>
      <c r="C5029" s="56">
        <f t="shared" si="3"/>
        <v>50260</v>
      </c>
      <c r="D5029" s="56">
        <v>2.24</v>
      </c>
    </row>
    <row r="5030" ht="15.75" customHeight="1">
      <c r="B5030" s="370">
        <f t="shared" si="2"/>
        <v>0.5818287037</v>
      </c>
      <c r="C5030" s="56">
        <f t="shared" si="3"/>
        <v>50270</v>
      </c>
      <c r="D5030" s="56">
        <v>2.653</v>
      </c>
    </row>
    <row r="5031" ht="15.75" customHeight="1">
      <c r="B5031" s="370">
        <f t="shared" si="2"/>
        <v>0.5819444444</v>
      </c>
      <c r="C5031" s="56">
        <f t="shared" si="3"/>
        <v>50280</v>
      </c>
      <c r="D5031" s="56">
        <v>3.051</v>
      </c>
    </row>
    <row r="5032" ht="15.75" customHeight="1">
      <c r="B5032" s="370">
        <f t="shared" si="2"/>
        <v>0.5820601852</v>
      </c>
      <c r="C5032" s="56">
        <f t="shared" si="3"/>
        <v>50290</v>
      </c>
      <c r="D5032" s="56">
        <v>3.365</v>
      </c>
    </row>
    <row r="5033" ht="15.75" customHeight="1">
      <c r="B5033" s="370">
        <f t="shared" si="2"/>
        <v>0.5821759259</v>
      </c>
      <c r="C5033" s="56">
        <f t="shared" si="3"/>
        <v>50300</v>
      </c>
      <c r="D5033" s="56">
        <v>3.282</v>
      </c>
    </row>
    <row r="5034" ht="15.75" customHeight="1">
      <c r="B5034" s="370">
        <f t="shared" si="2"/>
        <v>0.5822916667</v>
      </c>
      <c r="C5034" s="56">
        <f t="shared" si="3"/>
        <v>50310</v>
      </c>
      <c r="D5034" s="56">
        <v>3.238</v>
      </c>
    </row>
    <row r="5035" ht="15.75" customHeight="1">
      <c r="B5035" s="370">
        <f t="shared" si="2"/>
        <v>0.5824074074</v>
      </c>
      <c r="C5035" s="56">
        <f t="shared" si="3"/>
        <v>50320</v>
      </c>
      <c r="D5035" s="56">
        <v>2.989</v>
      </c>
    </row>
    <row r="5036" ht="15.75" customHeight="1">
      <c r="B5036" s="370">
        <f t="shared" si="2"/>
        <v>0.5825231481</v>
      </c>
      <c r="C5036" s="56">
        <f t="shared" si="3"/>
        <v>50330</v>
      </c>
      <c r="D5036" s="56">
        <v>2.646</v>
      </c>
    </row>
    <row r="5037" ht="15.75" customHeight="1">
      <c r="B5037" s="370">
        <f t="shared" si="2"/>
        <v>0.5826388889</v>
      </c>
      <c r="C5037" s="56">
        <f t="shared" si="3"/>
        <v>50340</v>
      </c>
      <c r="D5037" s="56">
        <v>2.702</v>
      </c>
    </row>
    <row r="5038" ht="15.75" customHeight="1">
      <c r="B5038" s="370">
        <f t="shared" si="2"/>
        <v>0.5827546296</v>
      </c>
      <c r="C5038" s="56">
        <f t="shared" si="3"/>
        <v>50350</v>
      </c>
      <c r="D5038" s="56">
        <v>2.746</v>
      </c>
    </row>
    <row r="5039" ht="15.75" customHeight="1">
      <c r="B5039" s="370">
        <f t="shared" si="2"/>
        <v>0.5828703704</v>
      </c>
      <c r="C5039" s="56">
        <f t="shared" si="3"/>
        <v>50360</v>
      </c>
      <c r="D5039" s="56">
        <v>2.699</v>
      </c>
    </row>
    <row r="5040" ht="15.75" customHeight="1">
      <c r="B5040" s="370">
        <f t="shared" si="2"/>
        <v>0.5829861111</v>
      </c>
      <c r="C5040" s="56">
        <f t="shared" si="3"/>
        <v>50370</v>
      </c>
      <c r="D5040" s="56">
        <v>2.648</v>
      </c>
    </row>
    <row r="5041" ht="15.75" customHeight="1">
      <c r="B5041" s="370">
        <f t="shared" si="2"/>
        <v>0.5831018519</v>
      </c>
      <c r="C5041" s="56">
        <f t="shared" si="3"/>
        <v>50380</v>
      </c>
      <c r="D5041" s="56">
        <v>2.438</v>
      </c>
    </row>
    <row r="5042" ht="15.75" customHeight="1">
      <c r="B5042" s="370">
        <f t="shared" si="2"/>
        <v>0.5832175926</v>
      </c>
      <c r="C5042" s="56">
        <f t="shared" si="3"/>
        <v>50390</v>
      </c>
      <c r="D5042" s="56">
        <v>2.97</v>
      </c>
    </row>
    <row r="5043" ht="15.75" customHeight="1">
      <c r="B5043" s="370">
        <f t="shared" si="2"/>
        <v>0.5833333333</v>
      </c>
      <c r="C5043" s="56">
        <f t="shared" si="3"/>
        <v>50400</v>
      </c>
      <c r="D5043" s="56">
        <v>3.337</v>
      </c>
    </row>
    <row r="5044" ht="15.75" customHeight="1">
      <c r="B5044" s="370">
        <f t="shared" si="2"/>
        <v>0.5834490741</v>
      </c>
      <c r="C5044" s="56">
        <f t="shared" si="3"/>
        <v>50410</v>
      </c>
      <c r="D5044" s="56">
        <v>3.389</v>
      </c>
    </row>
    <row r="5045" ht="15.75" customHeight="1">
      <c r="B5045" s="370">
        <f t="shared" si="2"/>
        <v>0.5835648148</v>
      </c>
      <c r="C5045" s="56">
        <f t="shared" si="3"/>
        <v>50420</v>
      </c>
      <c r="D5045" s="56">
        <v>3.448</v>
      </c>
    </row>
    <row r="5046" ht="15.75" customHeight="1">
      <c r="B5046" s="370">
        <f t="shared" si="2"/>
        <v>0.5836805556</v>
      </c>
      <c r="C5046" s="56">
        <f t="shared" si="3"/>
        <v>50430</v>
      </c>
      <c r="D5046" s="56">
        <v>3.229</v>
      </c>
    </row>
    <row r="5047" ht="15.75" customHeight="1">
      <c r="B5047" s="370">
        <f t="shared" si="2"/>
        <v>0.5837962963</v>
      </c>
      <c r="C5047" s="56">
        <f t="shared" si="3"/>
        <v>50440</v>
      </c>
      <c r="D5047" s="56">
        <v>2.637</v>
      </c>
    </row>
    <row r="5048" ht="15.75" customHeight="1">
      <c r="B5048" s="370">
        <f t="shared" si="2"/>
        <v>0.583912037</v>
      </c>
      <c r="C5048" s="56">
        <f t="shared" si="3"/>
        <v>50450</v>
      </c>
      <c r="D5048" s="56">
        <v>2.186</v>
      </c>
    </row>
    <row r="5049" ht="15.75" customHeight="1">
      <c r="B5049" s="370">
        <f t="shared" si="2"/>
        <v>0.5840277778</v>
      </c>
      <c r="C5049" s="56">
        <f t="shared" si="3"/>
        <v>50460</v>
      </c>
      <c r="D5049" s="56">
        <v>1.974</v>
      </c>
    </row>
    <row r="5050" ht="15.75" customHeight="1">
      <c r="B5050" s="370">
        <f t="shared" si="2"/>
        <v>0.5841435185</v>
      </c>
      <c r="C5050" s="56">
        <f t="shared" si="3"/>
        <v>50470</v>
      </c>
      <c r="D5050" s="56">
        <v>2.519</v>
      </c>
    </row>
    <row r="5051" ht="15.75" customHeight="1">
      <c r="B5051" s="370">
        <f t="shared" si="2"/>
        <v>0.5842592593</v>
      </c>
      <c r="C5051" s="56">
        <f t="shared" si="3"/>
        <v>50480</v>
      </c>
      <c r="D5051" s="56">
        <v>3.015</v>
      </c>
    </row>
    <row r="5052" ht="15.75" customHeight="1">
      <c r="B5052" s="370">
        <f t="shared" si="2"/>
        <v>0.584375</v>
      </c>
      <c r="C5052" s="56">
        <f t="shared" si="3"/>
        <v>50490</v>
      </c>
      <c r="D5052" s="56">
        <v>3.428</v>
      </c>
    </row>
    <row r="5053" ht="15.75" customHeight="1">
      <c r="B5053" s="370">
        <f t="shared" si="2"/>
        <v>0.5844907407</v>
      </c>
      <c r="C5053" s="56">
        <f t="shared" si="3"/>
        <v>50500</v>
      </c>
      <c r="D5053" s="56">
        <v>3.403</v>
      </c>
    </row>
    <row r="5054" ht="15.75" customHeight="1">
      <c r="B5054" s="370">
        <f t="shared" si="2"/>
        <v>0.5846064815</v>
      </c>
      <c r="C5054" s="56">
        <f t="shared" si="3"/>
        <v>50510</v>
      </c>
      <c r="D5054" s="56">
        <v>3.349</v>
      </c>
    </row>
    <row r="5055" ht="15.75" customHeight="1">
      <c r="B5055" s="370">
        <f t="shared" si="2"/>
        <v>0.5847222222</v>
      </c>
      <c r="C5055" s="56">
        <f t="shared" si="3"/>
        <v>50520</v>
      </c>
      <c r="D5055" s="56">
        <v>3.163</v>
      </c>
    </row>
    <row r="5056" ht="15.75" customHeight="1">
      <c r="B5056" s="370">
        <f t="shared" si="2"/>
        <v>0.584837963</v>
      </c>
      <c r="C5056" s="56">
        <f t="shared" si="3"/>
        <v>50530</v>
      </c>
      <c r="D5056" s="56">
        <v>2.422</v>
      </c>
    </row>
    <row r="5057" ht="15.75" customHeight="1">
      <c r="B5057" s="370">
        <f t="shared" si="2"/>
        <v>0.5849537037</v>
      </c>
      <c r="C5057" s="56">
        <f t="shared" si="3"/>
        <v>50540</v>
      </c>
      <c r="D5057" s="56">
        <v>2.576</v>
      </c>
    </row>
    <row r="5058" ht="15.75" customHeight="1">
      <c r="B5058" s="370">
        <f t="shared" si="2"/>
        <v>0.5850694444</v>
      </c>
      <c r="C5058" s="56">
        <f t="shared" si="3"/>
        <v>50550</v>
      </c>
      <c r="D5058" s="56">
        <v>2.706</v>
      </c>
    </row>
    <row r="5059" ht="15.75" customHeight="1">
      <c r="B5059" s="370">
        <f t="shared" si="2"/>
        <v>0.5851851852</v>
      </c>
      <c r="C5059" s="56">
        <f t="shared" si="3"/>
        <v>50560</v>
      </c>
      <c r="D5059" s="56">
        <v>2.722</v>
      </c>
    </row>
    <row r="5060" ht="15.75" customHeight="1">
      <c r="B5060" s="370">
        <f t="shared" si="2"/>
        <v>0.5853009259</v>
      </c>
      <c r="C5060" s="56">
        <f t="shared" si="3"/>
        <v>50570</v>
      </c>
      <c r="D5060" s="56">
        <v>2.743</v>
      </c>
    </row>
    <row r="5061" ht="15.75" customHeight="1">
      <c r="B5061" s="370">
        <f t="shared" si="2"/>
        <v>0.5854166667</v>
      </c>
      <c r="C5061" s="56">
        <f t="shared" si="3"/>
        <v>50580</v>
      </c>
      <c r="D5061" s="56">
        <v>2.56</v>
      </c>
    </row>
    <row r="5062" ht="15.75" customHeight="1">
      <c r="B5062" s="370">
        <f t="shared" si="2"/>
        <v>0.5855324074</v>
      </c>
      <c r="C5062" s="56">
        <f t="shared" si="3"/>
        <v>50590</v>
      </c>
      <c r="D5062" s="56">
        <v>2.803</v>
      </c>
    </row>
    <row r="5063" ht="15.75" customHeight="1">
      <c r="B5063" s="370">
        <f t="shared" si="2"/>
        <v>0.5856481481</v>
      </c>
      <c r="C5063" s="56">
        <f t="shared" si="3"/>
        <v>50600</v>
      </c>
      <c r="D5063" s="56">
        <v>3.192</v>
      </c>
    </row>
    <row r="5064" ht="15.75" customHeight="1">
      <c r="B5064" s="370">
        <f t="shared" si="2"/>
        <v>0.5857638889</v>
      </c>
      <c r="C5064" s="56">
        <f t="shared" si="3"/>
        <v>50610</v>
      </c>
      <c r="D5064" s="56">
        <v>3.285</v>
      </c>
    </row>
    <row r="5065" ht="15.75" customHeight="1">
      <c r="B5065" s="370">
        <f t="shared" si="2"/>
        <v>0.5858796296</v>
      </c>
      <c r="C5065" s="56">
        <f t="shared" si="3"/>
        <v>50620</v>
      </c>
      <c r="D5065" s="56">
        <v>3.381</v>
      </c>
    </row>
    <row r="5066" ht="15.75" customHeight="1">
      <c r="B5066" s="370">
        <f t="shared" si="2"/>
        <v>0.5859953704</v>
      </c>
      <c r="C5066" s="56">
        <f t="shared" si="3"/>
        <v>50630</v>
      </c>
      <c r="D5066" s="56">
        <v>3.237</v>
      </c>
    </row>
    <row r="5067" ht="15.75" customHeight="1">
      <c r="B5067" s="370">
        <f t="shared" si="2"/>
        <v>0.5861111111</v>
      </c>
      <c r="C5067" s="56">
        <f t="shared" si="3"/>
        <v>50640</v>
      </c>
      <c r="D5067" s="56">
        <v>2.766</v>
      </c>
    </row>
    <row r="5068" ht="15.75" customHeight="1">
      <c r="B5068" s="370">
        <f t="shared" si="2"/>
        <v>0.5862268519</v>
      </c>
      <c r="C5068" s="56">
        <f t="shared" si="3"/>
        <v>50650</v>
      </c>
      <c r="D5068" s="56">
        <v>2.369</v>
      </c>
    </row>
    <row r="5069" ht="15.75" customHeight="1">
      <c r="B5069" s="370">
        <f t="shared" si="2"/>
        <v>0.5863425926</v>
      </c>
      <c r="C5069" s="56">
        <f t="shared" si="3"/>
        <v>50660</v>
      </c>
      <c r="D5069" s="56">
        <v>1.995</v>
      </c>
    </row>
    <row r="5070" ht="15.75" customHeight="1">
      <c r="B5070" s="370">
        <f t="shared" si="2"/>
        <v>0.5864583333</v>
      </c>
      <c r="C5070" s="56">
        <f t="shared" si="3"/>
        <v>50670</v>
      </c>
      <c r="D5070" s="56">
        <v>2.34</v>
      </c>
    </row>
    <row r="5071" ht="15.75" customHeight="1">
      <c r="B5071" s="370">
        <f t="shared" si="2"/>
        <v>0.5865740741</v>
      </c>
      <c r="C5071" s="56">
        <f t="shared" si="3"/>
        <v>50680</v>
      </c>
      <c r="D5071" s="56">
        <v>2.942</v>
      </c>
    </row>
    <row r="5072" ht="15.75" customHeight="1">
      <c r="B5072" s="370">
        <f t="shared" si="2"/>
        <v>0.5866898148</v>
      </c>
      <c r="C5072" s="56">
        <f t="shared" si="3"/>
        <v>50690</v>
      </c>
      <c r="D5072" s="56">
        <v>3.448</v>
      </c>
    </row>
    <row r="5073" ht="15.75" customHeight="1">
      <c r="B5073" s="370">
        <f t="shared" si="2"/>
        <v>0.5868055556</v>
      </c>
      <c r="C5073" s="56">
        <f t="shared" si="3"/>
        <v>50700</v>
      </c>
      <c r="D5073" s="56">
        <v>3.474</v>
      </c>
    </row>
    <row r="5074" ht="15.75" customHeight="1">
      <c r="B5074" s="370">
        <f t="shared" si="2"/>
        <v>0.5869212963</v>
      </c>
      <c r="C5074" s="56">
        <f t="shared" si="3"/>
        <v>50710</v>
      </c>
      <c r="D5074" s="56">
        <v>3.427</v>
      </c>
    </row>
    <row r="5075" ht="15.75" customHeight="1">
      <c r="B5075" s="370">
        <f t="shared" si="2"/>
        <v>0.587037037</v>
      </c>
      <c r="C5075" s="56">
        <f t="shared" si="3"/>
        <v>50720</v>
      </c>
      <c r="D5075" s="56">
        <v>3.274</v>
      </c>
    </row>
    <row r="5076" ht="15.75" customHeight="1">
      <c r="B5076" s="370">
        <f t="shared" si="2"/>
        <v>0.5871527778</v>
      </c>
      <c r="C5076" s="56">
        <f t="shared" si="3"/>
        <v>50730</v>
      </c>
      <c r="D5076" s="56">
        <v>2.602</v>
      </c>
    </row>
    <row r="5077" ht="15.75" customHeight="1">
      <c r="B5077" s="370">
        <f t="shared" si="2"/>
        <v>0.5872685185</v>
      </c>
      <c r="C5077" s="56">
        <f t="shared" si="3"/>
        <v>50740</v>
      </c>
      <c r="D5077" s="56">
        <v>2.365</v>
      </c>
    </row>
    <row r="5078" ht="15.75" customHeight="1">
      <c r="B5078" s="370">
        <f t="shared" si="2"/>
        <v>0.5873842593</v>
      </c>
      <c r="C5078" s="56">
        <f t="shared" si="3"/>
        <v>50750</v>
      </c>
      <c r="D5078" s="56">
        <v>2.626</v>
      </c>
    </row>
    <row r="5079" ht="15.75" customHeight="1">
      <c r="B5079" s="370">
        <f t="shared" si="2"/>
        <v>0.5875</v>
      </c>
      <c r="C5079" s="56">
        <f t="shared" si="3"/>
        <v>50760</v>
      </c>
      <c r="D5079" s="56">
        <v>2.709</v>
      </c>
    </row>
    <row r="5080" ht="15.75" customHeight="1">
      <c r="B5080" s="370">
        <f t="shared" si="2"/>
        <v>0.5876157407</v>
      </c>
      <c r="C5080" s="56">
        <f t="shared" si="3"/>
        <v>50770</v>
      </c>
      <c r="D5080" s="56">
        <v>2.807</v>
      </c>
    </row>
    <row r="5081" ht="15.75" customHeight="1">
      <c r="B5081" s="370">
        <f t="shared" si="2"/>
        <v>0.5877314815</v>
      </c>
      <c r="C5081" s="56">
        <f t="shared" si="3"/>
        <v>50780</v>
      </c>
      <c r="D5081" s="56">
        <v>2.779</v>
      </c>
    </row>
    <row r="5082" ht="15.75" customHeight="1">
      <c r="B5082" s="370">
        <f t="shared" si="2"/>
        <v>0.5878472222</v>
      </c>
      <c r="C5082" s="56">
        <f t="shared" si="3"/>
        <v>50790</v>
      </c>
      <c r="D5082" s="56">
        <v>2.698</v>
      </c>
    </row>
    <row r="5083" ht="15.75" customHeight="1">
      <c r="B5083" s="370">
        <f t="shared" si="2"/>
        <v>0.587962963</v>
      </c>
      <c r="C5083" s="56">
        <f t="shared" si="3"/>
        <v>50800</v>
      </c>
      <c r="D5083" s="56">
        <v>3.074</v>
      </c>
    </row>
    <row r="5084" ht="15.75" customHeight="1">
      <c r="B5084" s="370">
        <f t="shared" si="2"/>
        <v>0.5880787037</v>
      </c>
      <c r="C5084" s="56">
        <f t="shared" si="3"/>
        <v>50810</v>
      </c>
      <c r="D5084" s="56">
        <v>3.154</v>
      </c>
    </row>
    <row r="5085" ht="15.75" customHeight="1">
      <c r="B5085" s="370">
        <f t="shared" si="2"/>
        <v>0.5881944444</v>
      </c>
      <c r="C5085" s="56">
        <f t="shared" si="3"/>
        <v>50820</v>
      </c>
      <c r="D5085" s="56">
        <v>3.273</v>
      </c>
    </row>
    <row r="5086" ht="15.75" customHeight="1">
      <c r="B5086" s="370">
        <f t="shared" si="2"/>
        <v>0.5883101852</v>
      </c>
      <c r="C5086" s="56">
        <f t="shared" si="3"/>
        <v>50830</v>
      </c>
      <c r="D5086" s="56">
        <v>3.205</v>
      </c>
    </row>
    <row r="5087" ht="15.75" customHeight="1">
      <c r="B5087" s="370">
        <f t="shared" si="2"/>
        <v>0.5884259259</v>
      </c>
      <c r="C5087" s="56">
        <f t="shared" si="3"/>
        <v>50840</v>
      </c>
      <c r="D5087" s="56">
        <v>2.835</v>
      </c>
    </row>
    <row r="5088" ht="15.75" customHeight="1">
      <c r="B5088" s="370">
        <f t="shared" si="2"/>
        <v>0.5885416667</v>
      </c>
      <c r="C5088" s="56">
        <f t="shared" si="3"/>
        <v>50850</v>
      </c>
      <c r="D5088" s="56">
        <v>2.508</v>
      </c>
    </row>
    <row r="5089" ht="15.75" customHeight="1">
      <c r="B5089" s="370">
        <f t="shared" si="2"/>
        <v>0.5886574074</v>
      </c>
      <c r="C5089" s="56">
        <f t="shared" si="3"/>
        <v>50860</v>
      </c>
      <c r="D5089" s="56">
        <v>2.124</v>
      </c>
    </row>
    <row r="5090" ht="15.75" customHeight="1">
      <c r="B5090" s="370">
        <f t="shared" si="2"/>
        <v>0.5887731481</v>
      </c>
      <c r="C5090" s="56">
        <f t="shared" si="3"/>
        <v>50870</v>
      </c>
      <c r="D5090" s="56">
        <v>2.16</v>
      </c>
    </row>
    <row r="5091" ht="15.75" customHeight="1">
      <c r="B5091" s="370">
        <f t="shared" si="2"/>
        <v>0.5888888889</v>
      </c>
      <c r="C5091" s="56">
        <f t="shared" si="3"/>
        <v>50880</v>
      </c>
      <c r="D5091" s="56">
        <v>2.834</v>
      </c>
    </row>
    <row r="5092" ht="15.75" customHeight="1">
      <c r="B5092" s="370">
        <f t="shared" si="2"/>
        <v>0.5890046296</v>
      </c>
      <c r="C5092" s="56">
        <f t="shared" si="3"/>
        <v>50890</v>
      </c>
      <c r="D5092" s="56">
        <v>3.431</v>
      </c>
    </row>
    <row r="5093" ht="15.75" customHeight="1">
      <c r="B5093" s="370">
        <f t="shared" si="2"/>
        <v>0.5891203704</v>
      </c>
      <c r="C5093" s="56">
        <f t="shared" si="3"/>
        <v>50900</v>
      </c>
      <c r="D5093" s="56">
        <v>3.51</v>
      </c>
    </row>
    <row r="5094" ht="15.75" customHeight="1">
      <c r="B5094" s="370">
        <f t="shared" si="2"/>
        <v>0.5892361111</v>
      </c>
      <c r="C5094" s="56">
        <f t="shared" si="3"/>
        <v>50910</v>
      </c>
      <c r="D5094" s="56">
        <v>3.488</v>
      </c>
    </row>
    <row r="5095" ht="15.75" customHeight="1">
      <c r="B5095" s="370">
        <f t="shared" si="2"/>
        <v>0.5893518519</v>
      </c>
      <c r="C5095" s="56">
        <f t="shared" si="3"/>
        <v>50920</v>
      </c>
      <c r="D5095" s="56">
        <v>3.394</v>
      </c>
    </row>
    <row r="5096" ht="15.75" customHeight="1">
      <c r="B5096" s="370">
        <f t="shared" si="2"/>
        <v>0.5894675926</v>
      </c>
      <c r="C5096" s="56">
        <f t="shared" si="3"/>
        <v>50930</v>
      </c>
      <c r="D5096" s="56">
        <v>2.792</v>
      </c>
    </row>
    <row r="5097" ht="15.75" customHeight="1">
      <c r="B5097" s="370">
        <f t="shared" si="2"/>
        <v>0.5895833333</v>
      </c>
      <c r="C5097" s="56">
        <f t="shared" si="3"/>
        <v>50940</v>
      </c>
      <c r="D5097" s="56">
        <v>2.223</v>
      </c>
    </row>
    <row r="5098" ht="15.75" customHeight="1">
      <c r="B5098" s="370">
        <f t="shared" si="2"/>
        <v>0.5896990741</v>
      </c>
      <c r="C5098" s="56">
        <f t="shared" si="3"/>
        <v>50950</v>
      </c>
      <c r="D5098" s="56">
        <v>2.518</v>
      </c>
    </row>
    <row r="5099" ht="15.75" customHeight="1">
      <c r="B5099" s="370">
        <f t="shared" si="2"/>
        <v>0.5898148148</v>
      </c>
      <c r="C5099" s="56">
        <f t="shared" si="3"/>
        <v>50960</v>
      </c>
      <c r="D5099" s="56">
        <v>2.662</v>
      </c>
    </row>
    <row r="5100" ht="15.75" customHeight="1">
      <c r="B5100" s="370">
        <f t="shared" si="2"/>
        <v>0.5899305556</v>
      </c>
      <c r="C5100" s="56">
        <f t="shared" si="3"/>
        <v>50970</v>
      </c>
      <c r="D5100" s="56">
        <v>2.834</v>
      </c>
    </row>
    <row r="5101" ht="15.75" customHeight="1">
      <c r="B5101" s="370">
        <f t="shared" si="2"/>
        <v>0.5900462963</v>
      </c>
      <c r="C5101" s="56">
        <f t="shared" si="3"/>
        <v>50980</v>
      </c>
      <c r="D5101" s="56">
        <v>2.9</v>
      </c>
    </row>
    <row r="5102" ht="15.75" customHeight="1">
      <c r="B5102" s="370">
        <f t="shared" si="2"/>
        <v>0.590162037</v>
      </c>
      <c r="C5102" s="56">
        <f t="shared" si="3"/>
        <v>50990</v>
      </c>
      <c r="D5102" s="56">
        <v>2.927</v>
      </c>
    </row>
    <row r="5103" ht="15.75" customHeight="1">
      <c r="B5103" s="370">
        <f t="shared" si="2"/>
        <v>0.5902777778</v>
      </c>
      <c r="C5103" s="56">
        <f t="shared" si="3"/>
        <v>51000</v>
      </c>
      <c r="D5103" s="56">
        <v>2.872</v>
      </c>
    </row>
    <row r="5104" ht="15.75" customHeight="1">
      <c r="B5104" s="370">
        <f t="shared" si="2"/>
        <v>0.5903935185</v>
      </c>
      <c r="C5104" s="56">
        <f t="shared" si="3"/>
        <v>51010</v>
      </c>
      <c r="D5104" s="56">
        <v>3.016</v>
      </c>
    </row>
    <row r="5105" ht="15.75" customHeight="1">
      <c r="B5105" s="370">
        <f t="shared" si="2"/>
        <v>0.5905092593</v>
      </c>
      <c r="C5105" s="56">
        <f t="shared" si="3"/>
        <v>51020</v>
      </c>
      <c r="D5105" s="56">
        <v>3.105</v>
      </c>
    </row>
    <row r="5106" ht="15.75" customHeight="1">
      <c r="B5106" s="370">
        <f t="shared" si="2"/>
        <v>0.590625</v>
      </c>
      <c r="C5106" s="56">
        <f t="shared" si="3"/>
        <v>51030</v>
      </c>
      <c r="D5106" s="56">
        <v>3.135</v>
      </c>
    </row>
    <row r="5107" ht="15.75" customHeight="1">
      <c r="B5107" s="370">
        <f t="shared" si="2"/>
        <v>0.5907407407</v>
      </c>
      <c r="C5107" s="56">
        <f t="shared" si="3"/>
        <v>51040</v>
      </c>
      <c r="D5107" s="56">
        <v>2.868</v>
      </c>
    </row>
    <row r="5108" ht="15.75" customHeight="1">
      <c r="B5108" s="370">
        <f t="shared" si="2"/>
        <v>0.5908564815</v>
      </c>
      <c r="C5108" s="56">
        <f t="shared" si="3"/>
        <v>51050</v>
      </c>
      <c r="D5108" s="56">
        <v>2.614</v>
      </c>
    </row>
    <row r="5109" ht="15.75" customHeight="1">
      <c r="B5109" s="370">
        <f t="shared" si="2"/>
        <v>0.5909722222</v>
      </c>
      <c r="C5109" s="56">
        <f t="shared" si="3"/>
        <v>51060</v>
      </c>
      <c r="D5109" s="56">
        <v>2.36</v>
      </c>
    </row>
    <row r="5110" ht="15.75" customHeight="1">
      <c r="B5110" s="370">
        <f t="shared" si="2"/>
        <v>0.591087963</v>
      </c>
      <c r="C5110" s="56">
        <f t="shared" si="3"/>
        <v>51070</v>
      </c>
      <c r="D5110" s="56">
        <v>2.013</v>
      </c>
    </row>
    <row r="5111" ht="15.75" customHeight="1">
      <c r="B5111" s="370">
        <f t="shared" si="2"/>
        <v>0.5912037037</v>
      </c>
      <c r="C5111" s="56">
        <f t="shared" si="3"/>
        <v>51080</v>
      </c>
      <c r="D5111" s="56">
        <v>2.693</v>
      </c>
    </row>
    <row r="5112" ht="15.75" customHeight="1">
      <c r="B5112" s="370">
        <f t="shared" si="2"/>
        <v>0.5913194444</v>
      </c>
      <c r="C5112" s="56">
        <f t="shared" si="3"/>
        <v>51090</v>
      </c>
      <c r="D5112" s="56">
        <v>3.392</v>
      </c>
    </row>
    <row r="5113" ht="15.75" customHeight="1">
      <c r="B5113" s="370">
        <f t="shared" si="2"/>
        <v>0.5914351852</v>
      </c>
      <c r="C5113" s="56">
        <f t="shared" si="3"/>
        <v>51100</v>
      </c>
      <c r="D5113" s="56">
        <v>3.526</v>
      </c>
    </row>
    <row r="5114" ht="15.75" customHeight="1">
      <c r="B5114" s="370">
        <f t="shared" si="2"/>
        <v>0.5915509259</v>
      </c>
      <c r="C5114" s="56">
        <f t="shared" si="3"/>
        <v>51110</v>
      </c>
      <c r="D5114" s="56">
        <v>3.513</v>
      </c>
    </row>
    <row r="5115" ht="15.75" customHeight="1">
      <c r="B5115" s="370">
        <f t="shared" si="2"/>
        <v>0.5916666667</v>
      </c>
      <c r="C5115" s="56">
        <f t="shared" si="3"/>
        <v>51120</v>
      </c>
      <c r="D5115" s="56">
        <v>3.462</v>
      </c>
    </row>
    <row r="5116" ht="15.75" customHeight="1">
      <c r="B5116" s="370">
        <f t="shared" si="2"/>
        <v>0.5917824074</v>
      </c>
      <c r="C5116" s="56">
        <f t="shared" si="3"/>
        <v>51130</v>
      </c>
      <c r="D5116" s="56">
        <v>2.943</v>
      </c>
    </row>
    <row r="5117" ht="15.75" customHeight="1">
      <c r="B5117" s="370">
        <f t="shared" si="2"/>
        <v>0.5918981481</v>
      </c>
      <c r="C5117" s="56">
        <f t="shared" si="3"/>
        <v>51140</v>
      </c>
      <c r="D5117" s="56">
        <v>2.032</v>
      </c>
    </row>
    <row r="5118" ht="15.75" customHeight="1">
      <c r="B5118" s="370">
        <f t="shared" si="2"/>
        <v>0.5920138889</v>
      </c>
      <c r="C5118" s="56">
        <f t="shared" si="3"/>
        <v>51150</v>
      </c>
      <c r="D5118" s="56">
        <v>2.37</v>
      </c>
    </row>
    <row r="5119" ht="15.75" customHeight="1">
      <c r="B5119" s="370">
        <f t="shared" si="2"/>
        <v>0.5921296296</v>
      </c>
      <c r="C5119" s="56">
        <f t="shared" si="3"/>
        <v>51160</v>
      </c>
      <c r="D5119" s="56">
        <v>2.582</v>
      </c>
    </row>
    <row r="5120" ht="15.75" customHeight="1">
      <c r="B5120" s="370">
        <f t="shared" si="2"/>
        <v>0.5922453704</v>
      </c>
      <c r="C5120" s="56">
        <f t="shared" si="3"/>
        <v>51170</v>
      </c>
      <c r="D5120" s="56">
        <v>2.825</v>
      </c>
    </row>
    <row r="5121" ht="15.75" customHeight="1">
      <c r="B5121" s="370">
        <f t="shared" si="2"/>
        <v>0.5923611111</v>
      </c>
      <c r="C5121" s="56">
        <f t="shared" si="3"/>
        <v>51180</v>
      </c>
      <c r="D5121" s="56">
        <v>2.988</v>
      </c>
    </row>
    <row r="5122" ht="15.75" customHeight="1">
      <c r="B5122" s="370">
        <f t="shared" si="2"/>
        <v>0.5924768519</v>
      </c>
      <c r="C5122" s="56">
        <f t="shared" si="3"/>
        <v>51190</v>
      </c>
      <c r="D5122" s="56">
        <v>3.048</v>
      </c>
    </row>
    <row r="5123" ht="15.75" customHeight="1">
      <c r="B5123" s="370">
        <f t="shared" si="2"/>
        <v>0.5925925926</v>
      </c>
      <c r="C5123" s="56">
        <f t="shared" si="3"/>
        <v>51200</v>
      </c>
      <c r="D5123" s="56">
        <v>2.954</v>
      </c>
    </row>
    <row r="5124" ht="15.75" customHeight="1">
      <c r="B5124" s="370">
        <f t="shared" si="2"/>
        <v>0.5927083333</v>
      </c>
      <c r="C5124" s="56">
        <f t="shared" si="3"/>
        <v>51210</v>
      </c>
      <c r="D5124" s="56">
        <v>2.869</v>
      </c>
    </row>
    <row r="5125" ht="15.75" customHeight="1">
      <c r="B5125" s="370">
        <f t="shared" si="2"/>
        <v>0.5928240741</v>
      </c>
      <c r="C5125" s="56">
        <f t="shared" si="3"/>
        <v>51220</v>
      </c>
      <c r="D5125" s="56">
        <v>2.974</v>
      </c>
    </row>
    <row r="5126" ht="15.75" customHeight="1">
      <c r="B5126" s="370">
        <f t="shared" si="2"/>
        <v>0.5929398148</v>
      </c>
      <c r="C5126" s="56">
        <f t="shared" si="3"/>
        <v>51230</v>
      </c>
      <c r="D5126" s="56">
        <v>3.037</v>
      </c>
    </row>
    <row r="5127" ht="15.75" customHeight="1">
      <c r="B5127" s="370">
        <f t="shared" si="2"/>
        <v>0.5930555556</v>
      </c>
      <c r="C5127" s="56">
        <f t="shared" si="3"/>
        <v>51240</v>
      </c>
      <c r="D5127" s="56">
        <v>2.865</v>
      </c>
    </row>
    <row r="5128" ht="15.75" customHeight="1">
      <c r="B5128" s="370">
        <f t="shared" si="2"/>
        <v>0.5931712963</v>
      </c>
      <c r="C5128" s="56">
        <f t="shared" si="3"/>
        <v>51250</v>
      </c>
      <c r="D5128" s="56">
        <v>2.7</v>
      </c>
    </row>
    <row r="5129" ht="15.75" customHeight="1">
      <c r="B5129" s="370">
        <f t="shared" si="2"/>
        <v>0.593287037</v>
      </c>
      <c r="C5129" s="56">
        <f t="shared" si="3"/>
        <v>51260</v>
      </c>
      <c r="D5129" s="56">
        <v>2.501</v>
      </c>
    </row>
    <row r="5130" ht="15.75" customHeight="1">
      <c r="B5130" s="370">
        <f t="shared" si="2"/>
        <v>0.5934027778</v>
      </c>
      <c r="C5130" s="56">
        <f t="shared" si="3"/>
        <v>51270</v>
      </c>
      <c r="D5130" s="56">
        <v>2.261</v>
      </c>
    </row>
    <row r="5131" ht="15.75" customHeight="1">
      <c r="B5131" s="370">
        <f t="shared" si="2"/>
        <v>0.5935185185</v>
      </c>
      <c r="C5131" s="56">
        <f t="shared" si="3"/>
        <v>51280</v>
      </c>
      <c r="D5131" s="56">
        <v>2.496</v>
      </c>
    </row>
    <row r="5132" ht="15.75" customHeight="1">
      <c r="B5132" s="370">
        <f t="shared" si="2"/>
        <v>0.5936342593</v>
      </c>
      <c r="C5132" s="56">
        <f t="shared" si="3"/>
        <v>51290</v>
      </c>
      <c r="D5132" s="56">
        <v>3.314</v>
      </c>
    </row>
    <row r="5133" ht="15.75" customHeight="1">
      <c r="B5133" s="370">
        <f t="shared" si="2"/>
        <v>0.59375</v>
      </c>
      <c r="C5133" s="56">
        <f t="shared" si="3"/>
        <v>51300</v>
      </c>
      <c r="D5133" s="56">
        <v>3.507</v>
      </c>
    </row>
    <row r="5134" ht="15.75" customHeight="1">
      <c r="B5134" s="370">
        <f t="shared" si="2"/>
        <v>0.5938657407</v>
      </c>
      <c r="C5134" s="56">
        <f t="shared" si="3"/>
        <v>51310</v>
      </c>
      <c r="D5134" s="56">
        <v>3.51</v>
      </c>
    </row>
    <row r="5135" ht="15.75" customHeight="1">
      <c r="B5135" s="370">
        <f t="shared" si="2"/>
        <v>0.5939814815</v>
      </c>
      <c r="C5135" s="56">
        <f t="shared" si="3"/>
        <v>51320</v>
      </c>
      <c r="D5135" s="56">
        <v>3.496</v>
      </c>
    </row>
    <row r="5136" ht="15.75" customHeight="1">
      <c r="B5136" s="370">
        <f t="shared" si="2"/>
        <v>0.5940972222</v>
      </c>
      <c r="C5136" s="56">
        <f t="shared" si="3"/>
        <v>51330</v>
      </c>
      <c r="D5136" s="56">
        <v>3.056</v>
      </c>
    </row>
    <row r="5137" ht="15.75" customHeight="1">
      <c r="B5137" s="370">
        <f t="shared" si="2"/>
        <v>0.594212963</v>
      </c>
      <c r="C5137" s="56">
        <f t="shared" si="3"/>
        <v>51340</v>
      </c>
      <c r="D5137" s="56">
        <v>2.264</v>
      </c>
    </row>
    <row r="5138" ht="15.75" customHeight="1">
      <c r="B5138" s="370">
        <f t="shared" si="2"/>
        <v>0.5943287037</v>
      </c>
      <c r="C5138" s="56">
        <f t="shared" si="3"/>
        <v>51350</v>
      </c>
      <c r="D5138" s="56">
        <v>2.136</v>
      </c>
    </row>
    <row r="5139" ht="15.75" customHeight="1">
      <c r="B5139" s="370">
        <f t="shared" si="2"/>
        <v>0.5944444444</v>
      </c>
      <c r="C5139" s="56">
        <f t="shared" si="3"/>
        <v>51360</v>
      </c>
      <c r="D5139" s="56">
        <v>2.463</v>
      </c>
    </row>
    <row r="5140" ht="15.75" customHeight="1">
      <c r="B5140" s="370">
        <f t="shared" si="2"/>
        <v>0.5945601852</v>
      </c>
      <c r="C5140" s="56">
        <f t="shared" si="3"/>
        <v>51370</v>
      </c>
      <c r="D5140" s="56">
        <v>2.78</v>
      </c>
    </row>
    <row r="5141" ht="15.75" customHeight="1">
      <c r="B5141" s="370">
        <f t="shared" si="2"/>
        <v>0.5946759259</v>
      </c>
      <c r="C5141" s="56">
        <f t="shared" si="3"/>
        <v>51380</v>
      </c>
      <c r="D5141" s="56">
        <v>3.041</v>
      </c>
    </row>
    <row r="5142" ht="15.75" customHeight="1">
      <c r="B5142" s="370">
        <f t="shared" si="2"/>
        <v>0.5947916667</v>
      </c>
      <c r="C5142" s="56">
        <f t="shared" si="3"/>
        <v>51390</v>
      </c>
      <c r="D5142" s="56">
        <v>3.229</v>
      </c>
    </row>
    <row r="5143" ht="15.75" customHeight="1">
      <c r="B5143" s="370">
        <f t="shared" si="2"/>
        <v>0.5949074074</v>
      </c>
      <c r="C5143" s="56">
        <f t="shared" si="3"/>
        <v>51400</v>
      </c>
      <c r="D5143" s="56">
        <v>3.103</v>
      </c>
    </row>
    <row r="5144" ht="15.75" customHeight="1">
      <c r="B5144" s="370">
        <f t="shared" si="2"/>
        <v>0.5950231481</v>
      </c>
      <c r="C5144" s="56">
        <f t="shared" si="3"/>
        <v>51410</v>
      </c>
      <c r="D5144" s="56">
        <v>3.032</v>
      </c>
    </row>
    <row r="5145" ht="15.75" customHeight="1">
      <c r="B5145" s="370">
        <f t="shared" si="2"/>
        <v>0.5951388889</v>
      </c>
      <c r="C5145" s="56">
        <f t="shared" si="3"/>
        <v>51420</v>
      </c>
      <c r="D5145" s="56">
        <v>2.777</v>
      </c>
    </row>
    <row r="5146" ht="15.75" customHeight="1">
      <c r="B5146" s="370">
        <f t="shared" si="2"/>
        <v>0.5952546296</v>
      </c>
      <c r="C5146" s="56">
        <f t="shared" si="3"/>
        <v>51430</v>
      </c>
      <c r="D5146" s="56">
        <v>2.901</v>
      </c>
    </row>
    <row r="5147" ht="15.75" customHeight="1">
      <c r="B5147" s="370">
        <f t="shared" si="2"/>
        <v>0.5953703704</v>
      </c>
      <c r="C5147" s="56">
        <f t="shared" si="3"/>
        <v>51440</v>
      </c>
      <c r="D5147" s="56">
        <v>2.825</v>
      </c>
    </row>
    <row r="5148" ht="15.75" customHeight="1">
      <c r="B5148" s="370">
        <f t="shared" si="2"/>
        <v>0.5954861111</v>
      </c>
      <c r="C5148" s="56">
        <f t="shared" si="3"/>
        <v>51450</v>
      </c>
      <c r="D5148" s="56">
        <v>2.745</v>
      </c>
    </row>
    <row r="5149" ht="15.75" customHeight="1">
      <c r="B5149" s="370">
        <f t="shared" si="2"/>
        <v>0.5956018519</v>
      </c>
      <c r="C5149" s="56">
        <f t="shared" si="3"/>
        <v>51460</v>
      </c>
      <c r="D5149" s="56">
        <v>2.603</v>
      </c>
    </row>
    <row r="5150" ht="15.75" customHeight="1">
      <c r="B5150" s="370">
        <f t="shared" si="2"/>
        <v>0.5957175926</v>
      </c>
      <c r="C5150" s="56">
        <f t="shared" si="3"/>
        <v>51470</v>
      </c>
      <c r="D5150" s="56">
        <v>2.387</v>
      </c>
    </row>
    <row r="5151" ht="15.75" customHeight="1">
      <c r="B5151" s="370">
        <f t="shared" si="2"/>
        <v>0.5958333333</v>
      </c>
      <c r="C5151" s="56">
        <f t="shared" si="3"/>
        <v>51480</v>
      </c>
      <c r="D5151" s="56">
        <v>2.321</v>
      </c>
    </row>
    <row r="5152" ht="15.75" customHeight="1">
      <c r="B5152" s="370">
        <f t="shared" si="2"/>
        <v>0.5959490741</v>
      </c>
      <c r="C5152" s="56">
        <f t="shared" si="3"/>
        <v>51490</v>
      </c>
      <c r="D5152" s="56">
        <v>3.196</v>
      </c>
    </row>
    <row r="5153" ht="15.75" customHeight="1">
      <c r="B5153" s="370">
        <f t="shared" si="2"/>
        <v>0.5960648148</v>
      </c>
      <c r="C5153" s="56">
        <f t="shared" si="3"/>
        <v>51500</v>
      </c>
      <c r="D5153" s="56">
        <v>3.453</v>
      </c>
    </row>
    <row r="5154" ht="15.75" customHeight="1">
      <c r="B5154" s="370">
        <f t="shared" si="2"/>
        <v>0.5961805556</v>
      </c>
      <c r="C5154" s="56">
        <f t="shared" si="3"/>
        <v>51510</v>
      </c>
      <c r="D5154" s="56">
        <v>3.484</v>
      </c>
    </row>
    <row r="5155" ht="15.75" customHeight="1">
      <c r="B5155" s="370">
        <f t="shared" si="2"/>
        <v>0.5962962963</v>
      </c>
      <c r="C5155" s="56">
        <f t="shared" si="3"/>
        <v>51520</v>
      </c>
      <c r="D5155" s="56">
        <v>3.504</v>
      </c>
    </row>
    <row r="5156" ht="15.75" customHeight="1">
      <c r="B5156" s="370">
        <f t="shared" si="2"/>
        <v>0.596412037</v>
      </c>
      <c r="C5156" s="56">
        <f t="shared" si="3"/>
        <v>51530</v>
      </c>
      <c r="D5156" s="56">
        <v>3.162</v>
      </c>
    </row>
    <row r="5157" ht="15.75" customHeight="1">
      <c r="B5157" s="370">
        <f t="shared" si="2"/>
        <v>0.5965277778</v>
      </c>
      <c r="C5157" s="56">
        <f t="shared" si="3"/>
        <v>51540</v>
      </c>
      <c r="D5157" s="56">
        <v>2.448</v>
      </c>
    </row>
    <row r="5158" ht="15.75" customHeight="1">
      <c r="B5158" s="370">
        <f t="shared" si="2"/>
        <v>0.5966435185</v>
      </c>
      <c r="C5158" s="56">
        <f t="shared" si="3"/>
        <v>51550</v>
      </c>
      <c r="D5158" s="56">
        <v>1.998</v>
      </c>
    </row>
    <row r="5159" ht="15.75" customHeight="1">
      <c r="B5159" s="370">
        <f t="shared" si="2"/>
        <v>0.5967592593</v>
      </c>
      <c r="C5159" s="56">
        <f t="shared" si="3"/>
        <v>51560</v>
      </c>
      <c r="D5159" s="56">
        <v>2.312</v>
      </c>
    </row>
    <row r="5160" ht="15.75" customHeight="1">
      <c r="B5160" s="370">
        <f t="shared" si="2"/>
        <v>0.596875</v>
      </c>
      <c r="C5160" s="56">
        <f t="shared" si="3"/>
        <v>51570</v>
      </c>
      <c r="D5160" s="56">
        <v>2.7</v>
      </c>
    </row>
    <row r="5161" ht="15.75" customHeight="1">
      <c r="B5161" s="370">
        <f t="shared" si="2"/>
        <v>0.5969907407</v>
      </c>
      <c r="C5161" s="56">
        <f t="shared" si="3"/>
        <v>51580</v>
      </c>
      <c r="D5161" s="56">
        <v>3.057</v>
      </c>
    </row>
    <row r="5162" ht="15.75" customHeight="1">
      <c r="B5162" s="370">
        <f t="shared" si="2"/>
        <v>0.5971064815</v>
      </c>
      <c r="C5162" s="56">
        <f t="shared" si="3"/>
        <v>51590</v>
      </c>
      <c r="D5162" s="56">
        <v>3.333</v>
      </c>
    </row>
    <row r="5163" ht="15.75" customHeight="1">
      <c r="B5163" s="370">
        <f t="shared" si="2"/>
        <v>0.5972222222</v>
      </c>
      <c r="C5163" s="56">
        <f t="shared" si="3"/>
        <v>51600</v>
      </c>
      <c r="D5163" s="56">
        <v>3.248</v>
      </c>
    </row>
    <row r="5164" ht="15.75" customHeight="1">
      <c r="B5164" s="370">
        <f t="shared" si="2"/>
        <v>0.597337963</v>
      </c>
      <c r="C5164" s="56">
        <f t="shared" si="3"/>
        <v>51610</v>
      </c>
      <c r="D5164" s="56">
        <v>3.132</v>
      </c>
    </row>
    <row r="5165" ht="15.75" customHeight="1">
      <c r="B5165" s="370">
        <f t="shared" si="2"/>
        <v>0.5974537037</v>
      </c>
      <c r="C5165" s="56">
        <f t="shared" si="3"/>
        <v>51620</v>
      </c>
      <c r="D5165" s="56">
        <v>2.925</v>
      </c>
    </row>
    <row r="5166" ht="15.75" customHeight="1">
      <c r="B5166" s="370">
        <f t="shared" si="2"/>
        <v>0.5975694444</v>
      </c>
      <c r="C5166" s="56">
        <f t="shared" si="3"/>
        <v>51630</v>
      </c>
      <c r="D5166" s="56">
        <v>2.679</v>
      </c>
    </row>
    <row r="5167" ht="15.75" customHeight="1">
      <c r="B5167" s="370">
        <f t="shared" si="2"/>
        <v>0.5976851852</v>
      </c>
      <c r="C5167" s="56">
        <f t="shared" si="3"/>
        <v>51640</v>
      </c>
      <c r="D5167" s="56">
        <v>2.748</v>
      </c>
    </row>
    <row r="5168" ht="15.75" customHeight="1">
      <c r="B5168" s="370">
        <f t="shared" si="2"/>
        <v>0.5978009259</v>
      </c>
      <c r="C5168" s="56">
        <f t="shared" si="3"/>
        <v>51650</v>
      </c>
      <c r="D5168" s="56">
        <v>2.754</v>
      </c>
    </row>
    <row r="5169" ht="15.75" customHeight="1">
      <c r="B5169" s="370">
        <f t="shared" si="2"/>
        <v>0.5979166667</v>
      </c>
      <c r="C5169" s="56">
        <f t="shared" si="3"/>
        <v>51660</v>
      </c>
      <c r="D5169" s="56">
        <v>2.679</v>
      </c>
    </row>
    <row r="5170" ht="15.75" customHeight="1">
      <c r="B5170" s="370">
        <f t="shared" si="2"/>
        <v>0.5980324074</v>
      </c>
      <c r="C5170" s="56">
        <f t="shared" si="3"/>
        <v>51670</v>
      </c>
      <c r="D5170" s="56">
        <v>2.589</v>
      </c>
    </row>
    <row r="5171" ht="15.75" customHeight="1">
      <c r="B5171" s="370">
        <f t="shared" si="2"/>
        <v>0.5981481481</v>
      </c>
      <c r="C5171" s="56">
        <f t="shared" si="3"/>
        <v>51680</v>
      </c>
      <c r="D5171" s="56">
        <v>2.301</v>
      </c>
    </row>
    <row r="5172" ht="15.75" customHeight="1">
      <c r="B5172" s="370">
        <f t="shared" si="2"/>
        <v>0.5982638889</v>
      </c>
      <c r="C5172" s="56">
        <f t="shared" si="3"/>
        <v>51690</v>
      </c>
      <c r="D5172" s="56">
        <v>3.058</v>
      </c>
    </row>
    <row r="5173" ht="15.75" customHeight="1">
      <c r="B5173" s="370">
        <f t="shared" si="2"/>
        <v>0.5983796296</v>
      </c>
      <c r="C5173" s="56">
        <f t="shared" si="3"/>
        <v>51700</v>
      </c>
      <c r="D5173" s="56">
        <v>3.382</v>
      </c>
    </row>
    <row r="5174" ht="15.75" customHeight="1">
      <c r="B5174" s="370">
        <f t="shared" si="2"/>
        <v>0.5984953704</v>
      </c>
      <c r="C5174" s="56">
        <f t="shared" si="3"/>
        <v>51710</v>
      </c>
      <c r="D5174" s="56">
        <v>3.423</v>
      </c>
    </row>
    <row r="5175" ht="15.75" customHeight="1">
      <c r="B5175" s="370">
        <f t="shared" si="2"/>
        <v>0.5986111111</v>
      </c>
      <c r="C5175" s="56">
        <f t="shared" si="3"/>
        <v>51720</v>
      </c>
      <c r="D5175" s="56">
        <v>3.478</v>
      </c>
    </row>
    <row r="5176" ht="15.75" customHeight="1">
      <c r="B5176" s="370">
        <f t="shared" si="2"/>
        <v>0.5987268519</v>
      </c>
      <c r="C5176" s="56">
        <f t="shared" si="3"/>
        <v>51730</v>
      </c>
      <c r="D5176" s="56">
        <v>3.218</v>
      </c>
    </row>
    <row r="5177" ht="15.75" customHeight="1">
      <c r="B5177" s="370">
        <f t="shared" si="2"/>
        <v>0.5988425926</v>
      </c>
      <c r="C5177" s="56">
        <f t="shared" si="3"/>
        <v>51740</v>
      </c>
      <c r="D5177" s="56">
        <v>2.601</v>
      </c>
    </row>
    <row r="5178" ht="15.75" customHeight="1">
      <c r="B5178" s="370">
        <f t="shared" si="2"/>
        <v>0.5989583333</v>
      </c>
      <c r="C5178" s="56">
        <f t="shared" si="3"/>
        <v>51750</v>
      </c>
      <c r="D5178" s="56">
        <v>2.019</v>
      </c>
    </row>
    <row r="5179" ht="15.75" customHeight="1">
      <c r="B5179" s="370">
        <f t="shared" si="2"/>
        <v>0.5990740741</v>
      </c>
      <c r="C5179" s="56">
        <f t="shared" si="3"/>
        <v>51760</v>
      </c>
      <c r="D5179" s="56">
        <v>2.14</v>
      </c>
    </row>
    <row r="5180" ht="15.75" customHeight="1">
      <c r="B5180" s="370">
        <f t="shared" si="2"/>
        <v>0.5991898148</v>
      </c>
      <c r="C5180" s="56">
        <f t="shared" si="3"/>
        <v>51770</v>
      </c>
      <c r="D5180" s="56">
        <v>2.576</v>
      </c>
    </row>
    <row r="5181" ht="15.75" customHeight="1">
      <c r="B5181" s="370">
        <f t="shared" si="2"/>
        <v>0.5993055556</v>
      </c>
      <c r="C5181" s="56">
        <f t="shared" si="3"/>
        <v>51780</v>
      </c>
      <c r="D5181" s="56">
        <v>3.036</v>
      </c>
    </row>
    <row r="5182" ht="15.75" customHeight="1">
      <c r="B5182" s="370">
        <f t="shared" si="2"/>
        <v>0.5994212963</v>
      </c>
      <c r="C5182" s="56">
        <f t="shared" si="3"/>
        <v>51790</v>
      </c>
      <c r="D5182" s="56">
        <v>3.399</v>
      </c>
    </row>
    <row r="5183" ht="15.75" customHeight="1">
      <c r="B5183" s="370">
        <f t="shared" si="2"/>
        <v>0.599537037</v>
      </c>
      <c r="C5183" s="56">
        <f t="shared" si="3"/>
        <v>51800</v>
      </c>
      <c r="D5183" s="56">
        <v>3.348</v>
      </c>
    </row>
    <row r="5184" ht="15.75" customHeight="1">
      <c r="B5184" s="370">
        <f t="shared" si="2"/>
        <v>0.5996527778</v>
      </c>
      <c r="C5184" s="56">
        <f t="shared" si="3"/>
        <v>51810</v>
      </c>
      <c r="D5184" s="56">
        <v>3.3</v>
      </c>
    </row>
    <row r="5185" ht="15.75" customHeight="1">
      <c r="B5185" s="370">
        <f t="shared" si="2"/>
        <v>0.5997685185</v>
      </c>
      <c r="C5185" s="56">
        <f t="shared" si="3"/>
        <v>51820</v>
      </c>
      <c r="D5185" s="56">
        <v>3.095</v>
      </c>
    </row>
    <row r="5186" ht="15.75" customHeight="1">
      <c r="B5186" s="370">
        <f t="shared" si="2"/>
        <v>0.5998842593</v>
      </c>
      <c r="C5186" s="56">
        <f t="shared" si="3"/>
        <v>51830</v>
      </c>
      <c r="D5186" s="56">
        <v>2.539</v>
      </c>
    </row>
    <row r="5187" ht="15.75" customHeight="1">
      <c r="B5187" s="370">
        <f t="shared" si="2"/>
        <v>0.6</v>
      </c>
      <c r="C5187" s="56">
        <f t="shared" si="3"/>
        <v>51840</v>
      </c>
      <c r="D5187" s="56">
        <v>2.637</v>
      </c>
    </row>
    <row r="5188" ht="15.75" customHeight="1">
      <c r="B5188" s="370">
        <f t="shared" si="2"/>
        <v>0.6001157407</v>
      </c>
      <c r="C5188" s="56">
        <f t="shared" si="3"/>
        <v>51850</v>
      </c>
      <c r="D5188" s="56">
        <v>2.73</v>
      </c>
    </row>
    <row r="5189" ht="15.75" customHeight="1">
      <c r="B5189" s="370">
        <f t="shared" si="2"/>
        <v>0.6002314815</v>
      </c>
      <c r="C5189" s="56">
        <f t="shared" si="3"/>
        <v>51860</v>
      </c>
      <c r="D5189" s="56">
        <v>2.715</v>
      </c>
    </row>
    <row r="5190" ht="15.75" customHeight="1">
      <c r="B5190" s="370">
        <f t="shared" si="2"/>
        <v>0.6003472222</v>
      </c>
      <c r="C5190" s="56">
        <f t="shared" si="3"/>
        <v>51870</v>
      </c>
      <c r="D5190" s="56">
        <v>2.703</v>
      </c>
    </row>
    <row r="5191" ht="15.75" customHeight="1">
      <c r="B5191" s="370">
        <f t="shared" si="2"/>
        <v>0.600462963</v>
      </c>
      <c r="C5191" s="56">
        <f t="shared" si="3"/>
        <v>51880</v>
      </c>
      <c r="D5191" s="56">
        <v>2.541</v>
      </c>
    </row>
    <row r="5192" ht="15.75" customHeight="1">
      <c r="B5192" s="370">
        <f t="shared" si="2"/>
        <v>0.6005787037</v>
      </c>
      <c r="C5192" s="56">
        <f t="shared" si="3"/>
        <v>51890</v>
      </c>
      <c r="D5192" s="56">
        <v>2.861</v>
      </c>
    </row>
    <row r="5193" ht="15.75" customHeight="1">
      <c r="B5193" s="370">
        <f t="shared" si="2"/>
        <v>0.6006944444</v>
      </c>
      <c r="C5193" s="56">
        <f t="shared" si="3"/>
        <v>51900</v>
      </c>
      <c r="D5193" s="56">
        <v>3.275</v>
      </c>
    </row>
    <row r="5194" ht="15.75" customHeight="1">
      <c r="B5194" s="370">
        <f t="shared" si="2"/>
        <v>0.6008101852</v>
      </c>
      <c r="C5194" s="56">
        <f t="shared" si="3"/>
        <v>51910</v>
      </c>
      <c r="D5194" s="56">
        <v>3.337</v>
      </c>
    </row>
    <row r="5195" ht="15.75" customHeight="1">
      <c r="B5195" s="370">
        <f t="shared" si="2"/>
        <v>0.6009259259</v>
      </c>
      <c r="C5195" s="56">
        <f t="shared" si="3"/>
        <v>51920</v>
      </c>
      <c r="D5195" s="56">
        <v>3.412</v>
      </c>
    </row>
    <row r="5196" ht="15.75" customHeight="1">
      <c r="B5196" s="370">
        <f t="shared" si="2"/>
        <v>0.6010416667</v>
      </c>
      <c r="C5196" s="56">
        <f t="shared" si="3"/>
        <v>51930</v>
      </c>
      <c r="D5196" s="56">
        <v>3.238</v>
      </c>
    </row>
    <row r="5197" ht="15.75" customHeight="1">
      <c r="B5197" s="370">
        <f t="shared" si="2"/>
        <v>0.6011574074</v>
      </c>
      <c r="C5197" s="56">
        <f t="shared" si="3"/>
        <v>51940</v>
      </c>
      <c r="D5197" s="56">
        <v>2.71</v>
      </c>
    </row>
    <row r="5198" ht="15.75" customHeight="1">
      <c r="B5198" s="370">
        <f t="shared" si="2"/>
        <v>0.6012731481</v>
      </c>
      <c r="C5198" s="56">
        <f t="shared" si="3"/>
        <v>51950</v>
      </c>
      <c r="D5198" s="56">
        <v>2.285</v>
      </c>
    </row>
    <row r="5199" ht="15.75" customHeight="1">
      <c r="B5199" s="370">
        <f t="shared" si="2"/>
        <v>0.6013888889</v>
      </c>
      <c r="C5199" s="56">
        <f t="shared" si="3"/>
        <v>51960</v>
      </c>
      <c r="D5199" s="56">
        <v>1.929</v>
      </c>
    </row>
    <row r="5200" ht="15.75" customHeight="1">
      <c r="B5200" s="370">
        <f t="shared" si="2"/>
        <v>0.6015046296</v>
      </c>
      <c r="C5200" s="56">
        <f t="shared" si="3"/>
        <v>51970</v>
      </c>
      <c r="D5200" s="56">
        <v>2.435</v>
      </c>
    </row>
    <row r="5201" ht="15.75" customHeight="1">
      <c r="B5201" s="370">
        <f t="shared" si="2"/>
        <v>0.6016203704</v>
      </c>
      <c r="C5201" s="56">
        <f t="shared" si="3"/>
        <v>51980</v>
      </c>
      <c r="D5201" s="56">
        <v>1.954</v>
      </c>
    </row>
    <row r="5202" ht="15.75" customHeight="1">
      <c r="B5202" s="370">
        <f t="shared" si="2"/>
        <v>0.6017361111</v>
      </c>
      <c r="C5202" s="56">
        <f t="shared" si="3"/>
        <v>51990</v>
      </c>
      <c r="D5202" s="56">
        <v>0.0</v>
      </c>
    </row>
    <row r="5203" ht="15.75" customHeight="1">
      <c r="B5203" s="370">
        <f t="shared" si="2"/>
        <v>0.6018518519</v>
      </c>
      <c r="C5203" s="56">
        <f t="shared" si="3"/>
        <v>52000</v>
      </c>
      <c r="D5203" s="56">
        <v>0.0</v>
      </c>
    </row>
    <row r="5204" ht="15.75" customHeight="1">
      <c r="B5204" s="370">
        <f t="shared" si="2"/>
        <v>0.6019675926</v>
      </c>
      <c r="C5204" s="56">
        <f t="shared" si="3"/>
        <v>52010</v>
      </c>
      <c r="D5204" s="56">
        <v>0.0</v>
      </c>
    </row>
    <row r="5205" ht="15.75" customHeight="1">
      <c r="B5205" s="370">
        <f t="shared" si="2"/>
        <v>0.6020833333</v>
      </c>
      <c r="C5205" s="56">
        <f t="shared" si="3"/>
        <v>52020</v>
      </c>
      <c r="D5205" s="56">
        <v>0.0</v>
      </c>
    </row>
    <row r="5206" ht="15.75" customHeight="1">
      <c r="B5206" s="370">
        <f t="shared" si="2"/>
        <v>0.6021990741</v>
      </c>
      <c r="C5206" s="56">
        <f t="shared" si="3"/>
        <v>52030</v>
      </c>
      <c r="D5206" s="56">
        <v>0.0</v>
      </c>
    </row>
    <row r="5207" ht="15.75" customHeight="1">
      <c r="B5207" s="370">
        <f t="shared" si="2"/>
        <v>0.6023148148</v>
      </c>
      <c r="C5207" s="56">
        <f t="shared" si="3"/>
        <v>52040</v>
      </c>
      <c r="D5207" s="56">
        <v>0.0</v>
      </c>
    </row>
    <row r="5208" ht="15.75" customHeight="1">
      <c r="B5208" s="370">
        <f t="shared" si="2"/>
        <v>0.6024305556</v>
      </c>
      <c r="C5208" s="56">
        <f t="shared" si="3"/>
        <v>52050</v>
      </c>
      <c r="D5208" s="56">
        <v>0.0</v>
      </c>
    </row>
    <row r="5209" ht="15.75" customHeight="1">
      <c r="B5209" s="370">
        <f t="shared" si="2"/>
        <v>0.6025462963</v>
      </c>
      <c r="C5209" s="56">
        <f t="shared" si="3"/>
        <v>52060</v>
      </c>
      <c r="D5209" s="56">
        <v>0.0</v>
      </c>
    </row>
    <row r="5210" ht="15.75" customHeight="1">
      <c r="B5210" s="370">
        <f t="shared" si="2"/>
        <v>0.602662037</v>
      </c>
      <c r="C5210" s="56">
        <f t="shared" si="3"/>
        <v>52070</v>
      </c>
      <c r="D5210" s="56">
        <v>0.0</v>
      </c>
    </row>
    <row r="5211" ht="15.75" customHeight="1">
      <c r="B5211" s="370">
        <f t="shared" si="2"/>
        <v>0.6027777778</v>
      </c>
      <c r="C5211" s="56">
        <f t="shared" si="3"/>
        <v>52080</v>
      </c>
      <c r="D5211" s="56">
        <v>0.0</v>
      </c>
    </row>
    <row r="5212" ht="15.75" customHeight="1">
      <c r="B5212" s="370">
        <f t="shared" si="2"/>
        <v>0.6028935185</v>
      </c>
      <c r="C5212" s="56">
        <f t="shared" si="3"/>
        <v>52090</v>
      </c>
      <c r="D5212" s="56">
        <v>0.0</v>
      </c>
    </row>
    <row r="5213" ht="15.75" customHeight="1">
      <c r="B5213" s="370">
        <f t="shared" si="2"/>
        <v>0.6030092593</v>
      </c>
      <c r="C5213" s="56">
        <f t="shared" si="3"/>
        <v>52100</v>
      </c>
      <c r="D5213" s="56">
        <v>0.0</v>
      </c>
    </row>
    <row r="5214" ht="15.75" customHeight="1">
      <c r="B5214" s="370">
        <f t="shared" si="2"/>
        <v>0.603125</v>
      </c>
      <c r="C5214" s="56">
        <f t="shared" si="3"/>
        <v>52110</v>
      </c>
      <c r="D5214" s="56">
        <v>0.0</v>
      </c>
    </row>
    <row r="5215" ht="15.75" customHeight="1">
      <c r="B5215" s="370">
        <f t="shared" si="2"/>
        <v>0.6032407407</v>
      </c>
      <c r="C5215" s="56">
        <f t="shared" si="3"/>
        <v>52120</v>
      </c>
      <c r="D5215" s="56">
        <v>0.0</v>
      </c>
    </row>
    <row r="5216" ht="15.75" customHeight="1">
      <c r="B5216" s="370">
        <f t="shared" si="2"/>
        <v>0.6033564815</v>
      </c>
      <c r="C5216" s="56">
        <f t="shared" si="3"/>
        <v>52130</v>
      </c>
      <c r="D5216" s="56">
        <v>0.0</v>
      </c>
    </row>
    <row r="5217" ht="15.75" customHeight="1">
      <c r="B5217" s="370">
        <f t="shared" si="2"/>
        <v>0.6034722222</v>
      </c>
      <c r="C5217" s="56">
        <f t="shared" si="3"/>
        <v>52140</v>
      </c>
      <c r="D5217" s="56">
        <v>0.0</v>
      </c>
    </row>
    <row r="5218" ht="15.75" customHeight="1">
      <c r="B5218" s="370">
        <f t="shared" si="2"/>
        <v>0.603587963</v>
      </c>
      <c r="C5218" s="56">
        <f t="shared" si="3"/>
        <v>52150</v>
      </c>
      <c r="D5218" s="56">
        <v>0.0</v>
      </c>
    </row>
    <row r="5219" ht="15.75" customHeight="1">
      <c r="B5219" s="370">
        <f t="shared" si="2"/>
        <v>0.6037037037</v>
      </c>
      <c r="C5219" s="56">
        <f t="shared" si="3"/>
        <v>52160</v>
      </c>
      <c r="D5219" s="56">
        <v>0.0</v>
      </c>
    </row>
    <row r="5220" ht="15.75" customHeight="1">
      <c r="B5220" s="370">
        <f t="shared" si="2"/>
        <v>0.6038194444</v>
      </c>
      <c r="C5220" s="56">
        <f t="shared" si="3"/>
        <v>52170</v>
      </c>
      <c r="D5220" s="56">
        <v>0.0</v>
      </c>
    </row>
    <row r="5221" ht="15.75" customHeight="1">
      <c r="B5221" s="370">
        <f t="shared" si="2"/>
        <v>0.6039351852</v>
      </c>
      <c r="C5221" s="56">
        <f t="shared" si="3"/>
        <v>52180</v>
      </c>
      <c r="D5221" s="56">
        <v>0.0</v>
      </c>
    </row>
    <row r="5222" ht="15.75" customHeight="1">
      <c r="B5222" s="370">
        <f t="shared" si="2"/>
        <v>0.6040509259</v>
      </c>
      <c r="C5222" s="56">
        <f t="shared" si="3"/>
        <v>52190</v>
      </c>
      <c r="D5222" s="56">
        <v>0.0</v>
      </c>
    </row>
    <row r="5223" ht="15.75" customHeight="1">
      <c r="B5223" s="370">
        <f t="shared" si="2"/>
        <v>0.6041666667</v>
      </c>
      <c r="C5223" s="56">
        <f t="shared" si="3"/>
        <v>52200</v>
      </c>
      <c r="D5223" s="56">
        <v>0.0</v>
      </c>
    </row>
    <row r="5224" ht="15.75" customHeight="1">
      <c r="B5224" s="370">
        <f t="shared" si="2"/>
        <v>0.6042824074</v>
      </c>
      <c r="C5224" s="56">
        <f t="shared" si="3"/>
        <v>52210</v>
      </c>
      <c r="D5224" s="56">
        <v>0.0</v>
      </c>
    </row>
    <row r="5225" ht="15.75" customHeight="1">
      <c r="B5225" s="370">
        <f t="shared" si="2"/>
        <v>0.6043981481</v>
      </c>
      <c r="C5225" s="56">
        <f t="shared" si="3"/>
        <v>52220</v>
      </c>
      <c r="D5225" s="56">
        <v>0.0</v>
      </c>
    </row>
    <row r="5226" ht="15.75" customHeight="1">
      <c r="B5226" s="370">
        <f t="shared" si="2"/>
        <v>0.6045138889</v>
      </c>
      <c r="C5226" s="56">
        <f t="shared" si="3"/>
        <v>52230</v>
      </c>
      <c r="D5226" s="56">
        <v>0.0</v>
      </c>
    </row>
    <row r="5227" ht="15.75" customHeight="1">
      <c r="B5227" s="370">
        <f t="shared" si="2"/>
        <v>0.6046296296</v>
      </c>
      <c r="C5227" s="56">
        <f t="shared" si="3"/>
        <v>52240</v>
      </c>
      <c r="D5227" s="56">
        <v>0.0</v>
      </c>
    </row>
    <row r="5228" ht="15.75" customHeight="1">
      <c r="B5228" s="370">
        <f t="shared" si="2"/>
        <v>0.6047453704</v>
      </c>
      <c r="C5228" s="56">
        <f t="shared" si="3"/>
        <v>52250</v>
      </c>
      <c r="D5228" s="56">
        <v>0.0</v>
      </c>
    </row>
    <row r="5229" ht="15.75" customHeight="1">
      <c r="B5229" s="370">
        <f t="shared" si="2"/>
        <v>0.6048611111</v>
      </c>
      <c r="C5229" s="56">
        <f t="shared" si="3"/>
        <v>52260</v>
      </c>
      <c r="D5229" s="56">
        <v>0.0</v>
      </c>
    </row>
    <row r="5230" ht="15.75" customHeight="1">
      <c r="B5230" s="370">
        <f t="shared" si="2"/>
        <v>0.6049768519</v>
      </c>
      <c r="C5230" s="56">
        <f t="shared" si="3"/>
        <v>52270</v>
      </c>
      <c r="D5230" s="56">
        <v>0.0</v>
      </c>
    </row>
    <row r="5231" ht="15.75" customHeight="1">
      <c r="B5231" s="370">
        <f t="shared" si="2"/>
        <v>0.6050925926</v>
      </c>
      <c r="C5231" s="56">
        <f t="shared" si="3"/>
        <v>52280</v>
      </c>
      <c r="D5231" s="56">
        <v>0.0</v>
      </c>
    </row>
    <row r="5232" ht="15.75" customHeight="1">
      <c r="B5232" s="370">
        <f t="shared" si="2"/>
        <v>0.6052083333</v>
      </c>
      <c r="C5232" s="56">
        <f t="shared" si="3"/>
        <v>52290</v>
      </c>
      <c r="D5232" s="56">
        <v>0.0</v>
      </c>
    </row>
    <row r="5233" ht="15.75" customHeight="1">
      <c r="B5233" s="370">
        <f t="shared" si="2"/>
        <v>0.6053240741</v>
      </c>
      <c r="C5233" s="56">
        <f t="shared" si="3"/>
        <v>52300</v>
      </c>
      <c r="D5233" s="56">
        <v>0.0</v>
      </c>
    </row>
    <row r="5234" ht="15.75" customHeight="1">
      <c r="B5234" s="370">
        <f t="shared" si="2"/>
        <v>0.6054398148</v>
      </c>
      <c r="C5234" s="56">
        <f t="shared" si="3"/>
        <v>52310</v>
      </c>
      <c r="D5234" s="56">
        <v>0.0</v>
      </c>
    </row>
    <row r="5235" ht="15.75" customHeight="1">
      <c r="B5235" s="370">
        <f t="shared" si="2"/>
        <v>0.6055555556</v>
      </c>
      <c r="C5235" s="56">
        <f t="shared" si="3"/>
        <v>52320</v>
      </c>
      <c r="D5235" s="56">
        <v>0.0</v>
      </c>
    </row>
    <row r="5236" ht="15.75" customHeight="1">
      <c r="B5236" s="370">
        <f t="shared" si="2"/>
        <v>0.6056712963</v>
      </c>
      <c r="C5236" s="56">
        <f t="shared" si="3"/>
        <v>52330</v>
      </c>
      <c r="D5236" s="56">
        <v>0.0</v>
      </c>
    </row>
    <row r="5237" ht="15.75" customHeight="1">
      <c r="B5237" s="370">
        <f t="shared" si="2"/>
        <v>0.605787037</v>
      </c>
      <c r="C5237" s="56">
        <f t="shared" si="3"/>
        <v>52340</v>
      </c>
      <c r="D5237" s="56">
        <v>0.0</v>
      </c>
    </row>
    <row r="5238" ht="15.75" customHeight="1">
      <c r="B5238" s="370">
        <f t="shared" si="2"/>
        <v>0.6059027778</v>
      </c>
      <c r="C5238" s="56">
        <f t="shared" si="3"/>
        <v>52350</v>
      </c>
      <c r="D5238" s="56">
        <v>0.0</v>
      </c>
    </row>
    <row r="5239" ht="15.75" customHeight="1">
      <c r="B5239" s="370">
        <f t="shared" si="2"/>
        <v>0.6060185185</v>
      </c>
      <c r="C5239" s="56">
        <f t="shared" si="3"/>
        <v>52360</v>
      </c>
      <c r="D5239" s="56">
        <v>0.0</v>
      </c>
    </row>
    <row r="5240" ht="15.75" customHeight="1">
      <c r="B5240" s="370">
        <f t="shared" si="2"/>
        <v>0.6061342593</v>
      </c>
      <c r="C5240" s="56">
        <f t="shared" si="3"/>
        <v>52370</v>
      </c>
      <c r="D5240" s="56">
        <v>0.0</v>
      </c>
    </row>
    <row r="5241" ht="15.75" customHeight="1">
      <c r="B5241" s="370">
        <f t="shared" si="2"/>
        <v>0.60625</v>
      </c>
      <c r="C5241" s="56">
        <f t="shared" si="3"/>
        <v>52380</v>
      </c>
      <c r="D5241" s="56">
        <v>0.0</v>
      </c>
    </row>
    <row r="5242" ht="15.75" customHeight="1">
      <c r="B5242" s="370">
        <f t="shared" si="2"/>
        <v>0.6063657407</v>
      </c>
      <c r="C5242" s="56">
        <f t="shared" si="3"/>
        <v>52390</v>
      </c>
      <c r="D5242" s="56">
        <v>0.0</v>
      </c>
    </row>
    <row r="5243" ht="15.75" customHeight="1">
      <c r="B5243" s="370">
        <f t="shared" si="2"/>
        <v>0.6064814815</v>
      </c>
      <c r="C5243" s="56">
        <f t="shared" si="3"/>
        <v>52400</v>
      </c>
      <c r="D5243" s="56">
        <v>0.0</v>
      </c>
    </row>
    <row r="5244" ht="15.75" customHeight="1">
      <c r="B5244" s="370">
        <f t="shared" si="2"/>
        <v>0.6065972222</v>
      </c>
      <c r="C5244" s="56">
        <f t="shared" si="3"/>
        <v>52410</v>
      </c>
      <c r="D5244" s="56">
        <v>0.0</v>
      </c>
    </row>
    <row r="5245" ht="15.75" customHeight="1">
      <c r="B5245" s="370">
        <f t="shared" si="2"/>
        <v>0.606712963</v>
      </c>
      <c r="C5245" s="56">
        <f t="shared" si="3"/>
        <v>52420</v>
      </c>
      <c r="D5245" s="56">
        <v>0.0</v>
      </c>
    </row>
    <row r="5246" ht="15.75" customHeight="1">
      <c r="B5246" s="370">
        <f t="shared" si="2"/>
        <v>0.6068287037</v>
      </c>
      <c r="C5246" s="56">
        <f t="shared" si="3"/>
        <v>52430</v>
      </c>
      <c r="D5246" s="56">
        <v>0.0</v>
      </c>
    </row>
    <row r="5247" ht="15.75" customHeight="1">
      <c r="B5247" s="370">
        <f t="shared" si="2"/>
        <v>0.6069444444</v>
      </c>
      <c r="C5247" s="56">
        <f t="shared" si="3"/>
        <v>52440</v>
      </c>
      <c r="D5247" s="56">
        <v>0.0</v>
      </c>
    </row>
    <row r="5248" ht="15.75" customHeight="1">
      <c r="B5248" s="370">
        <f t="shared" si="2"/>
        <v>0.6070601852</v>
      </c>
      <c r="C5248" s="56">
        <f t="shared" si="3"/>
        <v>52450</v>
      </c>
      <c r="D5248" s="56">
        <v>0.0</v>
      </c>
    </row>
    <row r="5249" ht="15.75" customHeight="1">
      <c r="B5249" s="370">
        <f t="shared" si="2"/>
        <v>0.6071759259</v>
      </c>
      <c r="C5249" s="56">
        <f t="shared" si="3"/>
        <v>52460</v>
      </c>
      <c r="D5249" s="56">
        <v>0.0</v>
      </c>
    </row>
    <row r="5250" ht="15.75" customHeight="1">
      <c r="B5250" s="370">
        <f t="shared" si="2"/>
        <v>0.6072916667</v>
      </c>
      <c r="C5250" s="56">
        <f t="shared" si="3"/>
        <v>52470</v>
      </c>
      <c r="D5250" s="56">
        <v>0.0</v>
      </c>
    </row>
    <row r="5251" ht="15.75" customHeight="1">
      <c r="B5251" s="370">
        <f t="shared" si="2"/>
        <v>0.6074074074</v>
      </c>
      <c r="C5251" s="56">
        <f t="shared" si="3"/>
        <v>52480</v>
      </c>
      <c r="D5251" s="56">
        <v>0.0</v>
      </c>
    </row>
    <row r="5252" ht="15.75" customHeight="1">
      <c r="B5252" s="370">
        <f t="shared" si="2"/>
        <v>0.6075231481</v>
      </c>
      <c r="C5252" s="56">
        <f t="shared" si="3"/>
        <v>52490</v>
      </c>
      <c r="D5252" s="56">
        <v>0.0</v>
      </c>
    </row>
    <row r="5253" ht="15.75" customHeight="1">
      <c r="B5253" s="370">
        <f t="shared" si="2"/>
        <v>0.6076388889</v>
      </c>
      <c r="C5253" s="56">
        <f t="shared" si="3"/>
        <v>52500</v>
      </c>
      <c r="D5253" s="56">
        <v>0.0</v>
      </c>
    </row>
    <row r="5254" ht="15.75" customHeight="1">
      <c r="B5254" s="370">
        <f t="shared" si="2"/>
        <v>0.6077546296</v>
      </c>
      <c r="C5254" s="56">
        <f t="shared" si="3"/>
        <v>52510</v>
      </c>
      <c r="D5254" s="56">
        <v>0.0</v>
      </c>
    </row>
    <row r="5255" ht="15.75" customHeight="1">
      <c r="B5255" s="370">
        <f t="shared" si="2"/>
        <v>0.6078703704</v>
      </c>
      <c r="C5255" s="56">
        <f t="shared" si="3"/>
        <v>52520</v>
      </c>
      <c r="D5255" s="56">
        <v>0.0</v>
      </c>
    </row>
    <row r="5256" ht="15.75" customHeight="1">
      <c r="B5256" s="370">
        <f t="shared" si="2"/>
        <v>0.6079861111</v>
      </c>
      <c r="C5256" s="56">
        <f t="shared" si="3"/>
        <v>52530</v>
      </c>
      <c r="D5256" s="56">
        <v>0.0</v>
      </c>
    </row>
    <row r="5257" ht="15.75" customHeight="1">
      <c r="B5257" s="370">
        <f t="shared" si="2"/>
        <v>0.6081018519</v>
      </c>
      <c r="C5257" s="56">
        <f t="shared" si="3"/>
        <v>52540</v>
      </c>
      <c r="D5257" s="56">
        <v>0.0</v>
      </c>
    </row>
    <row r="5258" ht="15.75" customHeight="1">
      <c r="B5258" s="370">
        <f t="shared" si="2"/>
        <v>0.6082175926</v>
      </c>
      <c r="C5258" s="56">
        <f t="shared" si="3"/>
        <v>52550</v>
      </c>
      <c r="D5258" s="56">
        <v>0.0</v>
      </c>
    </row>
    <row r="5259" ht="15.75" customHeight="1">
      <c r="B5259" s="370">
        <f t="shared" si="2"/>
        <v>0.6083333333</v>
      </c>
      <c r="C5259" s="56">
        <f t="shared" si="3"/>
        <v>52560</v>
      </c>
      <c r="D5259" s="56">
        <v>0.0</v>
      </c>
    </row>
    <row r="5260" ht="15.75" customHeight="1">
      <c r="B5260" s="370">
        <f t="shared" si="2"/>
        <v>0.6084490741</v>
      </c>
      <c r="C5260" s="56">
        <f t="shared" si="3"/>
        <v>52570</v>
      </c>
      <c r="D5260" s="56">
        <v>0.0</v>
      </c>
    </row>
    <row r="5261" ht="15.75" customHeight="1">
      <c r="B5261" s="370">
        <f t="shared" si="2"/>
        <v>0.6085648148</v>
      </c>
      <c r="C5261" s="56">
        <f t="shared" si="3"/>
        <v>52580</v>
      </c>
      <c r="D5261" s="56">
        <v>0.0</v>
      </c>
    </row>
    <row r="5262" ht="15.75" customHeight="1">
      <c r="B5262" s="370">
        <f t="shared" si="2"/>
        <v>0.6086805556</v>
      </c>
      <c r="C5262" s="56">
        <f t="shared" si="3"/>
        <v>52590</v>
      </c>
      <c r="D5262" s="56">
        <v>0.0</v>
      </c>
    </row>
    <row r="5263" ht="15.75" customHeight="1">
      <c r="B5263" s="370">
        <f t="shared" si="2"/>
        <v>0.6087962963</v>
      </c>
      <c r="C5263" s="56">
        <f t="shared" si="3"/>
        <v>52600</v>
      </c>
      <c r="D5263" s="56">
        <v>0.0</v>
      </c>
    </row>
    <row r="5264" ht="15.75" customHeight="1">
      <c r="B5264" s="370">
        <f t="shared" si="2"/>
        <v>0.608912037</v>
      </c>
      <c r="C5264" s="56">
        <f t="shared" si="3"/>
        <v>52610</v>
      </c>
      <c r="D5264" s="56">
        <v>0.0</v>
      </c>
    </row>
    <row r="5265" ht="15.75" customHeight="1">
      <c r="B5265" s="370">
        <f t="shared" si="2"/>
        <v>0.6090277778</v>
      </c>
      <c r="C5265" s="56">
        <f t="shared" si="3"/>
        <v>52620</v>
      </c>
      <c r="D5265" s="56">
        <v>0.0</v>
      </c>
    </row>
    <row r="5266" ht="15.75" customHeight="1">
      <c r="B5266" s="370">
        <f t="shared" si="2"/>
        <v>0.6091435185</v>
      </c>
      <c r="C5266" s="56">
        <f t="shared" si="3"/>
        <v>52630</v>
      </c>
      <c r="D5266" s="56">
        <v>0.0</v>
      </c>
    </row>
    <row r="5267" ht="15.75" customHeight="1">
      <c r="B5267" s="370">
        <f t="shared" si="2"/>
        <v>0.6092592593</v>
      </c>
      <c r="C5267" s="56">
        <f t="shared" si="3"/>
        <v>52640</v>
      </c>
      <c r="D5267" s="56">
        <v>0.0</v>
      </c>
    </row>
    <row r="5268" ht="15.75" customHeight="1">
      <c r="B5268" s="370">
        <f t="shared" si="2"/>
        <v>0.609375</v>
      </c>
      <c r="C5268" s="56">
        <f t="shared" si="3"/>
        <v>52650</v>
      </c>
      <c r="D5268" s="56">
        <v>0.0</v>
      </c>
    </row>
    <row r="5269" ht="15.75" customHeight="1">
      <c r="B5269" s="370">
        <f t="shared" si="2"/>
        <v>0.6094907407</v>
      </c>
      <c r="C5269" s="56">
        <f t="shared" si="3"/>
        <v>52660</v>
      </c>
      <c r="D5269" s="56">
        <v>0.0</v>
      </c>
    </row>
    <row r="5270" ht="15.75" customHeight="1">
      <c r="B5270" s="370">
        <f t="shared" si="2"/>
        <v>0.6096064815</v>
      </c>
      <c r="C5270" s="56">
        <f t="shared" si="3"/>
        <v>52670</v>
      </c>
      <c r="D5270" s="56">
        <v>0.0</v>
      </c>
    </row>
    <row r="5271" ht="15.75" customHeight="1">
      <c r="B5271" s="370">
        <f t="shared" si="2"/>
        <v>0.6097222222</v>
      </c>
      <c r="C5271" s="56">
        <f t="shared" si="3"/>
        <v>52680</v>
      </c>
      <c r="D5271" s="56">
        <v>0.0</v>
      </c>
    </row>
    <row r="5272" ht="15.75" customHeight="1">
      <c r="B5272" s="370">
        <f t="shared" si="2"/>
        <v>0.609837963</v>
      </c>
      <c r="C5272" s="56">
        <f t="shared" si="3"/>
        <v>52690</v>
      </c>
      <c r="D5272" s="56">
        <v>0.0</v>
      </c>
    </row>
    <row r="5273" ht="15.75" customHeight="1">
      <c r="B5273" s="370">
        <f t="shared" si="2"/>
        <v>0.6099537037</v>
      </c>
      <c r="C5273" s="56">
        <f t="shared" si="3"/>
        <v>52700</v>
      </c>
      <c r="D5273" s="56">
        <v>0.0</v>
      </c>
    </row>
    <row r="5274" ht="15.75" customHeight="1">
      <c r="B5274" s="370">
        <f t="shared" si="2"/>
        <v>0.6100694444</v>
      </c>
      <c r="C5274" s="56">
        <f t="shared" si="3"/>
        <v>52710</v>
      </c>
      <c r="D5274" s="56">
        <v>0.0</v>
      </c>
    </row>
    <row r="5275" ht="15.75" customHeight="1">
      <c r="B5275" s="370">
        <f t="shared" si="2"/>
        <v>0.6101851852</v>
      </c>
      <c r="C5275" s="56">
        <f t="shared" si="3"/>
        <v>52720</v>
      </c>
      <c r="D5275" s="56">
        <v>0.0</v>
      </c>
    </row>
    <row r="5276" ht="15.75" customHeight="1">
      <c r="B5276" s="370">
        <f t="shared" si="2"/>
        <v>0.6103009259</v>
      </c>
      <c r="C5276" s="56">
        <f t="shared" si="3"/>
        <v>52730</v>
      </c>
      <c r="D5276" s="56">
        <v>0.0</v>
      </c>
    </row>
    <row r="5277" ht="15.75" customHeight="1">
      <c r="B5277" s="370">
        <f t="shared" si="2"/>
        <v>0.6104166667</v>
      </c>
      <c r="C5277" s="56">
        <f t="shared" si="3"/>
        <v>52740</v>
      </c>
      <c r="D5277" s="56">
        <v>0.0</v>
      </c>
    </row>
    <row r="5278" ht="15.75" customHeight="1">
      <c r="B5278" s="370">
        <f t="shared" si="2"/>
        <v>0.6105324074</v>
      </c>
      <c r="C5278" s="56">
        <f t="shared" si="3"/>
        <v>52750</v>
      </c>
      <c r="D5278" s="56">
        <v>0.0</v>
      </c>
    </row>
    <row r="5279" ht="15.75" customHeight="1">
      <c r="B5279" s="370">
        <f t="shared" si="2"/>
        <v>0.6106481481</v>
      </c>
      <c r="C5279" s="56">
        <f t="shared" si="3"/>
        <v>52760</v>
      </c>
      <c r="D5279" s="56">
        <v>0.0</v>
      </c>
    </row>
    <row r="5280" ht="15.75" customHeight="1">
      <c r="B5280" s="370">
        <f t="shared" si="2"/>
        <v>0.6107638889</v>
      </c>
      <c r="C5280" s="56">
        <f t="shared" si="3"/>
        <v>52770</v>
      </c>
      <c r="D5280" s="56">
        <v>0.0</v>
      </c>
    </row>
    <row r="5281" ht="15.75" customHeight="1">
      <c r="B5281" s="370">
        <f t="shared" si="2"/>
        <v>0.6108796296</v>
      </c>
      <c r="C5281" s="56">
        <f t="shared" si="3"/>
        <v>52780</v>
      </c>
      <c r="D5281" s="56">
        <v>0.0</v>
      </c>
    </row>
    <row r="5282" ht="15.75" customHeight="1">
      <c r="B5282" s="370">
        <f t="shared" si="2"/>
        <v>0.6109953704</v>
      </c>
      <c r="C5282" s="56">
        <f t="shared" si="3"/>
        <v>52790</v>
      </c>
      <c r="D5282" s="56">
        <v>0.0</v>
      </c>
    </row>
    <row r="5283" ht="15.75" customHeight="1">
      <c r="B5283" s="370">
        <f t="shared" si="2"/>
        <v>0.6111111111</v>
      </c>
      <c r="C5283" s="56">
        <f t="shared" si="3"/>
        <v>52800</v>
      </c>
      <c r="D5283" s="56">
        <v>0.0</v>
      </c>
    </row>
    <row r="5284" ht="15.75" customHeight="1">
      <c r="B5284" s="370">
        <f t="shared" si="2"/>
        <v>0.6112268519</v>
      </c>
      <c r="C5284" s="56">
        <f t="shared" si="3"/>
        <v>52810</v>
      </c>
      <c r="D5284" s="56">
        <v>0.0</v>
      </c>
    </row>
    <row r="5285" ht="15.75" customHeight="1">
      <c r="B5285" s="370">
        <f t="shared" si="2"/>
        <v>0.6113425926</v>
      </c>
      <c r="C5285" s="56">
        <f t="shared" si="3"/>
        <v>52820</v>
      </c>
      <c r="D5285" s="56">
        <v>0.0</v>
      </c>
    </row>
    <row r="5286" ht="15.75" customHeight="1">
      <c r="B5286" s="370">
        <f t="shared" si="2"/>
        <v>0.6114583333</v>
      </c>
      <c r="C5286" s="56">
        <f t="shared" si="3"/>
        <v>52830</v>
      </c>
      <c r="D5286" s="56">
        <v>0.0</v>
      </c>
    </row>
    <row r="5287" ht="15.75" customHeight="1">
      <c r="B5287" s="370">
        <f t="shared" si="2"/>
        <v>0.6115740741</v>
      </c>
      <c r="C5287" s="56">
        <f t="shared" si="3"/>
        <v>52840</v>
      </c>
      <c r="D5287" s="56">
        <v>0.0</v>
      </c>
    </row>
    <row r="5288" ht="15.75" customHeight="1">
      <c r="B5288" s="370">
        <f t="shared" si="2"/>
        <v>0.6116898148</v>
      </c>
      <c r="C5288" s="56">
        <f t="shared" si="3"/>
        <v>52850</v>
      </c>
      <c r="D5288" s="56">
        <v>0.0</v>
      </c>
    </row>
    <row r="5289" ht="15.75" customHeight="1">
      <c r="B5289" s="370">
        <f t="shared" si="2"/>
        <v>0.6118055556</v>
      </c>
      <c r="C5289" s="56">
        <f t="shared" si="3"/>
        <v>52860</v>
      </c>
      <c r="D5289" s="56">
        <v>0.0</v>
      </c>
    </row>
    <row r="5290" ht="15.75" customHeight="1">
      <c r="B5290" s="370">
        <f t="shared" si="2"/>
        <v>0.6119212963</v>
      </c>
      <c r="C5290" s="56">
        <f t="shared" si="3"/>
        <v>52870</v>
      </c>
      <c r="D5290" s="56">
        <v>0.0</v>
      </c>
    </row>
    <row r="5291" ht="15.75" customHeight="1">
      <c r="B5291" s="370">
        <f t="shared" si="2"/>
        <v>0.612037037</v>
      </c>
      <c r="C5291" s="56">
        <f t="shared" si="3"/>
        <v>52880</v>
      </c>
      <c r="D5291" s="56">
        <v>0.0</v>
      </c>
    </row>
    <row r="5292" ht="15.75" customHeight="1">
      <c r="B5292" s="370">
        <f t="shared" si="2"/>
        <v>0.6121527778</v>
      </c>
      <c r="C5292" s="56">
        <f t="shared" si="3"/>
        <v>52890</v>
      </c>
      <c r="D5292" s="56">
        <v>0.0</v>
      </c>
    </row>
    <row r="5293" ht="15.75" customHeight="1">
      <c r="B5293" s="370">
        <f t="shared" si="2"/>
        <v>0.6122685185</v>
      </c>
      <c r="C5293" s="56">
        <f t="shared" si="3"/>
        <v>52900</v>
      </c>
      <c r="D5293" s="56">
        <v>0.0</v>
      </c>
    </row>
    <row r="5294" ht="15.75" customHeight="1">
      <c r="B5294" s="370">
        <f t="shared" si="2"/>
        <v>0.6123842593</v>
      </c>
      <c r="C5294" s="56">
        <f t="shared" si="3"/>
        <v>52910</v>
      </c>
      <c r="D5294" s="56">
        <v>0.0</v>
      </c>
    </row>
    <row r="5295" ht="15.75" customHeight="1">
      <c r="B5295" s="370">
        <f t="shared" si="2"/>
        <v>0.6125</v>
      </c>
      <c r="C5295" s="56">
        <f t="shared" si="3"/>
        <v>52920</v>
      </c>
      <c r="D5295" s="56">
        <v>0.0</v>
      </c>
    </row>
    <row r="5296" ht="15.75" customHeight="1">
      <c r="B5296" s="370">
        <f t="shared" si="2"/>
        <v>0.6126157407</v>
      </c>
      <c r="C5296" s="56">
        <f t="shared" si="3"/>
        <v>52930</v>
      </c>
      <c r="D5296" s="56">
        <v>0.0</v>
      </c>
    </row>
    <row r="5297" ht="15.75" customHeight="1">
      <c r="B5297" s="370">
        <f t="shared" si="2"/>
        <v>0.6127314815</v>
      </c>
      <c r="C5297" s="56">
        <f t="shared" si="3"/>
        <v>52940</v>
      </c>
      <c r="D5297" s="56">
        <v>0.0</v>
      </c>
    </row>
    <row r="5298" ht="15.75" customHeight="1">
      <c r="B5298" s="370">
        <f t="shared" si="2"/>
        <v>0.6128472222</v>
      </c>
      <c r="C5298" s="56">
        <f t="shared" si="3"/>
        <v>52950</v>
      </c>
      <c r="D5298" s="56">
        <v>0.0</v>
      </c>
    </row>
    <row r="5299" ht="15.75" customHeight="1">
      <c r="B5299" s="370">
        <f t="shared" si="2"/>
        <v>0.612962963</v>
      </c>
      <c r="C5299" s="56">
        <f t="shared" si="3"/>
        <v>52960</v>
      </c>
      <c r="D5299" s="56">
        <v>0.0</v>
      </c>
    </row>
    <row r="5300" ht="15.75" customHeight="1">
      <c r="B5300" s="370">
        <f t="shared" si="2"/>
        <v>0.6130787037</v>
      </c>
      <c r="C5300" s="56">
        <f t="shared" si="3"/>
        <v>52970</v>
      </c>
      <c r="D5300" s="56">
        <v>0.0</v>
      </c>
    </row>
    <row r="5301" ht="15.75" customHeight="1">
      <c r="B5301" s="370">
        <f t="shared" si="2"/>
        <v>0.6131944444</v>
      </c>
      <c r="C5301" s="56">
        <f t="shared" si="3"/>
        <v>52980</v>
      </c>
      <c r="D5301" s="56">
        <v>0.0</v>
      </c>
    </row>
    <row r="5302" ht="15.75" customHeight="1">
      <c r="B5302" s="370">
        <f t="shared" si="2"/>
        <v>0.6133101852</v>
      </c>
      <c r="C5302" s="56">
        <f t="shared" si="3"/>
        <v>52990</v>
      </c>
      <c r="D5302" s="56">
        <v>0.0</v>
      </c>
    </row>
    <row r="5303" ht="15.75" customHeight="1">
      <c r="B5303" s="370">
        <f t="shared" si="2"/>
        <v>0.6134259259</v>
      </c>
      <c r="C5303" s="56">
        <f t="shared" si="3"/>
        <v>53000</v>
      </c>
      <c r="D5303" s="56">
        <v>0.0</v>
      </c>
    </row>
    <row r="5304" ht="15.75" customHeight="1">
      <c r="B5304" s="370">
        <f t="shared" si="2"/>
        <v>0.6135416667</v>
      </c>
      <c r="C5304" s="56">
        <f t="shared" si="3"/>
        <v>53010</v>
      </c>
      <c r="D5304" s="56">
        <v>0.0</v>
      </c>
    </row>
    <row r="5305" ht="15.75" customHeight="1">
      <c r="B5305" s="370">
        <f t="shared" si="2"/>
        <v>0.6136574074</v>
      </c>
      <c r="C5305" s="56">
        <f t="shared" si="3"/>
        <v>53020</v>
      </c>
      <c r="D5305" s="56">
        <v>0.0</v>
      </c>
    </row>
    <row r="5306" ht="15.75" customHeight="1">
      <c r="B5306" s="370">
        <f t="shared" si="2"/>
        <v>0.6137731481</v>
      </c>
      <c r="C5306" s="56">
        <f t="shared" si="3"/>
        <v>53030</v>
      </c>
      <c r="D5306" s="56">
        <v>0.0</v>
      </c>
    </row>
    <row r="5307" ht="15.75" customHeight="1">
      <c r="B5307" s="370">
        <f t="shared" si="2"/>
        <v>0.6138888889</v>
      </c>
      <c r="C5307" s="56">
        <f t="shared" si="3"/>
        <v>53040</v>
      </c>
      <c r="D5307" s="56">
        <v>0.0</v>
      </c>
    </row>
    <row r="5308" ht="15.75" customHeight="1">
      <c r="B5308" s="370">
        <f t="shared" si="2"/>
        <v>0.6140046296</v>
      </c>
      <c r="C5308" s="56">
        <f t="shared" si="3"/>
        <v>53050</v>
      </c>
      <c r="D5308" s="56">
        <v>0.0</v>
      </c>
    </row>
    <row r="5309" ht="15.75" customHeight="1">
      <c r="B5309" s="370">
        <f t="shared" si="2"/>
        <v>0.6141203704</v>
      </c>
      <c r="C5309" s="56">
        <f t="shared" si="3"/>
        <v>53060</v>
      </c>
      <c r="D5309" s="56">
        <v>0.0</v>
      </c>
    </row>
    <row r="5310" ht="15.75" customHeight="1">
      <c r="B5310" s="370">
        <f t="shared" si="2"/>
        <v>0.6142361111</v>
      </c>
      <c r="C5310" s="56">
        <f t="shared" si="3"/>
        <v>53070</v>
      </c>
      <c r="D5310" s="56">
        <v>0.0</v>
      </c>
    </row>
    <row r="5311" ht="15.75" customHeight="1">
      <c r="B5311" s="370">
        <f t="shared" si="2"/>
        <v>0.6143518519</v>
      </c>
      <c r="C5311" s="56">
        <f t="shared" si="3"/>
        <v>53080</v>
      </c>
      <c r="D5311" s="56">
        <v>0.0</v>
      </c>
    </row>
    <row r="5312" ht="15.75" customHeight="1">
      <c r="B5312" s="370">
        <f t="shared" si="2"/>
        <v>0.6144675926</v>
      </c>
      <c r="C5312" s="56">
        <f t="shared" si="3"/>
        <v>53090</v>
      </c>
      <c r="D5312" s="56">
        <v>0.0</v>
      </c>
    </row>
    <row r="5313" ht="15.75" customHeight="1">
      <c r="B5313" s="370">
        <f t="shared" si="2"/>
        <v>0.6145833333</v>
      </c>
      <c r="C5313" s="56">
        <f t="shared" si="3"/>
        <v>53100</v>
      </c>
      <c r="D5313" s="56">
        <v>0.0</v>
      </c>
    </row>
    <row r="5314" ht="15.75" customHeight="1">
      <c r="B5314" s="370">
        <f t="shared" si="2"/>
        <v>0.6146990741</v>
      </c>
      <c r="C5314" s="56">
        <f t="shared" si="3"/>
        <v>53110</v>
      </c>
      <c r="D5314" s="56">
        <v>0.0</v>
      </c>
    </row>
    <row r="5315" ht="15.75" customHeight="1">
      <c r="B5315" s="370">
        <f t="shared" si="2"/>
        <v>0.6148148148</v>
      </c>
      <c r="C5315" s="56">
        <f t="shared" si="3"/>
        <v>53120</v>
      </c>
      <c r="D5315" s="56">
        <v>0.0</v>
      </c>
    </row>
    <row r="5316" ht="15.75" customHeight="1">
      <c r="B5316" s="370">
        <f t="shared" si="2"/>
        <v>0.6149305556</v>
      </c>
      <c r="C5316" s="56">
        <f t="shared" si="3"/>
        <v>53130</v>
      </c>
      <c r="D5316" s="56">
        <v>0.0</v>
      </c>
    </row>
    <row r="5317" ht="15.75" customHeight="1">
      <c r="B5317" s="370">
        <f t="shared" si="2"/>
        <v>0.6150462963</v>
      </c>
      <c r="C5317" s="56">
        <f t="shared" si="3"/>
        <v>53140</v>
      </c>
      <c r="D5317" s="56">
        <v>0.0</v>
      </c>
    </row>
    <row r="5318" ht="15.75" customHeight="1">
      <c r="B5318" s="370">
        <f t="shared" si="2"/>
        <v>0.615162037</v>
      </c>
      <c r="C5318" s="56">
        <f t="shared" si="3"/>
        <v>53150</v>
      </c>
      <c r="D5318" s="56">
        <v>0.0</v>
      </c>
    </row>
    <row r="5319" ht="15.75" customHeight="1">
      <c r="B5319" s="370">
        <f t="shared" si="2"/>
        <v>0.6152777778</v>
      </c>
      <c r="C5319" s="56">
        <f t="shared" si="3"/>
        <v>53160</v>
      </c>
      <c r="D5319" s="56">
        <v>0.0</v>
      </c>
    </row>
    <row r="5320" ht="15.75" customHeight="1">
      <c r="B5320" s="370">
        <f t="shared" si="2"/>
        <v>0.6153935185</v>
      </c>
      <c r="C5320" s="56">
        <f t="shared" si="3"/>
        <v>53170</v>
      </c>
      <c r="D5320" s="56">
        <v>0.0</v>
      </c>
    </row>
    <row r="5321" ht="15.75" customHeight="1">
      <c r="B5321" s="370">
        <f t="shared" si="2"/>
        <v>0.6155092593</v>
      </c>
      <c r="C5321" s="56">
        <f t="shared" si="3"/>
        <v>53180</v>
      </c>
      <c r="D5321" s="56">
        <v>0.0</v>
      </c>
    </row>
    <row r="5322" ht="15.75" customHeight="1">
      <c r="B5322" s="370">
        <f t="shared" si="2"/>
        <v>0.615625</v>
      </c>
      <c r="C5322" s="56">
        <f t="shared" si="3"/>
        <v>53190</v>
      </c>
      <c r="D5322" s="56">
        <v>0.0</v>
      </c>
    </row>
    <row r="5323" ht="15.75" customHeight="1">
      <c r="B5323" s="370">
        <f t="shared" si="2"/>
        <v>0.6157407407</v>
      </c>
      <c r="C5323" s="56">
        <f t="shared" si="3"/>
        <v>53200</v>
      </c>
      <c r="D5323" s="56">
        <v>0.0</v>
      </c>
    </row>
    <row r="5324" ht="15.75" customHeight="1">
      <c r="B5324" s="370">
        <f t="shared" si="2"/>
        <v>0.6158564815</v>
      </c>
      <c r="C5324" s="56">
        <f t="shared" si="3"/>
        <v>53210</v>
      </c>
      <c r="D5324" s="56">
        <v>0.0</v>
      </c>
    </row>
    <row r="5325" ht="15.75" customHeight="1">
      <c r="B5325" s="370">
        <f t="shared" si="2"/>
        <v>0.6159722222</v>
      </c>
      <c r="C5325" s="56">
        <f t="shared" si="3"/>
        <v>53220</v>
      </c>
      <c r="D5325" s="56">
        <v>0.0</v>
      </c>
    </row>
    <row r="5326" ht="15.75" customHeight="1">
      <c r="B5326" s="370">
        <f t="shared" si="2"/>
        <v>0.616087963</v>
      </c>
      <c r="C5326" s="56">
        <f t="shared" si="3"/>
        <v>53230</v>
      </c>
      <c r="D5326" s="56">
        <v>0.0</v>
      </c>
    </row>
    <row r="5327" ht="15.75" customHeight="1">
      <c r="B5327" s="370">
        <f t="shared" si="2"/>
        <v>0.6162037037</v>
      </c>
      <c r="C5327" s="56">
        <f t="shared" si="3"/>
        <v>53240</v>
      </c>
      <c r="D5327" s="56">
        <v>0.0</v>
      </c>
    </row>
    <row r="5328" ht="15.75" customHeight="1">
      <c r="B5328" s="370">
        <f t="shared" si="2"/>
        <v>0.6163194444</v>
      </c>
      <c r="C5328" s="56">
        <f t="shared" si="3"/>
        <v>53250</v>
      </c>
      <c r="D5328" s="56">
        <v>0.0</v>
      </c>
    </row>
    <row r="5329" ht="15.75" customHeight="1">
      <c r="B5329" s="370">
        <f t="shared" si="2"/>
        <v>0.6164351852</v>
      </c>
      <c r="C5329" s="56">
        <f t="shared" si="3"/>
        <v>53260</v>
      </c>
      <c r="D5329" s="56">
        <v>0.0</v>
      </c>
    </row>
    <row r="5330" ht="15.75" customHeight="1">
      <c r="B5330" s="370">
        <f t="shared" si="2"/>
        <v>0.6165509259</v>
      </c>
      <c r="C5330" s="56">
        <f t="shared" si="3"/>
        <v>53270</v>
      </c>
      <c r="D5330" s="56">
        <v>0.0</v>
      </c>
    </row>
    <row r="5331" ht="15.75" customHeight="1">
      <c r="B5331" s="370">
        <f t="shared" si="2"/>
        <v>0.6166666667</v>
      </c>
      <c r="C5331" s="56">
        <f t="shared" si="3"/>
        <v>53280</v>
      </c>
      <c r="D5331" s="56">
        <v>0.0</v>
      </c>
    </row>
    <row r="5332" ht="15.75" customHeight="1">
      <c r="B5332" s="370">
        <f t="shared" si="2"/>
        <v>0.6167824074</v>
      </c>
      <c r="C5332" s="56">
        <f t="shared" si="3"/>
        <v>53290</v>
      </c>
      <c r="D5332" s="56">
        <v>0.0</v>
      </c>
    </row>
    <row r="5333" ht="15.75" customHeight="1">
      <c r="B5333" s="370">
        <f t="shared" si="2"/>
        <v>0.6168981481</v>
      </c>
      <c r="C5333" s="56">
        <f t="shared" si="3"/>
        <v>53300</v>
      </c>
      <c r="D5333" s="56">
        <v>0.0</v>
      </c>
    </row>
    <row r="5334" ht="15.75" customHeight="1">
      <c r="B5334" s="370">
        <f t="shared" si="2"/>
        <v>0.6170138889</v>
      </c>
      <c r="C5334" s="56">
        <f t="shared" si="3"/>
        <v>53310</v>
      </c>
      <c r="D5334" s="56">
        <v>0.0</v>
      </c>
    </row>
    <row r="5335" ht="15.75" customHeight="1">
      <c r="B5335" s="370">
        <f t="shared" si="2"/>
        <v>0.6171296296</v>
      </c>
      <c r="C5335" s="56">
        <f t="shared" si="3"/>
        <v>53320</v>
      </c>
      <c r="D5335" s="56">
        <v>0.0</v>
      </c>
    </row>
    <row r="5336" ht="15.75" customHeight="1">
      <c r="B5336" s="370">
        <f t="shared" si="2"/>
        <v>0.6172453704</v>
      </c>
      <c r="C5336" s="56">
        <f t="shared" si="3"/>
        <v>53330</v>
      </c>
      <c r="D5336" s="56">
        <v>0.0</v>
      </c>
    </row>
    <row r="5337" ht="15.75" customHeight="1">
      <c r="B5337" s="370">
        <f t="shared" si="2"/>
        <v>0.6173611111</v>
      </c>
      <c r="C5337" s="56">
        <f t="shared" si="3"/>
        <v>53340</v>
      </c>
      <c r="D5337" s="56">
        <v>0.0</v>
      </c>
    </row>
    <row r="5338" ht="15.75" customHeight="1">
      <c r="B5338" s="370">
        <f t="shared" si="2"/>
        <v>0.6174768519</v>
      </c>
      <c r="C5338" s="56">
        <f t="shared" si="3"/>
        <v>53350</v>
      </c>
      <c r="D5338" s="56">
        <v>0.0</v>
      </c>
    </row>
    <row r="5339" ht="15.75" customHeight="1">
      <c r="B5339" s="370">
        <f t="shared" si="2"/>
        <v>0.6175925926</v>
      </c>
      <c r="C5339" s="56">
        <f t="shared" si="3"/>
        <v>53360</v>
      </c>
      <c r="D5339" s="56">
        <v>0.0</v>
      </c>
    </row>
    <row r="5340" ht="15.75" customHeight="1">
      <c r="B5340" s="370">
        <f t="shared" si="2"/>
        <v>0.6177083333</v>
      </c>
      <c r="C5340" s="56">
        <f t="shared" si="3"/>
        <v>53370</v>
      </c>
      <c r="D5340" s="56">
        <v>0.0</v>
      </c>
    </row>
    <row r="5341" ht="15.75" customHeight="1">
      <c r="B5341" s="370">
        <f t="shared" si="2"/>
        <v>0.6178240741</v>
      </c>
      <c r="C5341" s="56">
        <f t="shared" si="3"/>
        <v>53380</v>
      </c>
      <c r="D5341" s="56">
        <v>0.0</v>
      </c>
    </row>
    <row r="5342" ht="15.75" customHeight="1">
      <c r="B5342" s="370">
        <f t="shared" si="2"/>
        <v>0.6179398148</v>
      </c>
      <c r="C5342" s="56">
        <f t="shared" si="3"/>
        <v>53390</v>
      </c>
      <c r="D5342" s="56">
        <v>0.0</v>
      </c>
    </row>
    <row r="5343" ht="15.75" customHeight="1">
      <c r="B5343" s="370">
        <f t="shared" si="2"/>
        <v>0.6180555556</v>
      </c>
      <c r="C5343" s="56">
        <f t="shared" si="3"/>
        <v>53400</v>
      </c>
      <c r="D5343" s="56">
        <v>0.0</v>
      </c>
    </row>
    <row r="5344" ht="15.75" customHeight="1">
      <c r="B5344" s="370">
        <f t="shared" si="2"/>
        <v>0.6181712963</v>
      </c>
      <c r="C5344" s="56">
        <f t="shared" si="3"/>
        <v>53410</v>
      </c>
      <c r="D5344" s="56">
        <v>0.0</v>
      </c>
    </row>
    <row r="5345" ht="15.75" customHeight="1">
      <c r="B5345" s="370">
        <f t="shared" si="2"/>
        <v>0.618287037</v>
      </c>
      <c r="C5345" s="56">
        <f t="shared" si="3"/>
        <v>53420</v>
      </c>
      <c r="D5345" s="56">
        <v>0.0</v>
      </c>
    </row>
    <row r="5346" ht="15.75" customHeight="1">
      <c r="B5346" s="370">
        <f t="shared" si="2"/>
        <v>0.6184027778</v>
      </c>
      <c r="C5346" s="56">
        <f t="shared" si="3"/>
        <v>53430</v>
      </c>
      <c r="D5346" s="56">
        <v>0.0</v>
      </c>
    </row>
    <row r="5347" ht="15.75" customHeight="1">
      <c r="B5347" s="370">
        <f t="shared" si="2"/>
        <v>0.6185185185</v>
      </c>
      <c r="C5347" s="56">
        <f t="shared" si="3"/>
        <v>53440</v>
      </c>
      <c r="D5347" s="56">
        <v>0.0</v>
      </c>
    </row>
    <row r="5348" ht="15.75" customHeight="1">
      <c r="B5348" s="370">
        <f t="shared" si="2"/>
        <v>0.6186342593</v>
      </c>
      <c r="C5348" s="56">
        <f t="shared" si="3"/>
        <v>53450</v>
      </c>
      <c r="D5348" s="56">
        <v>0.0</v>
      </c>
    </row>
    <row r="5349" ht="15.75" customHeight="1">
      <c r="B5349" s="370">
        <f t="shared" si="2"/>
        <v>0.61875</v>
      </c>
      <c r="C5349" s="56">
        <f t="shared" si="3"/>
        <v>53460</v>
      </c>
      <c r="D5349" s="56">
        <v>0.0</v>
      </c>
    </row>
    <row r="5350" ht="15.75" customHeight="1">
      <c r="B5350" s="370">
        <f t="shared" si="2"/>
        <v>0.6188657407</v>
      </c>
      <c r="C5350" s="56">
        <f t="shared" si="3"/>
        <v>53470</v>
      </c>
      <c r="D5350" s="56">
        <v>0.0</v>
      </c>
    </row>
    <row r="5351" ht="15.75" customHeight="1">
      <c r="B5351" s="370">
        <f t="shared" si="2"/>
        <v>0.6189814815</v>
      </c>
      <c r="C5351" s="56">
        <f t="shared" si="3"/>
        <v>53480</v>
      </c>
      <c r="D5351" s="56">
        <v>0.0</v>
      </c>
    </row>
    <row r="5352" ht="15.75" customHeight="1">
      <c r="B5352" s="370">
        <f t="shared" si="2"/>
        <v>0.6190972222</v>
      </c>
      <c r="C5352" s="56">
        <f t="shared" si="3"/>
        <v>53490</v>
      </c>
      <c r="D5352" s="56">
        <v>0.0</v>
      </c>
    </row>
    <row r="5353" ht="15.75" customHeight="1">
      <c r="B5353" s="370">
        <f t="shared" si="2"/>
        <v>0.619212963</v>
      </c>
      <c r="C5353" s="56">
        <f t="shared" si="3"/>
        <v>53500</v>
      </c>
      <c r="D5353" s="56">
        <v>0.0</v>
      </c>
    </row>
    <row r="5354" ht="15.75" customHeight="1">
      <c r="B5354" s="370">
        <f t="shared" si="2"/>
        <v>0.6193287037</v>
      </c>
      <c r="C5354" s="56">
        <f t="shared" si="3"/>
        <v>53510</v>
      </c>
      <c r="D5354" s="56">
        <v>0.0</v>
      </c>
    </row>
    <row r="5355" ht="15.75" customHeight="1">
      <c r="B5355" s="370">
        <f t="shared" si="2"/>
        <v>0.6194444444</v>
      </c>
      <c r="C5355" s="56">
        <f t="shared" si="3"/>
        <v>53520</v>
      </c>
      <c r="D5355" s="56">
        <v>0.0</v>
      </c>
    </row>
    <row r="5356" ht="15.75" customHeight="1">
      <c r="B5356" s="370">
        <f t="shared" si="2"/>
        <v>0.6195601852</v>
      </c>
      <c r="C5356" s="56">
        <f t="shared" si="3"/>
        <v>53530</v>
      </c>
      <c r="D5356" s="56">
        <v>0.0</v>
      </c>
    </row>
    <row r="5357" ht="15.75" customHeight="1">
      <c r="B5357" s="370">
        <f t="shared" si="2"/>
        <v>0.6196759259</v>
      </c>
      <c r="C5357" s="56">
        <f t="shared" si="3"/>
        <v>53540</v>
      </c>
      <c r="D5357" s="56">
        <v>0.0</v>
      </c>
    </row>
    <row r="5358" ht="15.75" customHeight="1">
      <c r="B5358" s="370">
        <f t="shared" si="2"/>
        <v>0.6197916667</v>
      </c>
      <c r="C5358" s="56">
        <f t="shared" si="3"/>
        <v>53550</v>
      </c>
      <c r="D5358" s="56">
        <v>0.0</v>
      </c>
    </row>
    <row r="5359" ht="15.75" customHeight="1">
      <c r="B5359" s="370">
        <f t="shared" si="2"/>
        <v>0.6199074074</v>
      </c>
      <c r="C5359" s="56">
        <f t="shared" si="3"/>
        <v>53560</v>
      </c>
      <c r="D5359" s="56">
        <v>0.0</v>
      </c>
    </row>
    <row r="5360" ht="15.75" customHeight="1">
      <c r="B5360" s="370">
        <f t="shared" si="2"/>
        <v>0.6200231481</v>
      </c>
      <c r="C5360" s="56">
        <f t="shared" si="3"/>
        <v>53570</v>
      </c>
      <c r="D5360" s="56">
        <v>0.0</v>
      </c>
    </row>
    <row r="5361" ht="15.75" customHeight="1">
      <c r="B5361" s="370">
        <f t="shared" si="2"/>
        <v>0.6201388889</v>
      </c>
      <c r="C5361" s="56">
        <f t="shared" si="3"/>
        <v>53580</v>
      </c>
      <c r="D5361" s="56">
        <v>0.0</v>
      </c>
    </row>
    <row r="5362" ht="15.75" customHeight="1">
      <c r="B5362" s="370">
        <f t="shared" si="2"/>
        <v>0.6202546296</v>
      </c>
      <c r="C5362" s="56">
        <f t="shared" si="3"/>
        <v>53590</v>
      </c>
      <c r="D5362" s="56">
        <v>0.0</v>
      </c>
    </row>
    <row r="5363" ht="15.75" customHeight="1">
      <c r="B5363" s="370">
        <f t="shared" si="2"/>
        <v>0.6203703704</v>
      </c>
      <c r="C5363" s="56">
        <f t="shared" si="3"/>
        <v>53600</v>
      </c>
      <c r="D5363" s="56">
        <v>0.0</v>
      </c>
    </row>
    <row r="5364" ht="15.75" customHeight="1">
      <c r="B5364" s="370">
        <f t="shared" si="2"/>
        <v>0.6204861111</v>
      </c>
      <c r="C5364" s="56">
        <f t="shared" si="3"/>
        <v>53610</v>
      </c>
      <c r="D5364" s="56">
        <v>0.0</v>
      </c>
    </row>
    <row r="5365" ht="15.75" customHeight="1">
      <c r="B5365" s="370">
        <f t="shared" si="2"/>
        <v>0.6206018519</v>
      </c>
      <c r="C5365" s="56">
        <f t="shared" si="3"/>
        <v>53620</v>
      </c>
      <c r="D5365" s="56">
        <v>0.0</v>
      </c>
    </row>
    <row r="5366" ht="15.75" customHeight="1">
      <c r="B5366" s="370">
        <f t="shared" si="2"/>
        <v>0.6207175926</v>
      </c>
      <c r="C5366" s="56">
        <f t="shared" si="3"/>
        <v>53630</v>
      </c>
      <c r="D5366" s="56">
        <v>0.0</v>
      </c>
    </row>
    <row r="5367" ht="15.75" customHeight="1">
      <c r="B5367" s="370">
        <f t="shared" si="2"/>
        <v>0.6208333333</v>
      </c>
      <c r="C5367" s="56">
        <f t="shared" si="3"/>
        <v>53640</v>
      </c>
      <c r="D5367" s="56">
        <v>0.0</v>
      </c>
    </row>
    <row r="5368" ht="15.75" customHeight="1">
      <c r="B5368" s="370">
        <f t="shared" si="2"/>
        <v>0.6209490741</v>
      </c>
      <c r="C5368" s="56">
        <f t="shared" si="3"/>
        <v>53650</v>
      </c>
      <c r="D5368" s="56">
        <v>0.0</v>
      </c>
    </row>
    <row r="5369" ht="15.75" customHeight="1">
      <c r="B5369" s="370">
        <f t="shared" si="2"/>
        <v>0.6210648148</v>
      </c>
      <c r="C5369" s="56">
        <f t="shared" si="3"/>
        <v>53660</v>
      </c>
      <c r="D5369" s="56">
        <v>0.0</v>
      </c>
    </row>
    <row r="5370" ht="15.75" customHeight="1">
      <c r="B5370" s="370">
        <f t="shared" si="2"/>
        <v>0.6211805556</v>
      </c>
      <c r="C5370" s="56">
        <f t="shared" si="3"/>
        <v>53670</v>
      </c>
      <c r="D5370" s="56">
        <v>0.0</v>
      </c>
    </row>
    <row r="5371" ht="15.75" customHeight="1">
      <c r="B5371" s="370">
        <f t="shared" si="2"/>
        <v>0.6212962963</v>
      </c>
      <c r="C5371" s="56">
        <f t="shared" si="3"/>
        <v>53680</v>
      </c>
      <c r="D5371" s="56">
        <v>0.0</v>
      </c>
    </row>
    <row r="5372" ht="15.75" customHeight="1">
      <c r="B5372" s="370">
        <f t="shared" si="2"/>
        <v>0.621412037</v>
      </c>
      <c r="C5372" s="56">
        <f t="shared" si="3"/>
        <v>53690</v>
      </c>
      <c r="D5372" s="56">
        <v>0.0</v>
      </c>
    </row>
    <row r="5373" ht="15.75" customHeight="1">
      <c r="B5373" s="370">
        <f t="shared" si="2"/>
        <v>0.6215277778</v>
      </c>
      <c r="C5373" s="56">
        <f t="shared" si="3"/>
        <v>53700</v>
      </c>
      <c r="D5373" s="56">
        <v>0.0</v>
      </c>
    </row>
    <row r="5374" ht="15.75" customHeight="1">
      <c r="B5374" s="370">
        <f t="shared" si="2"/>
        <v>0.6216435185</v>
      </c>
      <c r="C5374" s="56">
        <f t="shared" si="3"/>
        <v>53710</v>
      </c>
      <c r="D5374" s="56">
        <v>0.0</v>
      </c>
    </row>
    <row r="5375" ht="15.75" customHeight="1">
      <c r="B5375" s="370">
        <f t="shared" si="2"/>
        <v>0.6217592593</v>
      </c>
      <c r="C5375" s="56">
        <f t="shared" si="3"/>
        <v>53720</v>
      </c>
      <c r="D5375" s="56">
        <v>0.0</v>
      </c>
    </row>
    <row r="5376" ht="15.75" customHeight="1">
      <c r="B5376" s="370">
        <f t="shared" si="2"/>
        <v>0.621875</v>
      </c>
      <c r="C5376" s="56">
        <f t="shared" si="3"/>
        <v>53730</v>
      </c>
      <c r="D5376" s="56">
        <v>0.0</v>
      </c>
    </row>
    <row r="5377" ht="15.75" customHeight="1">
      <c r="B5377" s="370">
        <f t="shared" si="2"/>
        <v>0.6219907407</v>
      </c>
      <c r="C5377" s="56">
        <f t="shared" si="3"/>
        <v>53740</v>
      </c>
      <c r="D5377" s="56">
        <v>0.0</v>
      </c>
    </row>
    <row r="5378" ht="15.75" customHeight="1">
      <c r="B5378" s="370">
        <f t="shared" si="2"/>
        <v>0.6221064815</v>
      </c>
      <c r="C5378" s="56">
        <f t="shared" si="3"/>
        <v>53750</v>
      </c>
      <c r="D5378" s="56">
        <v>0.0</v>
      </c>
    </row>
    <row r="5379" ht="15.75" customHeight="1">
      <c r="B5379" s="370">
        <f t="shared" si="2"/>
        <v>0.6222222222</v>
      </c>
      <c r="C5379" s="56">
        <f t="shared" si="3"/>
        <v>53760</v>
      </c>
      <c r="D5379" s="56">
        <v>0.0</v>
      </c>
    </row>
    <row r="5380" ht="15.75" customHeight="1">
      <c r="B5380" s="370">
        <f t="shared" si="2"/>
        <v>0.622337963</v>
      </c>
      <c r="C5380" s="56">
        <f t="shared" si="3"/>
        <v>53770</v>
      </c>
      <c r="D5380" s="56">
        <v>0.0</v>
      </c>
    </row>
    <row r="5381" ht="15.75" customHeight="1">
      <c r="B5381" s="370">
        <f t="shared" si="2"/>
        <v>0.6224537037</v>
      </c>
      <c r="C5381" s="56">
        <f t="shared" si="3"/>
        <v>53780</v>
      </c>
      <c r="D5381" s="56">
        <v>0.0</v>
      </c>
    </row>
    <row r="5382" ht="15.75" customHeight="1">
      <c r="B5382" s="370">
        <f t="shared" si="2"/>
        <v>0.6225694444</v>
      </c>
      <c r="C5382" s="56">
        <f t="shared" si="3"/>
        <v>53790</v>
      </c>
      <c r="D5382" s="56">
        <v>0.0</v>
      </c>
    </row>
    <row r="5383" ht="15.75" customHeight="1">
      <c r="B5383" s="370">
        <f t="shared" si="2"/>
        <v>0.6226851852</v>
      </c>
      <c r="C5383" s="56">
        <f t="shared" si="3"/>
        <v>53800</v>
      </c>
      <c r="D5383" s="56">
        <v>0.0</v>
      </c>
    </row>
    <row r="5384" ht="15.75" customHeight="1">
      <c r="B5384" s="370">
        <f t="shared" si="2"/>
        <v>0.6228009259</v>
      </c>
      <c r="C5384" s="56">
        <f t="shared" si="3"/>
        <v>53810</v>
      </c>
      <c r="D5384" s="56">
        <v>0.0</v>
      </c>
    </row>
    <row r="5385" ht="15.75" customHeight="1">
      <c r="B5385" s="370">
        <f t="shared" si="2"/>
        <v>0.6229166667</v>
      </c>
      <c r="C5385" s="56">
        <f t="shared" si="3"/>
        <v>53820</v>
      </c>
      <c r="D5385" s="56">
        <v>0.0</v>
      </c>
    </row>
    <row r="5386" ht="15.75" customHeight="1">
      <c r="B5386" s="370">
        <f t="shared" si="2"/>
        <v>0.6230324074</v>
      </c>
      <c r="C5386" s="56">
        <f t="shared" si="3"/>
        <v>53830</v>
      </c>
      <c r="D5386" s="56">
        <v>0.0</v>
      </c>
    </row>
    <row r="5387" ht="15.75" customHeight="1">
      <c r="B5387" s="370">
        <f t="shared" si="2"/>
        <v>0.6231481481</v>
      </c>
      <c r="C5387" s="56">
        <f t="shared" si="3"/>
        <v>53840</v>
      </c>
      <c r="D5387" s="56">
        <v>0.0</v>
      </c>
    </row>
    <row r="5388" ht="15.75" customHeight="1">
      <c r="B5388" s="370">
        <f t="shared" si="2"/>
        <v>0.6232638889</v>
      </c>
      <c r="C5388" s="56">
        <f t="shared" si="3"/>
        <v>53850</v>
      </c>
      <c r="D5388" s="56">
        <v>0.0</v>
      </c>
    </row>
    <row r="5389" ht="15.75" customHeight="1">
      <c r="B5389" s="370">
        <f t="shared" si="2"/>
        <v>0.6233796296</v>
      </c>
      <c r="C5389" s="56">
        <f t="shared" si="3"/>
        <v>53860</v>
      </c>
      <c r="D5389" s="56">
        <v>0.0</v>
      </c>
    </row>
    <row r="5390" ht="15.75" customHeight="1">
      <c r="B5390" s="370">
        <f t="shared" si="2"/>
        <v>0.6234953704</v>
      </c>
      <c r="C5390" s="56">
        <f t="shared" si="3"/>
        <v>53870</v>
      </c>
      <c r="D5390" s="56">
        <v>0.0</v>
      </c>
    </row>
    <row r="5391" ht="15.75" customHeight="1">
      <c r="B5391" s="370">
        <f t="shared" si="2"/>
        <v>0.6236111111</v>
      </c>
      <c r="C5391" s="56">
        <f t="shared" si="3"/>
        <v>53880</v>
      </c>
      <c r="D5391" s="56">
        <v>0.0</v>
      </c>
    </row>
    <row r="5392" ht="15.75" customHeight="1">
      <c r="B5392" s="370">
        <f t="shared" si="2"/>
        <v>0.6237268519</v>
      </c>
      <c r="C5392" s="56">
        <f t="shared" si="3"/>
        <v>53890</v>
      </c>
      <c r="D5392" s="56">
        <v>0.0</v>
      </c>
    </row>
    <row r="5393" ht="15.75" customHeight="1">
      <c r="B5393" s="370">
        <f t="shared" si="2"/>
        <v>0.6238425926</v>
      </c>
      <c r="C5393" s="56">
        <f t="shared" si="3"/>
        <v>53900</v>
      </c>
      <c r="D5393" s="56">
        <v>0.0</v>
      </c>
    </row>
    <row r="5394" ht="15.75" customHeight="1">
      <c r="B5394" s="370">
        <f t="shared" si="2"/>
        <v>0.6239583333</v>
      </c>
      <c r="C5394" s="56">
        <f t="shared" si="3"/>
        <v>53910</v>
      </c>
      <c r="D5394" s="56">
        <v>0.0</v>
      </c>
    </row>
    <row r="5395" ht="15.75" customHeight="1">
      <c r="B5395" s="370">
        <f t="shared" si="2"/>
        <v>0.6240740741</v>
      </c>
      <c r="C5395" s="56">
        <f t="shared" si="3"/>
        <v>53920</v>
      </c>
      <c r="D5395" s="56">
        <v>0.0</v>
      </c>
    </row>
    <row r="5396" ht="15.75" customHeight="1">
      <c r="B5396" s="370">
        <f t="shared" si="2"/>
        <v>0.6241898148</v>
      </c>
      <c r="C5396" s="56">
        <f t="shared" si="3"/>
        <v>53930</v>
      </c>
      <c r="D5396" s="56">
        <v>0.0</v>
      </c>
    </row>
    <row r="5397" ht="15.75" customHeight="1">
      <c r="B5397" s="370">
        <f t="shared" si="2"/>
        <v>0.6243055556</v>
      </c>
      <c r="C5397" s="56">
        <f t="shared" si="3"/>
        <v>53940</v>
      </c>
      <c r="D5397" s="56">
        <v>0.0</v>
      </c>
    </row>
    <row r="5398" ht="15.75" customHeight="1">
      <c r="B5398" s="370">
        <f t="shared" si="2"/>
        <v>0.6244212963</v>
      </c>
      <c r="C5398" s="56">
        <f t="shared" si="3"/>
        <v>53950</v>
      </c>
      <c r="D5398" s="56">
        <v>0.0</v>
      </c>
    </row>
    <row r="5399" ht="15.75" customHeight="1">
      <c r="B5399" s="370">
        <f t="shared" si="2"/>
        <v>0.624537037</v>
      </c>
      <c r="C5399" s="56">
        <f t="shared" si="3"/>
        <v>53960</v>
      </c>
      <c r="D5399" s="56">
        <v>0.0</v>
      </c>
    </row>
    <row r="5400" ht="15.75" customHeight="1">
      <c r="B5400" s="370">
        <f t="shared" si="2"/>
        <v>0.6246527778</v>
      </c>
      <c r="C5400" s="56">
        <f t="shared" si="3"/>
        <v>53970</v>
      </c>
      <c r="D5400" s="56">
        <v>0.0</v>
      </c>
    </row>
    <row r="5401" ht="15.75" customHeight="1">
      <c r="B5401" s="370">
        <f t="shared" si="2"/>
        <v>0.6247685185</v>
      </c>
      <c r="C5401" s="56">
        <f t="shared" si="3"/>
        <v>53980</v>
      </c>
      <c r="D5401" s="56">
        <v>0.0</v>
      </c>
    </row>
    <row r="5402" ht="15.75" customHeight="1">
      <c r="B5402" s="370">
        <f t="shared" si="2"/>
        <v>0.6248842593</v>
      </c>
      <c r="C5402" s="56">
        <f t="shared" si="3"/>
        <v>53990</v>
      </c>
      <c r="D5402" s="56">
        <v>0.0</v>
      </c>
    </row>
    <row r="5403" ht="15.75" customHeight="1">
      <c r="B5403" s="370">
        <f t="shared" si="2"/>
        <v>0.625</v>
      </c>
      <c r="C5403" s="56">
        <f t="shared" si="3"/>
        <v>54000</v>
      </c>
      <c r="D5403" s="56">
        <v>0.0</v>
      </c>
    </row>
    <row r="5404" ht="15.75" customHeight="1">
      <c r="B5404" s="370">
        <f t="shared" si="2"/>
        <v>0.6251157407</v>
      </c>
      <c r="C5404" s="56">
        <f t="shared" si="3"/>
        <v>54010</v>
      </c>
      <c r="D5404" s="56">
        <v>0.0</v>
      </c>
    </row>
    <row r="5405" ht="15.75" customHeight="1">
      <c r="B5405" s="370">
        <f t="shared" si="2"/>
        <v>0.6252314815</v>
      </c>
      <c r="C5405" s="56">
        <f t="shared" si="3"/>
        <v>54020</v>
      </c>
      <c r="D5405" s="56">
        <v>0.0</v>
      </c>
    </row>
    <row r="5406" ht="15.75" customHeight="1">
      <c r="B5406" s="370">
        <f t="shared" si="2"/>
        <v>0.6253472222</v>
      </c>
      <c r="C5406" s="56">
        <f t="shared" si="3"/>
        <v>54030</v>
      </c>
      <c r="D5406" s="56">
        <v>0.0</v>
      </c>
    </row>
    <row r="5407" ht="15.75" customHeight="1">
      <c r="B5407" s="370">
        <f t="shared" si="2"/>
        <v>0.625462963</v>
      </c>
      <c r="C5407" s="56">
        <f t="shared" si="3"/>
        <v>54040</v>
      </c>
      <c r="D5407" s="56">
        <v>0.0</v>
      </c>
    </row>
    <row r="5408" ht="15.75" customHeight="1">
      <c r="B5408" s="370">
        <f t="shared" si="2"/>
        <v>0.6255787037</v>
      </c>
      <c r="C5408" s="56">
        <f t="shared" si="3"/>
        <v>54050</v>
      </c>
      <c r="D5408" s="56">
        <v>0.776</v>
      </c>
    </row>
    <row r="5409" ht="15.75" customHeight="1">
      <c r="B5409" s="370">
        <f t="shared" si="2"/>
        <v>0.6256944444</v>
      </c>
      <c r="C5409" s="56">
        <f t="shared" si="3"/>
        <v>54060</v>
      </c>
      <c r="D5409" s="56">
        <v>2.508</v>
      </c>
    </row>
    <row r="5410" ht="15.75" customHeight="1">
      <c r="B5410" s="370">
        <f t="shared" si="2"/>
        <v>0.6258101852</v>
      </c>
      <c r="C5410" s="56">
        <f t="shared" si="3"/>
        <v>54070</v>
      </c>
      <c r="D5410" s="56">
        <v>2.261</v>
      </c>
    </row>
    <row r="5411" ht="15.75" customHeight="1">
      <c r="B5411" s="370">
        <f t="shared" si="2"/>
        <v>0.6259259259</v>
      </c>
      <c r="C5411" s="56">
        <f t="shared" si="3"/>
        <v>54080</v>
      </c>
      <c r="D5411" s="56">
        <v>2.506</v>
      </c>
    </row>
    <row r="5412" ht="15.75" customHeight="1">
      <c r="B5412" s="370">
        <f t="shared" si="2"/>
        <v>0.6260416667</v>
      </c>
      <c r="C5412" s="56">
        <f t="shared" si="3"/>
        <v>54090</v>
      </c>
      <c r="D5412" s="56">
        <v>3.308</v>
      </c>
    </row>
    <row r="5413" ht="15.75" customHeight="1">
      <c r="B5413" s="370">
        <f t="shared" si="2"/>
        <v>0.6261574074</v>
      </c>
      <c r="C5413" s="56">
        <f t="shared" si="3"/>
        <v>54100</v>
      </c>
      <c r="D5413" s="56">
        <v>3.503</v>
      </c>
    </row>
    <row r="5414" ht="15.75" customHeight="1">
      <c r="B5414" s="370">
        <f t="shared" si="2"/>
        <v>0.6262731481</v>
      </c>
      <c r="C5414" s="56">
        <f t="shared" si="3"/>
        <v>54110</v>
      </c>
      <c r="D5414" s="56">
        <v>3.512</v>
      </c>
    </row>
    <row r="5415" ht="15.75" customHeight="1">
      <c r="B5415" s="370">
        <f t="shared" si="2"/>
        <v>0.6263888889</v>
      </c>
      <c r="C5415" s="56">
        <f t="shared" si="3"/>
        <v>54120</v>
      </c>
      <c r="D5415" s="56">
        <v>3.498</v>
      </c>
    </row>
    <row r="5416" ht="15.75" customHeight="1">
      <c r="B5416" s="370">
        <f t="shared" si="2"/>
        <v>0.6265046296</v>
      </c>
      <c r="C5416" s="56">
        <f t="shared" si="3"/>
        <v>54130</v>
      </c>
      <c r="D5416" s="56">
        <v>3.077</v>
      </c>
    </row>
    <row r="5417" ht="15.75" customHeight="1">
      <c r="B5417" s="370">
        <f t="shared" si="2"/>
        <v>0.6266203704</v>
      </c>
      <c r="C5417" s="56">
        <f t="shared" si="3"/>
        <v>54140</v>
      </c>
      <c r="D5417" s="56">
        <v>2.195</v>
      </c>
    </row>
    <row r="5418" ht="15.75" customHeight="1">
      <c r="B5418" s="370">
        <f t="shared" si="2"/>
        <v>0.6267361111</v>
      </c>
      <c r="C5418" s="56">
        <f t="shared" si="3"/>
        <v>54150</v>
      </c>
      <c r="D5418" s="56">
        <v>2.181</v>
      </c>
    </row>
    <row r="5419" ht="15.75" customHeight="1">
      <c r="B5419" s="370">
        <f t="shared" si="2"/>
        <v>0.6268518519</v>
      </c>
      <c r="C5419" s="56">
        <f t="shared" si="3"/>
        <v>54160</v>
      </c>
      <c r="D5419" s="56">
        <v>2.444</v>
      </c>
    </row>
    <row r="5420" ht="15.75" customHeight="1">
      <c r="B5420" s="370">
        <f t="shared" si="2"/>
        <v>0.6269675926</v>
      </c>
      <c r="C5420" s="56">
        <f t="shared" si="3"/>
        <v>54170</v>
      </c>
      <c r="D5420" s="56">
        <v>2.773</v>
      </c>
    </row>
    <row r="5421" ht="15.75" customHeight="1">
      <c r="B5421" s="370">
        <f t="shared" si="2"/>
        <v>0.6270833333</v>
      </c>
      <c r="C5421" s="56">
        <f t="shared" si="3"/>
        <v>54180</v>
      </c>
      <c r="D5421" s="56">
        <v>3.042</v>
      </c>
    </row>
    <row r="5422" ht="15.75" customHeight="1">
      <c r="B5422" s="370">
        <f t="shared" si="2"/>
        <v>0.6271990741</v>
      </c>
      <c r="C5422" s="56">
        <f t="shared" si="3"/>
        <v>54190</v>
      </c>
      <c r="D5422" s="56">
        <v>3.215</v>
      </c>
    </row>
    <row r="5423" ht="15.75" customHeight="1">
      <c r="B5423" s="370">
        <f t="shared" si="2"/>
        <v>0.6273148148</v>
      </c>
      <c r="C5423" s="56">
        <f t="shared" si="3"/>
        <v>54200</v>
      </c>
      <c r="D5423" s="56">
        <v>3.125</v>
      </c>
    </row>
    <row r="5424" ht="15.75" customHeight="1">
      <c r="B5424" s="370">
        <f t="shared" si="2"/>
        <v>0.6274305556</v>
      </c>
      <c r="C5424" s="56">
        <f t="shared" si="3"/>
        <v>54210</v>
      </c>
      <c r="D5424" s="56">
        <v>3.02</v>
      </c>
    </row>
    <row r="5425" ht="15.75" customHeight="1">
      <c r="B5425" s="370">
        <f t="shared" si="2"/>
        <v>0.6275462963</v>
      </c>
      <c r="C5425" s="56">
        <f t="shared" si="3"/>
        <v>54220</v>
      </c>
      <c r="D5425" s="56">
        <v>2.785</v>
      </c>
    </row>
    <row r="5426" ht="15.75" customHeight="1">
      <c r="B5426" s="370">
        <f t="shared" si="2"/>
        <v>0.627662037</v>
      </c>
      <c r="C5426" s="56">
        <f t="shared" si="3"/>
        <v>54230</v>
      </c>
      <c r="D5426" s="56">
        <v>2.89</v>
      </c>
    </row>
    <row r="5427" ht="15.75" customHeight="1">
      <c r="B5427" s="370">
        <f t="shared" si="2"/>
        <v>0.6277777778</v>
      </c>
      <c r="C5427" s="56">
        <f t="shared" si="3"/>
        <v>54240</v>
      </c>
      <c r="D5427" s="56">
        <v>2.82</v>
      </c>
    </row>
    <row r="5428" ht="15.75" customHeight="1">
      <c r="B5428" s="370">
        <f t="shared" si="2"/>
        <v>0.6278935185</v>
      </c>
      <c r="C5428" s="56">
        <f t="shared" si="3"/>
        <v>54250</v>
      </c>
      <c r="D5428" s="56">
        <v>2.748</v>
      </c>
    </row>
    <row r="5429" ht="15.75" customHeight="1">
      <c r="B5429" s="370">
        <f t="shared" si="2"/>
        <v>0.6280092593</v>
      </c>
      <c r="C5429" s="56">
        <f t="shared" si="3"/>
        <v>54260</v>
      </c>
      <c r="D5429" s="56">
        <v>2.613</v>
      </c>
    </row>
    <row r="5430" ht="15.75" customHeight="1">
      <c r="B5430" s="370">
        <f t="shared" si="2"/>
        <v>0.628125</v>
      </c>
      <c r="C5430" s="56">
        <f t="shared" si="3"/>
        <v>54270</v>
      </c>
      <c r="D5430" s="56">
        <v>2.453</v>
      </c>
    </row>
    <row r="5431" ht="15.75" customHeight="1">
      <c r="B5431" s="370">
        <f t="shared" si="2"/>
        <v>0.6282407407</v>
      </c>
      <c r="C5431" s="56">
        <f t="shared" si="3"/>
        <v>54280</v>
      </c>
      <c r="D5431" s="56">
        <v>2.255</v>
      </c>
    </row>
    <row r="5432" ht="15.75" customHeight="1">
      <c r="B5432" s="370">
        <f t="shared" si="2"/>
        <v>0.6283564815</v>
      </c>
      <c r="C5432" s="56">
        <f t="shared" si="3"/>
        <v>54290</v>
      </c>
      <c r="D5432" s="56">
        <v>3.193</v>
      </c>
    </row>
    <row r="5433" ht="15.75" customHeight="1">
      <c r="B5433" s="370">
        <f t="shared" si="2"/>
        <v>0.6284722222</v>
      </c>
      <c r="C5433" s="56">
        <f t="shared" si="3"/>
        <v>54300</v>
      </c>
      <c r="D5433" s="56">
        <v>3.456</v>
      </c>
    </row>
    <row r="5434" ht="15.75" customHeight="1">
      <c r="B5434" s="370">
        <f t="shared" si="2"/>
        <v>0.628587963</v>
      </c>
      <c r="C5434" s="56">
        <f t="shared" si="3"/>
        <v>54310</v>
      </c>
      <c r="D5434" s="56">
        <v>3.471</v>
      </c>
    </row>
    <row r="5435" ht="15.75" customHeight="1">
      <c r="B5435" s="370">
        <f t="shared" si="2"/>
        <v>0.6287037037</v>
      </c>
      <c r="C5435" s="56">
        <f t="shared" si="3"/>
        <v>54320</v>
      </c>
      <c r="D5435" s="56">
        <v>3.501</v>
      </c>
    </row>
    <row r="5436" ht="15.75" customHeight="1">
      <c r="B5436" s="370">
        <f t="shared" si="2"/>
        <v>0.6288194444</v>
      </c>
      <c r="C5436" s="56">
        <f t="shared" si="3"/>
        <v>54330</v>
      </c>
      <c r="D5436" s="56">
        <v>3.169</v>
      </c>
    </row>
    <row r="5437" ht="15.75" customHeight="1">
      <c r="B5437" s="370">
        <f t="shared" si="2"/>
        <v>0.6289351852</v>
      </c>
      <c r="C5437" s="56">
        <f t="shared" si="3"/>
        <v>54340</v>
      </c>
      <c r="D5437" s="56">
        <v>2.461</v>
      </c>
    </row>
    <row r="5438" ht="15.75" customHeight="1">
      <c r="B5438" s="370">
        <f t="shared" si="2"/>
        <v>0.6290509259</v>
      </c>
      <c r="C5438" s="56">
        <f t="shared" si="3"/>
        <v>54350</v>
      </c>
      <c r="D5438" s="56">
        <v>1.955</v>
      </c>
    </row>
    <row r="5439" ht="15.75" customHeight="1">
      <c r="B5439" s="370">
        <f t="shared" si="2"/>
        <v>0.6291666667</v>
      </c>
      <c r="C5439" s="56">
        <f t="shared" si="3"/>
        <v>54360</v>
      </c>
      <c r="D5439" s="56">
        <v>2.304</v>
      </c>
    </row>
    <row r="5440" ht="15.75" customHeight="1">
      <c r="B5440" s="370">
        <f t="shared" si="2"/>
        <v>0.6292824074</v>
      </c>
      <c r="C5440" s="56">
        <f t="shared" si="3"/>
        <v>54370</v>
      </c>
      <c r="D5440" s="56">
        <v>2.692</v>
      </c>
    </row>
    <row r="5441" ht="15.75" customHeight="1">
      <c r="B5441" s="370">
        <f t="shared" si="2"/>
        <v>0.6293981481</v>
      </c>
      <c r="C5441" s="56">
        <f t="shared" si="3"/>
        <v>54380</v>
      </c>
      <c r="D5441" s="56">
        <v>3.057</v>
      </c>
    </row>
    <row r="5442" ht="15.75" customHeight="1">
      <c r="B5442" s="370">
        <f t="shared" si="2"/>
        <v>0.6295138889</v>
      </c>
      <c r="C5442" s="56">
        <f t="shared" si="3"/>
        <v>54390</v>
      </c>
      <c r="D5442" s="56">
        <v>3.338</v>
      </c>
    </row>
    <row r="5443" ht="15.75" customHeight="1">
      <c r="B5443" s="370">
        <f t="shared" si="2"/>
        <v>0.6296296296</v>
      </c>
      <c r="C5443" s="56">
        <f t="shared" si="3"/>
        <v>54400</v>
      </c>
      <c r="D5443" s="56">
        <v>3.26</v>
      </c>
    </row>
    <row r="5444" ht="15.75" customHeight="1">
      <c r="B5444" s="370">
        <f t="shared" si="2"/>
        <v>0.6297453704</v>
      </c>
      <c r="C5444" s="56">
        <f t="shared" si="3"/>
        <v>54410</v>
      </c>
      <c r="D5444" s="56">
        <v>3.186</v>
      </c>
    </row>
    <row r="5445" ht="15.75" customHeight="1">
      <c r="B5445" s="370">
        <f t="shared" si="2"/>
        <v>0.6298611111</v>
      </c>
      <c r="C5445" s="56">
        <f t="shared" si="3"/>
        <v>54420</v>
      </c>
      <c r="D5445" s="56">
        <v>2.861</v>
      </c>
    </row>
    <row r="5446" ht="15.75" customHeight="1">
      <c r="B5446" s="370">
        <f t="shared" si="2"/>
        <v>0.6299768519</v>
      </c>
      <c r="C5446" s="56">
        <f t="shared" si="3"/>
        <v>54430</v>
      </c>
      <c r="D5446" s="56">
        <v>2.721</v>
      </c>
    </row>
    <row r="5447" ht="15.75" customHeight="1">
      <c r="B5447" s="370">
        <f t="shared" si="2"/>
        <v>0.6300925926</v>
      </c>
      <c r="C5447" s="56">
        <f t="shared" si="3"/>
        <v>54440</v>
      </c>
      <c r="D5447" s="56">
        <v>2.743</v>
      </c>
    </row>
    <row r="5448" ht="15.75" customHeight="1">
      <c r="B5448" s="370">
        <f t="shared" si="2"/>
        <v>0.6302083333</v>
      </c>
      <c r="C5448" s="56">
        <f t="shared" si="3"/>
        <v>54450</v>
      </c>
      <c r="D5448" s="56">
        <v>2.753</v>
      </c>
    </row>
    <row r="5449" ht="15.75" customHeight="1">
      <c r="B5449" s="370">
        <f t="shared" si="2"/>
        <v>0.6303240741</v>
      </c>
      <c r="C5449" s="56">
        <f t="shared" si="3"/>
        <v>54460</v>
      </c>
      <c r="D5449" s="56">
        <v>2.68</v>
      </c>
    </row>
    <row r="5450" ht="15.75" customHeight="1">
      <c r="B5450" s="370">
        <f t="shared" si="2"/>
        <v>0.6304398148</v>
      </c>
      <c r="C5450" s="56">
        <f t="shared" si="3"/>
        <v>54470</v>
      </c>
      <c r="D5450" s="56">
        <v>2.57</v>
      </c>
    </row>
    <row r="5451" ht="15.75" customHeight="1">
      <c r="B5451" s="370">
        <f t="shared" si="2"/>
        <v>0.6305555556</v>
      </c>
      <c r="C5451" s="56">
        <f t="shared" si="3"/>
        <v>54480</v>
      </c>
      <c r="D5451" s="56">
        <v>2.36</v>
      </c>
    </row>
    <row r="5452" ht="15.75" customHeight="1">
      <c r="B5452" s="370">
        <f t="shared" si="2"/>
        <v>0.6306712963</v>
      </c>
      <c r="C5452" s="56">
        <f t="shared" si="3"/>
        <v>54490</v>
      </c>
      <c r="D5452" s="56">
        <v>3.012</v>
      </c>
    </row>
    <row r="5453" ht="15.75" customHeight="1">
      <c r="B5453" s="370">
        <f t="shared" si="2"/>
        <v>0.630787037</v>
      </c>
      <c r="C5453" s="56">
        <f t="shared" si="3"/>
        <v>54500</v>
      </c>
      <c r="D5453" s="56">
        <v>3.369</v>
      </c>
    </row>
    <row r="5454" ht="15.75" customHeight="1">
      <c r="B5454" s="370">
        <f t="shared" si="2"/>
        <v>0.6309027778</v>
      </c>
      <c r="C5454" s="56">
        <f t="shared" si="3"/>
        <v>54510</v>
      </c>
      <c r="D5454" s="56">
        <v>3.419</v>
      </c>
    </row>
    <row r="5455" ht="15.75" customHeight="1">
      <c r="B5455" s="370">
        <f t="shared" si="2"/>
        <v>0.6310185185</v>
      </c>
      <c r="C5455" s="56">
        <f t="shared" si="3"/>
        <v>54520</v>
      </c>
      <c r="D5455" s="56">
        <v>3.472</v>
      </c>
    </row>
    <row r="5456" ht="15.75" customHeight="1">
      <c r="B5456" s="370">
        <f t="shared" si="2"/>
        <v>0.6311342593</v>
      </c>
      <c r="C5456" s="56">
        <f t="shared" si="3"/>
        <v>54530</v>
      </c>
      <c r="D5456" s="56">
        <v>3.221</v>
      </c>
    </row>
    <row r="5457" ht="15.75" customHeight="1">
      <c r="B5457" s="370">
        <f t="shared" si="2"/>
        <v>0.63125</v>
      </c>
      <c r="C5457" s="56">
        <f t="shared" si="3"/>
        <v>54540</v>
      </c>
      <c r="D5457" s="56">
        <v>2.612</v>
      </c>
    </row>
    <row r="5458" ht="15.75" customHeight="1">
      <c r="B5458" s="370">
        <f t="shared" si="2"/>
        <v>0.6313657407</v>
      </c>
      <c r="C5458" s="56">
        <f t="shared" si="3"/>
        <v>54550</v>
      </c>
      <c r="D5458" s="56">
        <v>2.111</v>
      </c>
    </row>
    <row r="5459" ht="15.75" customHeight="1">
      <c r="B5459" s="370">
        <f t="shared" si="2"/>
        <v>0.6314814815</v>
      </c>
      <c r="C5459" s="56">
        <f t="shared" si="3"/>
        <v>54560</v>
      </c>
      <c r="D5459" s="56">
        <v>2.096</v>
      </c>
    </row>
    <row r="5460" ht="15.75" customHeight="1">
      <c r="B5460" s="370">
        <f t="shared" si="2"/>
        <v>0.6315972222</v>
      </c>
      <c r="C5460" s="56">
        <f t="shared" si="3"/>
        <v>54570</v>
      </c>
      <c r="D5460" s="56">
        <v>2.575</v>
      </c>
    </row>
    <row r="5461" ht="15.75" customHeight="1">
      <c r="B5461" s="370">
        <f t="shared" si="2"/>
        <v>0.631712963</v>
      </c>
      <c r="C5461" s="56">
        <f t="shared" si="3"/>
        <v>54580</v>
      </c>
      <c r="D5461" s="56">
        <v>3.034</v>
      </c>
    </row>
    <row r="5462" ht="15.75" customHeight="1">
      <c r="B5462" s="370">
        <f t="shared" si="2"/>
        <v>0.6318287037</v>
      </c>
      <c r="C5462" s="56">
        <f t="shared" si="3"/>
        <v>54590</v>
      </c>
      <c r="D5462" s="56">
        <v>3.407</v>
      </c>
    </row>
    <row r="5463" ht="15.75" customHeight="1">
      <c r="B5463" s="370">
        <f t="shared" si="2"/>
        <v>0.6319444444</v>
      </c>
      <c r="C5463" s="56">
        <f t="shared" si="3"/>
        <v>54600</v>
      </c>
      <c r="D5463" s="56">
        <v>3.364</v>
      </c>
    </row>
    <row r="5464" ht="15.75" customHeight="1">
      <c r="B5464" s="370">
        <f t="shared" si="2"/>
        <v>0.6320601852</v>
      </c>
      <c r="C5464" s="56">
        <f t="shared" si="3"/>
        <v>54610</v>
      </c>
      <c r="D5464" s="56">
        <v>3.286</v>
      </c>
    </row>
    <row r="5465" ht="15.75" customHeight="1">
      <c r="B5465" s="370">
        <f t="shared" si="2"/>
        <v>0.6321759259</v>
      </c>
      <c r="C5465" s="56">
        <f t="shared" si="3"/>
        <v>54620</v>
      </c>
      <c r="D5465" s="56">
        <v>3.108</v>
      </c>
    </row>
    <row r="5466" ht="15.75" customHeight="1">
      <c r="B5466" s="370">
        <f t="shared" si="2"/>
        <v>0.6322916667</v>
      </c>
      <c r="C5466" s="56">
        <f t="shared" si="3"/>
        <v>54630</v>
      </c>
      <c r="D5466" s="56">
        <v>2.44</v>
      </c>
    </row>
    <row r="5467" ht="15.75" customHeight="1">
      <c r="B5467" s="370">
        <f t="shared" si="2"/>
        <v>0.6324074074</v>
      </c>
      <c r="C5467" s="56">
        <f t="shared" si="3"/>
        <v>54640</v>
      </c>
      <c r="D5467" s="56">
        <v>2.628</v>
      </c>
    </row>
    <row r="5468" ht="15.75" customHeight="1">
      <c r="B5468" s="370">
        <f t="shared" si="2"/>
        <v>0.6325231481</v>
      </c>
      <c r="C5468" s="56">
        <f t="shared" si="3"/>
        <v>54650</v>
      </c>
      <c r="D5468" s="56">
        <v>2.726</v>
      </c>
    </row>
    <row r="5469" ht="15.75" customHeight="1">
      <c r="B5469" s="370">
        <f t="shared" si="2"/>
        <v>0.6326388889</v>
      </c>
      <c r="C5469" s="56">
        <f t="shared" si="3"/>
        <v>54660</v>
      </c>
      <c r="D5469" s="56">
        <v>2.718</v>
      </c>
    </row>
    <row r="5470" ht="15.75" customHeight="1">
      <c r="B5470" s="370">
        <f t="shared" si="2"/>
        <v>0.6327546296</v>
      </c>
      <c r="C5470" s="56">
        <f t="shared" si="3"/>
        <v>54670</v>
      </c>
      <c r="D5470" s="56">
        <v>2.709</v>
      </c>
    </row>
    <row r="5471" ht="15.75" customHeight="1">
      <c r="B5471" s="370">
        <f t="shared" si="2"/>
        <v>0.6328703704</v>
      </c>
      <c r="C5471" s="56">
        <f t="shared" si="3"/>
        <v>54680</v>
      </c>
      <c r="D5471" s="56">
        <v>2.546</v>
      </c>
    </row>
    <row r="5472" ht="15.75" customHeight="1">
      <c r="B5472" s="370">
        <f t="shared" si="2"/>
        <v>0.6329861111</v>
      </c>
      <c r="C5472" s="56">
        <f t="shared" si="3"/>
        <v>54690</v>
      </c>
      <c r="D5472" s="56">
        <v>2.875</v>
      </c>
    </row>
    <row r="5473" ht="15.75" customHeight="1">
      <c r="B5473" s="370">
        <f t="shared" si="2"/>
        <v>0.6331018519</v>
      </c>
      <c r="C5473" s="56">
        <f t="shared" si="3"/>
        <v>54700</v>
      </c>
      <c r="D5473" s="56">
        <v>3.268</v>
      </c>
    </row>
    <row r="5474" ht="15.75" customHeight="1">
      <c r="B5474" s="370">
        <f t="shared" si="2"/>
        <v>0.6332175926</v>
      </c>
      <c r="C5474" s="56">
        <f t="shared" si="3"/>
        <v>54710</v>
      </c>
      <c r="D5474" s="56">
        <v>3.33</v>
      </c>
    </row>
    <row r="5475" ht="15.75" customHeight="1">
      <c r="B5475" s="370">
        <f t="shared" si="2"/>
        <v>0.6333333333</v>
      </c>
      <c r="C5475" s="56">
        <f t="shared" si="3"/>
        <v>54720</v>
      </c>
      <c r="D5475" s="56">
        <v>3.413</v>
      </c>
    </row>
    <row r="5476" ht="15.75" customHeight="1">
      <c r="B5476" s="370">
        <f t="shared" si="2"/>
        <v>0.6334490741</v>
      </c>
      <c r="C5476" s="56">
        <f t="shared" si="3"/>
        <v>54730</v>
      </c>
      <c r="D5476" s="56">
        <v>3.237</v>
      </c>
    </row>
    <row r="5477" ht="15.75" customHeight="1">
      <c r="B5477" s="370">
        <f t="shared" si="2"/>
        <v>0.6335648148</v>
      </c>
      <c r="C5477" s="56">
        <f t="shared" si="3"/>
        <v>54740</v>
      </c>
      <c r="D5477" s="56">
        <v>2.731</v>
      </c>
    </row>
    <row r="5478" ht="15.75" customHeight="1">
      <c r="B5478" s="370">
        <f t="shared" si="2"/>
        <v>0.6336805556</v>
      </c>
      <c r="C5478" s="56">
        <f t="shared" si="3"/>
        <v>54750</v>
      </c>
      <c r="D5478" s="56">
        <v>2.242</v>
      </c>
    </row>
    <row r="5479" ht="15.75" customHeight="1">
      <c r="B5479" s="370">
        <f t="shared" si="2"/>
        <v>0.6337962963</v>
      </c>
      <c r="C5479" s="56">
        <f t="shared" si="3"/>
        <v>54760</v>
      </c>
      <c r="D5479" s="56">
        <v>1.931</v>
      </c>
    </row>
    <row r="5480" ht="15.75" customHeight="1">
      <c r="B5480" s="370">
        <f t="shared" si="2"/>
        <v>0.633912037</v>
      </c>
      <c r="C5480" s="56">
        <f t="shared" si="3"/>
        <v>54770</v>
      </c>
      <c r="D5480" s="56">
        <v>2.383</v>
      </c>
    </row>
    <row r="5481" ht="15.75" customHeight="1">
      <c r="B5481" s="370">
        <f t="shared" si="2"/>
        <v>0.6340277778</v>
      </c>
      <c r="C5481" s="56">
        <f t="shared" si="3"/>
        <v>54780</v>
      </c>
      <c r="D5481" s="56">
        <v>2.976</v>
      </c>
    </row>
    <row r="5482" ht="15.75" customHeight="1">
      <c r="B5482" s="370">
        <f t="shared" si="2"/>
        <v>0.6341435185</v>
      </c>
      <c r="C5482" s="56">
        <f t="shared" si="3"/>
        <v>54790</v>
      </c>
      <c r="D5482" s="56">
        <v>3.44</v>
      </c>
    </row>
    <row r="5483" ht="15.75" customHeight="1">
      <c r="B5483" s="370">
        <f t="shared" si="2"/>
        <v>0.6342592593</v>
      </c>
      <c r="C5483" s="56">
        <f t="shared" si="3"/>
        <v>54800</v>
      </c>
      <c r="D5483" s="56">
        <v>3.452</v>
      </c>
    </row>
    <row r="5484" ht="15.75" customHeight="1">
      <c r="B5484" s="370">
        <f t="shared" si="2"/>
        <v>0.634375</v>
      </c>
      <c r="C5484" s="56">
        <f t="shared" si="3"/>
        <v>54810</v>
      </c>
      <c r="D5484" s="56">
        <v>3.402</v>
      </c>
    </row>
    <row r="5485" ht="15.75" customHeight="1">
      <c r="B5485" s="370">
        <f t="shared" si="2"/>
        <v>0.6344907407</v>
      </c>
      <c r="C5485" s="56">
        <f t="shared" si="3"/>
        <v>54820</v>
      </c>
      <c r="D5485" s="56">
        <v>3.251</v>
      </c>
    </row>
    <row r="5486" ht="15.75" customHeight="1">
      <c r="B5486" s="370">
        <f t="shared" si="2"/>
        <v>0.6346064815</v>
      </c>
      <c r="C5486" s="56">
        <f t="shared" si="3"/>
        <v>54830</v>
      </c>
      <c r="D5486" s="56">
        <v>2.523</v>
      </c>
    </row>
    <row r="5487" ht="15.75" customHeight="1">
      <c r="B5487" s="370">
        <f t="shared" si="2"/>
        <v>0.6347222222</v>
      </c>
      <c r="C5487" s="56">
        <f t="shared" si="3"/>
        <v>54840</v>
      </c>
      <c r="D5487" s="56">
        <v>2.474</v>
      </c>
    </row>
    <row r="5488" ht="15.75" customHeight="1">
      <c r="B5488" s="370">
        <f t="shared" si="2"/>
        <v>0.634837963</v>
      </c>
      <c r="C5488" s="56">
        <f t="shared" si="3"/>
        <v>54850</v>
      </c>
      <c r="D5488" s="56">
        <v>2.661</v>
      </c>
    </row>
    <row r="5489" ht="15.75" customHeight="1">
      <c r="B5489" s="370">
        <f t="shared" si="2"/>
        <v>0.6349537037</v>
      </c>
      <c r="C5489" s="56">
        <f t="shared" si="3"/>
        <v>54860</v>
      </c>
      <c r="D5489" s="56">
        <v>2.717</v>
      </c>
    </row>
    <row r="5490" ht="15.75" customHeight="1">
      <c r="B5490" s="370">
        <f t="shared" si="2"/>
        <v>0.6350694444</v>
      </c>
      <c r="C5490" s="56">
        <f t="shared" si="3"/>
        <v>54870</v>
      </c>
      <c r="D5490" s="56">
        <v>2.787</v>
      </c>
    </row>
    <row r="5491" ht="15.75" customHeight="1">
      <c r="B5491" s="370">
        <f t="shared" si="2"/>
        <v>0.6351851852</v>
      </c>
      <c r="C5491" s="56">
        <f t="shared" si="3"/>
        <v>54880</v>
      </c>
      <c r="D5491" s="56">
        <v>2.72</v>
      </c>
    </row>
    <row r="5492" ht="15.75" customHeight="1">
      <c r="B5492" s="370">
        <f t="shared" si="2"/>
        <v>0.6353009259</v>
      </c>
      <c r="C5492" s="56">
        <f t="shared" si="3"/>
        <v>54890</v>
      </c>
      <c r="D5492" s="56">
        <v>2.678</v>
      </c>
    </row>
    <row r="5493" ht="15.75" customHeight="1">
      <c r="B5493" s="370">
        <f t="shared" si="2"/>
        <v>0.6354166667</v>
      </c>
      <c r="C5493" s="56">
        <f t="shared" si="3"/>
        <v>54900</v>
      </c>
      <c r="D5493" s="56">
        <v>3.134</v>
      </c>
    </row>
    <row r="5494" ht="15.75" customHeight="1">
      <c r="B5494" s="370">
        <f t="shared" si="2"/>
        <v>0.6355324074</v>
      </c>
      <c r="C5494" s="56">
        <f t="shared" si="3"/>
        <v>54910</v>
      </c>
      <c r="D5494" s="56">
        <v>3.19</v>
      </c>
    </row>
    <row r="5495" ht="15.75" customHeight="1">
      <c r="B5495" s="370">
        <f t="shared" si="2"/>
        <v>0.6356481481</v>
      </c>
      <c r="C5495" s="56">
        <f t="shared" si="3"/>
        <v>54920</v>
      </c>
      <c r="D5495" s="56">
        <v>3.314</v>
      </c>
    </row>
    <row r="5496" ht="15.75" customHeight="1">
      <c r="B5496" s="370">
        <f t="shared" si="2"/>
        <v>0.6357638889</v>
      </c>
      <c r="C5496" s="56">
        <f t="shared" si="3"/>
        <v>54930</v>
      </c>
      <c r="D5496" s="56">
        <v>3.222</v>
      </c>
    </row>
    <row r="5497" ht="15.75" customHeight="1">
      <c r="B5497" s="370">
        <f t="shared" si="2"/>
        <v>0.6358796296</v>
      </c>
      <c r="C5497" s="56">
        <f t="shared" si="3"/>
        <v>54940</v>
      </c>
      <c r="D5497" s="56">
        <v>2.812</v>
      </c>
    </row>
    <row r="5498" ht="15.75" customHeight="1">
      <c r="B5498" s="370">
        <f t="shared" si="2"/>
        <v>0.6359953704</v>
      </c>
      <c r="C5498" s="56">
        <f t="shared" si="3"/>
        <v>54950</v>
      </c>
      <c r="D5498" s="56">
        <v>2.458</v>
      </c>
    </row>
    <row r="5499" ht="15.75" customHeight="1">
      <c r="B5499" s="370">
        <f t="shared" si="2"/>
        <v>0.6361111111</v>
      </c>
      <c r="C5499" s="56">
        <f t="shared" si="3"/>
        <v>54960</v>
      </c>
      <c r="D5499" s="56">
        <v>2.091</v>
      </c>
    </row>
    <row r="5500" ht="15.75" customHeight="1">
      <c r="B5500" s="370">
        <f t="shared" si="2"/>
        <v>0.6362268519</v>
      </c>
      <c r="C5500" s="56">
        <f t="shared" si="3"/>
        <v>54970</v>
      </c>
      <c r="D5500" s="56">
        <v>2.238</v>
      </c>
    </row>
    <row r="5501" ht="15.75" customHeight="1">
      <c r="B5501" s="370">
        <f t="shared" si="2"/>
        <v>0.6363425926</v>
      </c>
      <c r="C5501" s="56">
        <f t="shared" si="3"/>
        <v>54980</v>
      </c>
      <c r="D5501" s="56">
        <v>2.881</v>
      </c>
    </row>
    <row r="5502" ht="15.75" customHeight="1">
      <c r="B5502" s="370">
        <f t="shared" si="2"/>
        <v>0.6364583333</v>
      </c>
      <c r="C5502" s="56">
        <f t="shared" si="3"/>
        <v>54990</v>
      </c>
      <c r="D5502" s="56">
        <v>3.445</v>
      </c>
    </row>
    <row r="5503" ht="15.75" customHeight="1">
      <c r="B5503" s="370">
        <f t="shared" si="2"/>
        <v>0.6365740741</v>
      </c>
      <c r="C5503" s="56">
        <f t="shared" si="3"/>
        <v>55000</v>
      </c>
      <c r="D5503" s="56">
        <v>3.5</v>
      </c>
    </row>
    <row r="5504" ht="15.75" customHeight="1">
      <c r="B5504" s="370">
        <f t="shared" si="2"/>
        <v>0.6366898148</v>
      </c>
      <c r="C5504" s="56">
        <f t="shared" si="3"/>
        <v>55010</v>
      </c>
      <c r="D5504" s="56">
        <v>3.469</v>
      </c>
    </row>
    <row r="5505" ht="15.75" customHeight="1">
      <c r="B5505" s="370">
        <f t="shared" si="2"/>
        <v>0.6368055556</v>
      </c>
      <c r="C5505" s="56">
        <f t="shared" si="3"/>
        <v>55020</v>
      </c>
      <c r="D5505" s="56">
        <v>3.355</v>
      </c>
    </row>
    <row r="5506" ht="15.75" customHeight="1">
      <c r="B5506" s="370">
        <f t="shared" si="2"/>
        <v>0.6369212963</v>
      </c>
      <c r="C5506" s="56">
        <f t="shared" si="3"/>
        <v>55030</v>
      </c>
      <c r="D5506" s="56">
        <v>2.651</v>
      </c>
    </row>
    <row r="5507" ht="15.75" customHeight="1">
      <c r="B5507" s="370">
        <f t="shared" si="2"/>
        <v>0.637037037</v>
      </c>
      <c r="C5507" s="56">
        <f t="shared" si="3"/>
        <v>55040</v>
      </c>
      <c r="D5507" s="56">
        <v>2.302</v>
      </c>
    </row>
    <row r="5508" ht="15.75" customHeight="1">
      <c r="B5508" s="370">
        <f t="shared" si="2"/>
        <v>0.6371527778</v>
      </c>
      <c r="C5508" s="56">
        <f t="shared" si="3"/>
        <v>55050</v>
      </c>
      <c r="D5508" s="56">
        <v>2.565</v>
      </c>
    </row>
    <row r="5509" ht="15.75" customHeight="1">
      <c r="B5509" s="370">
        <f t="shared" si="2"/>
        <v>0.6372685185</v>
      </c>
      <c r="C5509" s="56">
        <f t="shared" si="3"/>
        <v>55060</v>
      </c>
      <c r="D5509" s="56">
        <v>2.683</v>
      </c>
    </row>
    <row r="5510" ht="15.75" customHeight="1">
      <c r="B5510" s="370">
        <f t="shared" si="2"/>
        <v>0.6373842593</v>
      </c>
      <c r="C5510" s="56">
        <f t="shared" si="3"/>
        <v>55070</v>
      </c>
      <c r="D5510" s="56">
        <v>2.828</v>
      </c>
    </row>
    <row r="5511" ht="15.75" customHeight="1">
      <c r="B5511" s="370">
        <f t="shared" si="2"/>
        <v>0.6375</v>
      </c>
      <c r="C5511" s="56">
        <f t="shared" si="3"/>
        <v>55080</v>
      </c>
      <c r="D5511" s="56">
        <v>2.835</v>
      </c>
    </row>
    <row r="5512" ht="15.75" customHeight="1">
      <c r="B5512" s="370">
        <f t="shared" si="2"/>
        <v>0.6376157407</v>
      </c>
      <c r="C5512" s="56">
        <f t="shared" si="3"/>
        <v>55090</v>
      </c>
      <c r="D5512" s="56">
        <v>2.855</v>
      </c>
    </row>
    <row r="5513" ht="15.75" customHeight="1">
      <c r="B5513" s="370">
        <f t="shared" si="2"/>
        <v>0.6377314815</v>
      </c>
      <c r="C5513" s="56">
        <f t="shared" si="3"/>
        <v>55100</v>
      </c>
      <c r="D5513" s="56">
        <v>2.904</v>
      </c>
    </row>
    <row r="5514" ht="15.75" customHeight="1">
      <c r="B5514" s="370">
        <f t="shared" si="2"/>
        <v>0.6378472222</v>
      </c>
      <c r="C5514" s="56">
        <f t="shared" si="3"/>
        <v>55110</v>
      </c>
      <c r="D5514" s="56">
        <v>3.075</v>
      </c>
    </row>
    <row r="5515" ht="15.75" customHeight="1">
      <c r="B5515" s="370">
        <f t="shared" si="2"/>
        <v>0.637962963</v>
      </c>
      <c r="C5515" s="56">
        <f t="shared" si="3"/>
        <v>55120</v>
      </c>
      <c r="D5515" s="56">
        <v>3.196</v>
      </c>
    </row>
    <row r="5516" ht="15.75" customHeight="1">
      <c r="B5516" s="370">
        <f t="shared" si="2"/>
        <v>0.6380787037</v>
      </c>
      <c r="C5516" s="56">
        <f t="shared" si="3"/>
        <v>55130</v>
      </c>
      <c r="D5516" s="56">
        <v>3.168</v>
      </c>
    </row>
    <row r="5517" ht="15.75" customHeight="1">
      <c r="B5517" s="370">
        <f t="shared" si="2"/>
        <v>0.6381944444</v>
      </c>
      <c r="C5517" s="56">
        <f t="shared" si="3"/>
        <v>55140</v>
      </c>
      <c r="D5517" s="56">
        <v>2.86</v>
      </c>
    </row>
    <row r="5518" ht="15.75" customHeight="1">
      <c r="B5518" s="370">
        <f t="shared" si="2"/>
        <v>0.6383101852</v>
      </c>
      <c r="C5518" s="56">
        <f t="shared" si="3"/>
        <v>55150</v>
      </c>
      <c r="D5518" s="56">
        <v>2.585</v>
      </c>
    </row>
    <row r="5519" ht="15.75" customHeight="1">
      <c r="B5519" s="370">
        <f t="shared" si="2"/>
        <v>0.6384259259</v>
      </c>
      <c r="C5519" s="56">
        <f t="shared" si="3"/>
        <v>55160</v>
      </c>
      <c r="D5519" s="56">
        <v>2.296</v>
      </c>
    </row>
    <row r="5520" ht="15.75" customHeight="1">
      <c r="B5520" s="370">
        <f t="shared" si="2"/>
        <v>0.6385416667</v>
      </c>
      <c r="C5520" s="56">
        <f t="shared" si="3"/>
        <v>55170</v>
      </c>
      <c r="D5520" s="56">
        <v>2.009</v>
      </c>
    </row>
    <row r="5521" ht="15.75" customHeight="1">
      <c r="B5521" s="370">
        <f t="shared" si="2"/>
        <v>0.6386574074</v>
      </c>
      <c r="C5521" s="56">
        <f t="shared" si="3"/>
        <v>55180</v>
      </c>
      <c r="D5521" s="56">
        <v>2.752</v>
      </c>
    </row>
    <row r="5522" ht="15.75" customHeight="1">
      <c r="B5522" s="370">
        <f t="shared" si="2"/>
        <v>0.6387731481</v>
      </c>
      <c r="C5522" s="56">
        <f t="shared" si="3"/>
        <v>55190</v>
      </c>
      <c r="D5522" s="56">
        <v>3.414</v>
      </c>
    </row>
    <row r="5523" ht="15.75" customHeight="1">
      <c r="B5523" s="370">
        <f t="shared" si="2"/>
        <v>0.6388888889</v>
      </c>
      <c r="C5523" s="56">
        <f t="shared" si="3"/>
        <v>55200</v>
      </c>
      <c r="D5523" s="56">
        <v>3.522</v>
      </c>
    </row>
    <row r="5524" ht="15.75" customHeight="1">
      <c r="B5524" s="370">
        <f t="shared" si="2"/>
        <v>0.6390046296</v>
      </c>
      <c r="C5524" s="56">
        <f t="shared" si="3"/>
        <v>55210</v>
      </c>
      <c r="D5524" s="56">
        <v>3.506</v>
      </c>
    </row>
    <row r="5525" ht="15.75" customHeight="1">
      <c r="B5525" s="370">
        <f t="shared" si="2"/>
        <v>0.6391203704</v>
      </c>
      <c r="C5525" s="56">
        <f t="shared" si="3"/>
        <v>55220</v>
      </c>
      <c r="D5525" s="56">
        <v>3.441</v>
      </c>
    </row>
    <row r="5526" ht="15.75" customHeight="1">
      <c r="B5526" s="370">
        <f t="shared" si="2"/>
        <v>0.6392361111</v>
      </c>
      <c r="C5526" s="56">
        <f t="shared" si="3"/>
        <v>55230</v>
      </c>
      <c r="D5526" s="56">
        <v>2.89</v>
      </c>
    </row>
    <row r="5527" ht="15.75" customHeight="1">
      <c r="B5527" s="370">
        <f t="shared" si="2"/>
        <v>0.6393518519</v>
      </c>
      <c r="C5527" s="56">
        <f t="shared" si="3"/>
        <v>55240</v>
      </c>
      <c r="D5527" s="56">
        <v>2.037</v>
      </c>
    </row>
    <row r="5528" ht="15.75" customHeight="1">
      <c r="B5528" s="370">
        <f t="shared" si="2"/>
        <v>0.6394675926</v>
      </c>
      <c r="C5528" s="56">
        <f t="shared" si="3"/>
        <v>55250</v>
      </c>
      <c r="D5528" s="56">
        <v>2.43</v>
      </c>
    </row>
    <row r="5529" ht="15.75" customHeight="1">
      <c r="B5529" s="370">
        <f t="shared" si="2"/>
        <v>0.6395833333</v>
      </c>
      <c r="C5529" s="56">
        <f t="shared" si="3"/>
        <v>55260</v>
      </c>
      <c r="D5529" s="56">
        <v>2.618</v>
      </c>
    </row>
    <row r="5530" ht="15.75" customHeight="1">
      <c r="B5530" s="370">
        <f t="shared" si="2"/>
        <v>0.6396990741</v>
      </c>
      <c r="C5530" s="56">
        <f t="shared" si="3"/>
        <v>55270</v>
      </c>
      <c r="D5530" s="56">
        <v>2.833</v>
      </c>
    </row>
    <row r="5531" ht="15.75" customHeight="1">
      <c r="B5531" s="370">
        <f t="shared" si="2"/>
        <v>0.6398148148</v>
      </c>
      <c r="C5531" s="56">
        <f t="shared" si="3"/>
        <v>55280</v>
      </c>
      <c r="D5531" s="56">
        <v>2.957</v>
      </c>
    </row>
    <row r="5532" ht="15.75" customHeight="1">
      <c r="B5532" s="370">
        <f t="shared" si="2"/>
        <v>0.6399305556</v>
      </c>
      <c r="C5532" s="56">
        <f t="shared" si="3"/>
        <v>55290</v>
      </c>
      <c r="D5532" s="56">
        <v>3.035</v>
      </c>
    </row>
    <row r="5533" ht="15.75" customHeight="1">
      <c r="B5533" s="370">
        <f t="shared" si="2"/>
        <v>0.6400462963</v>
      </c>
      <c r="C5533" s="56">
        <f t="shared" si="3"/>
        <v>55300</v>
      </c>
      <c r="D5533" s="56">
        <v>2.891</v>
      </c>
    </row>
    <row r="5534" ht="15.75" customHeight="1">
      <c r="B5534" s="370">
        <f t="shared" si="2"/>
        <v>0.640162037</v>
      </c>
      <c r="C5534" s="56">
        <f t="shared" si="3"/>
        <v>55310</v>
      </c>
      <c r="D5534" s="56">
        <v>2.883</v>
      </c>
    </row>
    <row r="5535" ht="15.75" customHeight="1">
      <c r="B5535" s="370">
        <f t="shared" si="2"/>
        <v>0.6402777778</v>
      </c>
      <c r="C5535" s="56">
        <f t="shared" si="3"/>
        <v>55320</v>
      </c>
      <c r="D5535" s="56">
        <v>3.043</v>
      </c>
    </row>
    <row r="5536" ht="15.75" customHeight="1">
      <c r="B5536" s="370">
        <f t="shared" si="2"/>
        <v>0.6403935185</v>
      </c>
      <c r="C5536" s="56">
        <f t="shared" si="3"/>
        <v>55330</v>
      </c>
      <c r="D5536" s="56">
        <v>3.082</v>
      </c>
    </row>
    <row r="5537" ht="15.75" customHeight="1">
      <c r="B5537" s="370">
        <f t="shared" si="2"/>
        <v>0.6405092593</v>
      </c>
      <c r="C5537" s="56">
        <f t="shared" si="3"/>
        <v>55340</v>
      </c>
      <c r="D5537" s="56">
        <v>2.87</v>
      </c>
    </row>
    <row r="5538" ht="15.75" customHeight="1">
      <c r="B5538" s="370">
        <f t="shared" si="2"/>
        <v>0.640625</v>
      </c>
      <c r="C5538" s="56">
        <f t="shared" si="3"/>
        <v>55350</v>
      </c>
      <c r="D5538" s="56">
        <v>2.674</v>
      </c>
    </row>
    <row r="5539" ht="15.75" customHeight="1">
      <c r="B5539" s="370">
        <f t="shared" si="2"/>
        <v>0.6407407407</v>
      </c>
      <c r="C5539" s="56">
        <f t="shared" si="3"/>
        <v>55360</v>
      </c>
      <c r="D5539" s="56">
        <v>2.416</v>
      </c>
    </row>
    <row r="5540" ht="15.75" customHeight="1">
      <c r="B5540" s="370">
        <f t="shared" si="2"/>
        <v>0.6408564815</v>
      </c>
      <c r="C5540" s="56">
        <f t="shared" si="3"/>
        <v>55370</v>
      </c>
      <c r="D5540" s="56">
        <v>2.182</v>
      </c>
    </row>
    <row r="5541" ht="15.75" customHeight="1">
      <c r="B5541" s="370">
        <f t="shared" si="2"/>
        <v>0.6409722222</v>
      </c>
      <c r="C5541" s="56">
        <f t="shared" si="3"/>
        <v>55380</v>
      </c>
      <c r="D5541" s="56">
        <v>2.538</v>
      </c>
    </row>
    <row r="5542" ht="15.75" customHeight="1">
      <c r="B5542" s="370">
        <f t="shared" si="2"/>
        <v>0.641087963</v>
      </c>
      <c r="C5542" s="56">
        <f t="shared" si="3"/>
        <v>55390</v>
      </c>
      <c r="D5542" s="56">
        <v>3.343</v>
      </c>
    </row>
    <row r="5543" ht="15.75" customHeight="1">
      <c r="B5543" s="370">
        <f t="shared" si="2"/>
        <v>0.6412037037</v>
      </c>
      <c r="C5543" s="56">
        <f t="shared" si="3"/>
        <v>55400</v>
      </c>
      <c r="D5543" s="56">
        <v>3.515</v>
      </c>
    </row>
    <row r="5544" ht="15.75" customHeight="1">
      <c r="B5544" s="370">
        <f t="shared" si="2"/>
        <v>0.6413194444</v>
      </c>
      <c r="C5544" s="56">
        <f t="shared" si="3"/>
        <v>55410</v>
      </c>
      <c r="D5544" s="56">
        <v>3.516</v>
      </c>
    </row>
    <row r="5545" ht="15.75" customHeight="1">
      <c r="B5545" s="370">
        <f t="shared" si="2"/>
        <v>0.6414351852</v>
      </c>
      <c r="C5545" s="56">
        <f t="shared" si="3"/>
        <v>55420</v>
      </c>
      <c r="D5545" s="56">
        <v>3.489</v>
      </c>
    </row>
    <row r="5546" ht="15.75" customHeight="1">
      <c r="B5546" s="370">
        <f t="shared" si="2"/>
        <v>0.6415509259</v>
      </c>
      <c r="C5546" s="56">
        <f t="shared" si="3"/>
        <v>55430</v>
      </c>
      <c r="D5546" s="56">
        <v>3.029</v>
      </c>
    </row>
    <row r="5547" ht="15.75" customHeight="1">
      <c r="B5547" s="370">
        <f t="shared" si="2"/>
        <v>0.6416666667</v>
      </c>
      <c r="C5547" s="56">
        <f t="shared" si="3"/>
        <v>55440</v>
      </c>
      <c r="D5547" s="56">
        <v>2.183</v>
      </c>
    </row>
    <row r="5548" ht="15.75" customHeight="1">
      <c r="B5548" s="370">
        <f t="shared" si="2"/>
        <v>0.6417824074</v>
      </c>
      <c r="C5548" s="56">
        <f t="shared" si="3"/>
        <v>55450</v>
      </c>
      <c r="D5548" s="56">
        <v>2.251</v>
      </c>
    </row>
    <row r="5549" ht="15.75" customHeight="1">
      <c r="B5549" s="370">
        <f t="shared" si="2"/>
        <v>0.6418981481</v>
      </c>
      <c r="C5549" s="56">
        <f t="shared" si="3"/>
        <v>55460</v>
      </c>
      <c r="D5549" s="56">
        <v>2.514</v>
      </c>
    </row>
    <row r="5550" ht="15.75" customHeight="1">
      <c r="B5550" s="370">
        <f t="shared" si="2"/>
        <v>0.6420138889</v>
      </c>
      <c r="C5550" s="56">
        <f t="shared" si="3"/>
        <v>55470</v>
      </c>
      <c r="D5550" s="56">
        <v>2.803</v>
      </c>
    </row>
    <row r="5551" ht="15.75" customHeight="1">
      <c r="B5551" s="370">
        <f t="shared" si="2"/>
        <v>0.6421296296</v>
      </c>
      <c r="C5551" s="56">
        <f t="shared" si="3"/>
        <v>55480</v>
      </c>
      <c r="D5551" s="56">
        <v>3.024</v>
      </c>
    </row>
    <row r="5552" ht="15.75" customHeight="1">
      <c r="B5552" s="370">
        <f t="shared" si="2"/>
        <v>0.6422453704</v>
      </c>
      <c r="C5552" s="56">
        <f t="shared" si="3"/>
        <v>55490</v>
      </c>
      <c r="D5552" s="56">
        <v>3.176</v>
      </c>
    </row>
    <row r="5553" ht="15.75" customHeight="1">
      <c r="B5553" s="370">
        <f t="shared" si="2"/>
        <v>0.6423611111</v>
      </c>
      <c r="C5553" s="56">
        <f t="shared" si="3"/>
        <v>55500</v>
      </c>
      <c r="D5553" s="56">
        <v>2.98</v>
      </c>
    </row>
    <row r="5554" ht="15.75" customHeight="1">
      <c r="B5554" s="370">
        <f t="shared" si="2"/>
        <v>0.6424768519</v>
      </c>
      <c r="C5554" s="56">
        <f t="shared" si="3"/>
        <v>55510</v>
      </c>
      <c r="D5554" s="56">
        <v>2.972</v>
      </c>
    </row>
    <row r="5555" ht="15.75" customHeight="1">
      <c r="B5555" s="370">
        <f t="shared" si="2"/>
        <v>0.6425925926</v>
      </c>
      <c r="C5555" s="56">
        <f t="shared" si="3"/>
        <v>55520</v>
      </c>
      <c r="D5555" s="56">
        <v>2.794</v>
      </c>
    </row>
    <row r="5556" ht="15.75" customHeight="1">
      <c r="B5556" s="370">
        <f t="shared" si="2"/>
        <v>0.6427083333</v>
      </c>
      <c r="C5556" s="56">
        <f t="shared" si="3"/>
        <v>55530</v>
      </c>
      <c r="D5556" s="56">
        <v>2.956</v>
      </c>
    </row>
    <row r="5557" ht="15.75" customHeight="1">
      <c r="B5557" s="370">
        <f t="shared" si="2"/>
        <v>0.6428240741</v>
      </c>
      <c r="C5557" s="56">
        <f t="shared" si="3"/>
        <v>55540</v>
      </c>
      <c r="D5557" s="56">
        <v>2.844</v>
      </c>
    </row>
    <row r="5558" ht="15.75" customHeight="1">
      <c r="B5558" s="370">
        <f t="shared" si="2"/>
        <v>0.6429398148</v>
      </c>
      <c r="C5558" s="56">
        <f t="shared" si="3"/>
        <v>55550</v>
      </c>
      <c r="D5558" s="56">
        <v>2.733</v>
      </c>
    </row>
    <row r="5559" ht="15.75" customHeight="1">
      <c r="B5559" s="370">
        <f t="shared" si="2"/>
        <v>0.6430555556</v>
      </c>
      <c r="C5559" s="56">
        <f t="shared" si="3"/>
        <v>55560</v>
      </c>
      <c r="D5559" s="56">
        <v>2.568</v>
      </c>
    </row>
    <row r="5560" ht="15.75" customHeight="1">
      <c r="B5560" s="370">
        <f t="shared" si="2"/>
        <v>0.6431712963</v>
      </c>
      <c r="C5560" s="56">
        <f t="shared" si="3"/>
        <v>55570</v>
      </c>
      <c r="D5560" s="56">
        <v>2.376</v>
      </c>
    </row>
    <row r="5561" ht="15.75" customHeight="1">
      <c r="B5561" s="370">
        <f t="shared" si="2"/>
        <v>0.643287037</v>
      </c>
      <c r="C5561" s="56">
        <f t="shared" si="3"/>
        <v>55580</v>
      </c>
      <c r="D5561" s="56">
        <v>2.401</v>
      </c>
    </row>
    <row r="5562" ht="15.75" customHeight="1">
      <c r="B5562" s="370">
        <f t="shared" si="2"/>
        <v>0.6434027778</v>
      </c>
      <c r="C5562" s="56">
        <f t="shared" si="3"/>
        <v>55590</v>
      </c>
      <c r="D5562" s="56">
        <v>3.252</v>
      </c>
    </row>
    <row r="5563" ht="15.75" customHeight="1">
      <c r="B5563" s="370">
        <f t="shared" si="2"/>
        <v>0.6435185185</v>
      </c>
      <c r="C5563" s="56">
        <f t="shared" si="3"/>
        <v>55600</v>
      </c>
      <c r="D5563" s="56">
        <v>3.48</v>
      </c>
    </row>
    <row r="5564" ht="15.75" customHeight="1">
      <c r="B5564" s="370">
        <f t="shared" si="2"/>
        <v>0.6436342593</v>
      </c>
      <c r="C5564" s="56">
        <f t="shared" si="3"/>
        <v>55610</v>
      </c>
      <c r="D5564" s="56">
        <v>3.498</v>
      </c>
    </row>
    <row r="5565" ht="15.75" customHeight="1">
      <c r="B5565" s="370">
        <f t="shared" si="2"/>
        <v>0.64375</v>
      </c>
      <c r="C5565" s="56">
        <f t="shared" si="3"/>
        <v>55620</v>
      </c>
      <c r="D5565" s="56">
        <v>3.504</v>
      </c>
    </row>
    <row r="5566" ht="15.75" customHeight="1">
      <c r="B5566" s="370">
        <f t="shared" si="2"/>
        <v>0.6438657407</v>
      </c>
      <c r="C5566" s="56">
        <f t="shared" si="3"/>
        <v>55630</v>
      </c>
      <c r="D5566" s="56">
        <v>3.13</v>
      </c>
    </row>
    <row r="5567" ht="15.75" customHeight="1">
      <c r="B5567" s="370">
        <f t="shared" si="2"/>
        <v>0.6439814815</v>
      </c>
      <c r="C5567" s="56">
        <f t="shared" si="3"/>
        <v>55640</v>
      </c>
      <c r="D5567" s="56">
        <v>2.311</v>
      </c>
    </row>
    <row r="5568" ht="15.75" customHeight="1">
      <c r="B5568" s="370">
        <f t="shared" si="2"/>
        <v>0.6440972222</v>
      </c>
      <c r="C5568" s="56">
        <f t="shared" si="3"/>
        <v>55650</v>
      </c>
      <c r="D5568" s="56">
        <v>2.076</v>
      </c>
    </row>
    <row r="5569" ht="15.75" customHeight="1">
      <c r="B5569" s="370">
        <f t="shared" si="2"/>
        <v>0.644212963</v>
      </c>
      <c r="C5569" s="56">
        <f t="shared" si="3"/>
        <v>55660</v>
      </c>
      <c r="D5569" s="56">
        <v>2.354</v>
      </c>
    </row>
    <row r="5570" ht="15.75" customHeight="1">
      <c r="B5570" s="370">
        <f t="shared" si="2"/>
        <v>0.6443287037</v>
      </c>
      <c r="C5570" s="56">
        <f t="shared" si="3"/>
        <v>55670</v>
      </c>
      <c r="D5570" s="56">
        <v>2.734</v>
      </c>
    </row>
    <row r="5571" ht="15.75" customHeight="1">
      <c r="B5571" s="370">
        <f t="shared" si="2"/>
        <v>0.6444444444</v>
      </c>
      <c r="C5571" s="56">
        <f t="shared" si="3"/>
        <v>55680</v>
      </c>
      <c r="D5571" s="56">
        <v>3.055</v>
      </c>
    </row>
    <row r="5572" ht="15.75" customHeight="1">
      <c r="B5572" s="370">
        <f t="shared" si="2"/>
        <v>0.6445601852</v>
      </c>
      <c r="C5572" s="56">
        <f t="shared" si="3"/>
        <v>55690</v>
      </c>
      <c r="D5572" s="56">
        <v>3.284</v>
      </c>
    </row>
    <row r="5573" ht="15.75" customHeight="1">
      <c r="B5573" s="370">
        <f t="shared" si="2"/>
        <v>0.6446759259</v>
      </c>
      <c r="C5573" s="56">
        <f t="shared" si="3"/>
        <v>55700</v>
      </c>
      <c r="D5573" s="56">
        <v>3.2</v>
      </c>
    </row>
    <row r="5574" ht="15.75" customHeight="1">
      <c r="B5574" s="370">
        <f t="shared" si="2"/>
        <v>0.6447916667</v>
      </c>
      <c r="C5574" s="56">
        <f t="shared" si="3"/>
        <v>55710</v>
      </c>
      <c r="D5574" s="56">
        <v>3.115</v>
      </c>
    </row>
    <row r="5575" ht="15.75" customHeight="1">
      <c r="B5575" s="370">
        <f t="shared" si="2"/>
        <v>0.6449074074</v>
      </c>
      <c r="C5575" s="56">
        <f t="shared" si="3"/>
        <v>55720</v>
      </c>
      <c r="D5575" s="56">
        <v>2.856</v>
      </c>
    </row>
    <row r="5576" ht="15.75" customHeight="1">
      <c r="B5576" s="370">
        <f t="shared" si="2"/>
        <v>0.6450231481</v>
      </c>
      <c r="C5576" s="56">
        <f t="shared" si="3"/>
        <v>55730</v>
      </c>
      <c r="D5576" s="56">
        <v>2.793</v>
      </c>
    </row>
    <row r="5577" ht="15.75" customHeight="1">
      <c r="B5577" s="370">
        <f t="shared" si="2"/>
        <v>0.6451388889</v>
      </c>
      <c r="C5577" s="56">
        <f t="shared" si="3"/>
        <v>55740</v>
      </c>
      <c r="D5577" s="56">
        <v>2.782</v>
      </c>
    </row>
    <row r="5578" ht="15.75" customHeight="1">
      <c r="B5578" s="370">
        <f t="shared" si="2"/>
        <v>0.6452546296</v>
      </c>
      <c r="C5578" s="56">
        <f t="shared" si="3"/>
        <v>55750</v>
      </c>
      <c r="D5578" s="56">
        <v>2.755</v>
      </c>
    </row>
    <row r="5579" ht="15.75" customHeight="1">
      <c r="B5579" s="370">
        <f t="shared" si="2"/>
        <v>0.6453703704</v>
      </c>
      <c r="C5579" s="56">
        <f t="shared" si="3"/>
        <v>55760</v>
      </c>
      <c r="D5579" s="56">
        <v>2.654</v>
      </c>
    </row>
    <row r="5580" ht="15.75" customHeight="1">
      <c r="B5580" s="370">
        <f t="shared" si="2"/>
        <v>0.6454861111</v>
      </c>
      <c r="C5580" s="56">
        <f t="shared" si="3"/>
        <v>55770</v>
      </c>
      <c r="D5580" s="56">
        <v>2.535</v>
      </c>
    </row>
    <row r="5581" ht="15.75" customHeight="1">
      <c r="B5581" s="370">
        <f t="shared" si="2"/>
        <v>0.6456018519</v>
      </c>
      <c r="C5581" s="56">
        <f t="shared" si="3"/>
        <v>55780</v>
      </c>
      <c r="D5581" s="56">
        <v>2.226</v>
      </c>
    </row>
    <row r="5582" ht="15.75" customHeight="1">
      <c r="B5582" s="370">
        <f t="shared" si="2"/>
        <v>0.6457175926</v>
      </c>
      <c r="C5582" s="56">
        <f t="shared" si="3"/>
        <v>55790</v>
      </c>
      <c r="D5582" s="56">
        <v>3.12</v>
      </c>
    </row>
    <row r="5583" ht="15.75" customHeight="1">
      <c r="B5583" s="370">
        <f t="shared" si="2"/>
        <v>0.6458333333</v>
      </c>
      <c r="C5583" s="56">
        <f t="shared" si="3"/>
        <v>55800</v>
      </c>
      <c r="D5583" s="56">
        <v>3.417</v>
      </c>
    </row>
    <row r="5584" ht="15.75" customHeight="1">
      <c r="B5584" s="370">
        <f t="shared" si="2"/>
        <v>0.6459490741</v>
      </c>
      <c r="C5584" s="56">
        <f t="shared" si="3"/>
        <v>55810</v>
      </c>
      <c r="D5584" s="56">
        <v>3.445</v>
      </c>
    </row>
    <row r="5585" ht="15.75" customHeight="1">
      <c r="B5585" s="370">
        <f t="shared" si="2"/>
        <v>0.6460648148</v>
      </c>
      <c r="C5585" s="56">
        <f t="shared" si="3"/>
        <v>55820</v>
      </c>
      <c r="D5585" s="56">
        <v>3.489</v>
      </c>
    </row>
    <row r="5586" ht="15.75" customHeight="1">
      <c r="B5586" s="370">
        <f t="shared" si="2"/>
        <v>0.6461805556</v>
      </c>
      <c r="C5586" s="56">
        <f t="shared" si="3"/>
        <v>55830</v>
      </c>
      <c r="D5586" s="56">
        <v>3.203</v>
      </c>
    </row>
    <row r="5587" ht="15.75" customHeight="1">
      <c r="B5587" s="370">
        <f t="shared" si="2"/>
        <v>0.6462962963</v>
      </c>
      <c r="C5587" s="56">
        <f t="shared" si="3"/>
        <v>55840</v>
      </c>
      <c r="D5587" s="56">
        <v>2.546</v>
      </c>
    </row>
    <row r="5588" ht="15.75" customHeight="1">
      <c r="B5588" s="370">
        <f t="shared" si="2"/>
        <v>0.646412037</v>
      </c>
      <c r="C5588" s="56">
        <f t="shared" si="3"/>
        <v>55850</v>
      </c>
      <c r="D5588" s="56">
        <v>1.978</v>
      </c>
    </row>
    <row r="5589" ht="15.75" customHeight="1">
      <c r="B5589" s="370">
        <f t="shared" si="2"/>
        <v>0.6465277778</v>
      </c>
      <c r="C5589" s="56">
        <f t="shared" si="3"/>
        <v>55860</v>
      </c>
      <c r="D5589" s="56">
        <v>2.212</v>
      </c>
    </row>
    <row r="5590" ht="15.75" customHeight="1">
      <c r="B5590" s="370">
        <f t="shared" si="2"/>
        <v>0.6466435185</v>
      </c>
      <c r="C5590" s="56">
        <f t="shared" si="3"/>
        <v>55870</v>
      </c>
      <c r="D5590" s="56">
        <v>2.635</v>
      </c>
    </row>
    <row r="5591" ht="15.75" customHeight="1">
      <c r="B5591" s="370">
        <f t="shared" si="2"/>
        <v>0.6467592593</v>
      </c>
      <c r="C5591" s="56">
        <f t="shared" si="3"/>
        <v>55880</v>
      </c>
      <c r="D5591" s="56">
        <v>3.049</v>
      </c>
    </row>
    <row r="5592" ht="15.75" customHeight="1">
      <c r="B5592" s="370">
        <f t="shared" si="2"/>
        <v>0.646875</v>
      </c>
      <c r="C5592" s="56">
        <f t="shared" si="3"/>
        <v>55890</v>
      </c>
      <c r="D5592" s="56">
        <v>3.38</v>
      </c>
    </row>
    <row r="5593" ht="15.75" customHeight="1">
      <c r="B5593" s="370">
        <f t="shared" si="2"/>
        <v>0.6469907407</v>
      </c>
      <c r="C5593" s="56">
        <f t="shared" si="3"/>
        <v>55900</v>
      </c>
      <c r="D5593" s="56">
        <v>3.323</v>
      </c>
    </row>
    <row r="5594" ht="15.75" customHeight="1">
      <c r="B5594" s="370">
        <f t="shared" si="2"/>
        <v>0.6471064815</v>
      </c>
      <c r="C5594" s="56">
        <f t="shared" si="3"/>
        <v>55910</v>
      </c>
      <c r="D5594" s="56">
        <v>3.253</v>
      </c>
    </row>
    <row r="5595" ht="15.75" customHeight="1">
      <c r="B5595" s="370">
        <f t="shared" si="2"/>
        <v>0.6472222222</v>
      </c>
      <c r="C5595" s="56">
        <f t="shared" si="3"/>
        <v>55920</v>
      </c>
      <c r="D5595" s="56">
        <v>2.972</v>
      </c>
    </row>
    <row r="5596" ht="15.75" customHeight="1">
      <c r="B5596" s="370">
        <f t="shared" si="2"/>
        <v>0.647337963</v>
      </c>
      <c r="C5596" s="56">
        <f t="shared" si="3"/>
        <v>55930</v>
      </c>
      <c r="D5596" s="56">
        <v>2.619</v>
      </c>
    </row>
    <row r="5597" ht="15.75" customHeight="1">
      <c r="B5597" s="370">
        <f t="shared" si="2"/>
        <v>0.6474537037</v>
      </c>
      <c r="C5597" s="56">
        <f t="shared" si="3"/>
        <v>55940</v>
      </c>
      <c r="D5597" s="56">
        <v>2.685</v>
      </c>
    </row>
    <row r="5598" ht="15.75" customHeight="1">
      <c r="B5598" s="370">
        <f t="shared" si="2"/>
        <v>0.6475694444</v>
      </c>
      <c r="C5598" s="56">
        <f t="shared" si="3"/>
        <v>55950</v>
      </c>
      <c r="D5598" s="56">
        <v>2.741</v>
      </c>
    </row>
    <row r="5599" ht="15.75" customHeight="1">
      <c r="B5599" s="370">
        <f t="shared" si="2"/>
        <v>0.6476851852</v>
      </c>
      <c r="C5599" s="56">
        <f t="shared" si="3"/>
        <v>55960</v>
      </c>
      <c r="D5599" s="56">
        <v>2.704</v>
      </c>
    </row>
    <row r="5600" ht="15.75" customHeight="1">
      <c r="B5600" s="370">
        <f t="shared" si="2"/>
        <v>0.6478009259</v>
      </c>
      <c r="C5600" s="56">
        <f t="shared" si="3"/>
        <v>55970</v>
      </c>
      <c r="D5600" s="56">
        <v>2.647</v>
      </c>
    </row>
    <row r="5601" ht="15.75" customHeight="1">
      <c r="B5601" s="370">
        <f t="shared" si="2"/>
        <v>0.6479166667</v>
      </c>
      <c r="C5601" s="56">
        <f t="shared" si="3"/>
        <v>55980</v>
      </c>
      <c r="D5601" s="56">
        <v>2.467</v>
      </c>
    </row>
    <row r="5602" ht="15.75" customHeight="1">
      <c r="B5602" s="370">
        <f t="shared" si="2"/>
        <v>0.6480324074</v>
      </c>
      <c r="C5602" s="56">
        <f t="shared" si="3"/>
        <v>55990</v>
      </c>
      <c r="D5602" s="56">
        <v>2.908</v>
      </c>
    </row>
    <row r="5603" ht="15.75" customHeight="1">
      <c r="B5603" s="370">
        <f t="shared" si="2"/>
        <v>0.6481481481</v>
      </c>
      <c r="C5603" s="56">
        <f t="shared" si="3"/>
        <v>56000</v>
      </c>
      <c r="D5603" s="56">
        <v>3.318</v>
      </c>
    </row>
    <row r="5604" ht="15.75" customHeight="1">
      <c r="B5604" s="370">
        <f t="shared" si="2"/>
        <v>0.6482638889</v>
      </c>
      <c r="C5604" s="56">
        <f t="shared" si="3"/>
        <v>56010</v>
      </c>
      <c r="D5604" s="56">
        <v>3.376</v>
      </c>
    </row>
    <row r="5605" ht="15.75" customHeight="1">
      <c r="B5605" s="370">
        <f t="shared" si="2"/>
        <v>0.6483796296</v>
      </c>
      <c r="C5605" s="56">
        <f t="shared" si="3"/>
        <v>56020</v>
      </c>
      <c r="D5605" s="56">
        <v>3.445</v>
      </c>
    </row>
    <row r="5606" ht="15.75" customHeight="1">
      <c r="B5606" s="370">
        <f t="shared" si="2"/>
        <v>0.6484953704</v>
      </c>
      <c r="C5606" s="56">
        <f t="shared" si="3"/>
        <v>56030</v>
      </c>
      <c r="D5606" s="56">
        <v>3.237</v>
      </c>
    </row>
    <row r="5607" ht="15.75" customHeight="1">
      <c r="B5607" s="370">
        <f t="shared" si="2"/>
        <v>0.6486111111</v>
      </c>
      <c r="C5607" s="56">
        <f t="shared" si="3"/>
        <v>56040</v>
      </c>
      <c r="D5607" s="56">
        <v>2.679</v>
      </c>
    </row>
    <row r="5608" ht="15.75" customHeight="1">
      <c r="B5608" s="370">
        <f t="shared" si="2"/>
        <v>0.6487268519</v>
      </c>
      <c r="C5608" s="56">
        <f t="shared" si="3"/>
        <v>56050</v>
      </c>
      <c r="D5608" s="56">
        <v>2.216</v>
      </c>
    </row>
    <row r="5609" ht="15.75" customHeight="1">
      <c r="B5609" s="370">
        <f t="shared" si="2"/>
        <v>0.6488425926</v>
      </c>
      <c r="C5609" s="56">
        <f t="shared" si="3"/>
        <v>56060</v>
      </c>
      <c r="D5609" s="56">
        <v>1.976</v>
      </c>
    </row>
    <row r="5610" ht="15.75" customHeight="1">
      <c r="B5610" s="370">
        <f t="shared" si="2"/>
        <v>0.6489583333</v>
      </c>
      <c r="C5610" s="56">
        <f t="shared" si="3"/>
        <v>56070</v>
      </c>
      <c r="D5610" s="56">
        <v>2.497</v>
      </c>
    </row>
    <row r="5611" ht="15.75" customHeight="1">
      <c r="B5611" s="370">
        <f t="shared" si="2"/>
        <v>0.6490740741</v>
      </c>
      <c r="C5611" s="56">
        <f t="shared" si="3"/>
        <v>56080</v>
      </c>
      <c r="D5611" s="56">
        <v>3.007</v>
      </c>
    </row>
    <row r="5612" ht="15.75" customHeight="1">
      <c r="B5612" s="370">
        <f t="shared" si="2"/>
        <v>0.6491898148</v>
      </c>
      <c r="C5612" s="56">
        <f t="shared" si="3"/>
        <v>56090</v>
      </c>
      <c r="D5612" s="56">
        <v>3.428</v>
      </c>
    </row>
    <row r="5613" ht="15.75" customHeight="1">
      <c r="B5613" s="370">
        <f t="shared" si="2"/>
        <v>0.6493055556</v>
      </c>
      <c r="C5613" s="56">
        <f t="shared" si="3"/>
        <v>56100</v>
      </c>
      <c r="D5613" s="56">
        <v>3.412</v>
      </c>
    </row>
    <row r="5614" ht="15.75" customHeight="1">
      <c r="B5614" s="370">
        <f t="shared" si="2"/>
        <v>0.6494212963</v>
      </c>
      <c r="C5614" s="56">
        <f t="shared" si="3"/>
        <v>56110</v>
      </c>
      <c r="D5614" s="56">
        <v>3.349</v>
      </c>
    </row>
    <row r="5615" ht="15.75" customHeight="1">
      <c r="B5615" s="370">
        <f t="shared" si="2"/>
        <v>0.649537037</v>
      </c>
      <c r="C5615" s="56">
        <f t="shared" si="3"/>
        <v>56120</v>
      </c>
      <c r="D5615" s="56">
        <v>3.187</v>
      </c>
    </row>
    <row r="5616" ht="15.75" customHeight="1">
      <c r="B5616" s="370">
        <f t="shared" si="2"/>
        <v>0.6496527778</v>
      </c>
      <c r="C5616" s="56">
        <f t="shared" si="3"/>
        <v>56130</v>
      </c>
      <c r="D5616" s="56">
        <v>2.42</v>
      </c>
    </row>
    <row r="5617" ht="15.75" customHeight="1">
      <c r="B5617" s="370">
        <f t="shared" si="2"/>
        <v>0.6497685185</v>
      </c>
      <c r="C5617" s="56">
        <f t="shared" si="3"/>
        <v>56140</v>
      </c>
      <c r="D5617" s="56">
        <v>2.554</v>
      </c>
    </row>
    <row r="5618" ht="15.75" customHeight="1">
      <c r="B5618" s="370">
        <f t="shared" si="2"/>
        <v>0.6498842593</v>
      </c>
      <c r="C5618" s="56">
        <f t="shared" si="3"/>
        <v>56150</v>
      </c>
      <c r="D5618" s="56">
        <v>2.696</v>
      </c>
    </row>
    <row r="5619" ht="15.75" customHeight="1">
      <c r="B5619" s="370">
        <f t="shared" si="2"/>
        <v>0.65</v>
      </c>
      <c r="C5619" s="56">
        <f t="shared" si="3"/>
        <v>56160</v>
      </c>
      <c r="D5619" s="56">
        <v>2.723</v>
      </c>
    </row>
    <row r="5620" ht="15.75" customHeight="1">
      <c r="B5620" s="370">
        <f t="shared" si="2"/>
        <v>0.6501157407</v>
      </c>
      <c r="C5620" s="56">
        <f t="shared" si="3"/>
        <v>56170</v>
      </c>
      <c r="D5620" s="56">
        <v>2.755</v>
      </c>
    </row>
    <row r="5621" ht="15.75" customHeight="1">
      <c r="B5621" s="370">
        <f t="shared" si="2"/>
        <v>0.6502314815</v>
      </c>
      <c r="C5621" s="56">
        <f t="shared" si="3"/>
        <v>56180</v>
      </c>
      <c r="D5621" s="56">
        <v>2.649</v>
      </c>
    </row>
    <row r="5622" ht="15.75" customHeight="1">
      <c r="B5622" s="370">
        <f t="shared" si="2"/>
        <v>0.6503472222</v>
      </c>
      <c r="C5622" s="56">
        <f t="shared" si="3"/>
        <v>56190</v>
      </c>
      <c r="D5622" s="56">
        <v>2.774</v>
      </c>
    </row>
    <row r="5623" ht="15.75" customHeight="1">
      <c r="B5623" s="370">
        <f t="shared" si="2"/>
        <v>0.650462963</v>
      </c>
      <c r="C5623" s="56">
        <f t="shared" si="3"/>
        <v>56200</v>
      </c>
      <c r="D5623" s="56">
        <v>3.192</v>
      </c>
    </row>
    <row r="5624" ht="15.75" customHeight="1">
      <c r="B5624" s="370">
        <f t="shared" si="2"/>
        <v>0.6505787037</v>
      </c>
      <c r="C5624" s="56">
        <f t="shared" si="3"/>
        <v>56210</v>
      </c>
      <c r="D5624" s="56">
        <v>3.271</v>
      </c>
    </row>
    <row r="5625" ht="15.75" customHeight="1">
      <c r="B5625" s="370">
        <f t="shared" si="2"/>
        <v>0.6506944444</v>
      </c>
      <c r="C5625" s="56">
        <f t="shared" si="3"/>
        <v>56220</v>
      </c>
      <c r="D5625" s="56">
        <v>3.368</v>
      </c>
    </row>
    <row r="5626" ht="15.75" customHeight="1">
      <c r="B5626" s="370">
        <f t="shared" si="2"/>
        <v>0.6508101852</v>
      </c>
      <c r="C5626" s="56">
        <f t="shared" si="3"/>
        <v>56230</v>
      </c>
      <c r="D5626" s="56">
        <v>3.233</v>
      </c>
    </row>
    <row r="5627" ht="15.75" customHeight="1">
      <c r="B5627" s="370">
        <f t="shared" si="2"/>
        <v>0.6509259259</v>
      </c>
      <c r="C5627" s="56">
        <f t="shared" si="3"/>
        <v>56240</v>
      </c>
      <c r="D5627" s="56">
        <v>2.778</v>
      </c>
    </row>
    <row r="5628" ht="15.75" customHeight="1">
      <c r="B5628" s="370">
        <f t="shared" si="2"/>
        <v>0.6510416667</v>
      </c>
      <c r="C5628" s="56">
        <f t="shared" si="3"/>
        <v>56250</v>
      </c>
      <c r="D5628" s="56">
        <v>2.342</v>
      </c>
    </row>
    <row r="5629" ht="15.75" customHeight="1">
      <c r="B5629" s="370">
        <f t="shared" si="2"/>
        <v>0.6511574074</v>
      </c>
      <c r="C5629" s="56">
        <f t="shared" si="3"/>
        <v>56260</v>
      </c>
      <c r="D5629" s="56">
        <v>2.025</v>
      </c>
    </row>
    <row r="5630" ht="15.75" customHeight="1">
      <c r="B5630" s="370">
        <f t="shared" si="2"/>
        <v>0.6512731481</v>
      </c>
      <c r="C5630" s="56">
        <f t="shared" si="3"/>
        <v>56270</v>
      </c>
      <c r="D5630" s="56">
        <v>2.272</v>
      </c>
    </row>
    <row r="5631" ht="15.75" customHeight="1">
      <c r="B5631" s="370">
        <f t="shared" si="2"/>
        <v>0.6513888889</v>
      </c>
      <c r="C5631" s="56">
        <f t="shared" si="3"/>
        <v>56280</v>
      </c>
      <c r="D5631" s="56">
        <v>2.927</v>
      </c>
    </row>
    <row r="5632" ht="15.75" customHeight="1">
      <c r="B5632" s="370">
        <f t="shared" si="2"/>
        <v>0.6515046296</v>
      </c>
      <c r="C5632" s="56">
        <f t="shared" si="3"/>
        <v>56290</v>
      </c>
      <c r="D5632" s="56">
        <v>3.446</v>
      </c>
    </row>
    <row r="5633" ht="15.75" customHeight="1">
      <c r="B5633" s="370">
        <f t="shared" si="2"/>
        <v>0.6516203704</v>
      </c>
      <c r="C5633" s="56">
        <f t="shared" si="3"/>
        <v>56300</v>
      </c>
      <c r="D5633" s="56">
        <v>3.482</v>
      </c>
    </row>
    <row r="5634" ht="15.75" customHeight="1">
      <c r="B5634" s="370">
        <f t="shared" si="2"/>
        <v>0.6517361111</v>
      </c>
      <c r="C5634" s="56">
        <f t="shared" si="3"/>
        <v>56310</v>
      </c>
      <c r="D5634" s="56">
        <v>3.441</v>
      </c>
    </row>
    <row r="5635" ht="15.75" customHeight="1">
      <c r="B5635" s="370">
        <f t="shared" si="2"/>
        <v>0.6518518519</v>
      </c>
      <c r="C5635" s="56">
        <f t="shared" si="3"/>
        <v>56320</v>
      </c>
      <c r="D5635" s="56">
        <v>3.315</v>
      </c>
    </row>
    <row r="5636" ht="15.75" customHeight="1">
      <c r="B5636" s="370">
        <f t="shared" si="2"/>
        <v>0.6519675926</v>
      </c>
      <c r="C5636" s="56">
        <f t="shared" si="3"/>
        <v>56330</v>
      </c>
      <c r="D5636" s="56">
        <v>2.633</v>
      </c>
    </row>
    <row r="5637" ht="15.75" customHeight="1">
      <c r="B5637" s="370">
        <f t="shared" si="2"/>
        <v>0.6520833333</v>
      </c>
      <c r="C5637" s="56">
        <f t="shared" si="3"/>
        <v>56340</v>
      </c>
      <c r="D5637" s="56">
        <v>2.371</v>
      </c>
    </row>
    <row r="5638" ht="15.75" customHeight="1">
      <c r="B5638" s="370">
        <f t="shared" si="2"/>
        <v>0.6521990741</v>
      </c>
      <c r="C5638" s="56">
        <f t="shared" si="3"/>
        <v>56350</v>
      </c>
      <c r="D5638" s="56">
        <v>2.613</v>
      </c>
    </row>
    <row r="5639" ht="15.75" customHeight="1">
      <c r="B5639" s="370">
        <f t="shared" si="2"/>
        <v>0.6523148148</v>
      </c>
      <c r="C5639" s="56">
        <f t="shared" si="3"/>
        <v>56360</v>
      </c>
      <c r="D5639" s="56">
        <v>2.705</v>
      </c>
    </row>
    <row r="5640" ht="15.75" customHeight="1">
      <c r="B5640" s="370">
        <f t="shared" si="2"/>
        <v>0.6524305556</v>
      </c>
      <c r="C5640" s="56">
        <f t="shared" si="3"/>
        <v>56370</v>
      </c>
      <c r="D5640" s="56">
        <v>2.812</v>
      </c>
    </row>
    <row r="5641" ht="15.75" customHeight="1">
      <c r="B5641" s="370">
        <f t="shared" si="2"/>
        <v>0.6525462963</v>
      </c>
      <c r="C5641" s="56">
        <f t="shared" si="3"/>
        <v>56380</v>
      </c>
      <c r="D5641" s="56">
        <v>2.797</v>
      </c>
    </row>
    <row r="5642" ht="15.75" customHeight="1">
      <c r="B5642" s="370">
        <f t="shared" si="2"/>
        <v>0.652662037</v>
      </c>
      <c r="C5642" s="56">
        <f t="shared" si="3"/>
        <v>56390</v>
      </c>
      <c r="D5642" s="56">
        <v>2.692</v>
      </c>
    </row>
    <row r="5643" ht="15.75" customHeight="1">
      <c r="B5643" s="370">
        <f t="shared" si="2"/>
        <v>0.6527777778</v>
      </c>
      <c r="C5643" s="56">
        <f t="shared" si="3"/>
        <v>56400</v>
      </c>
      <c r="D5643" s="56">
        <v>3.052</v>
      </c>
    </row>
    <row r="5644" ht="15.75" customHeight="1">
      <c r="B5644" s="370">
        <f t="shared" si="2"/>
        <v>0.6528935185</v>
      </c>
      <c r="C5644" s="56">
        <f t="shared" si="3"/>
        <v>56410</v>
      </c>
      <c r="D5644" s="56">
        <v>3.096</v>
      </c>
    </row>
    <row r="5645" ht="15.75" customHeight="1">
      <c r="B5645" s="370">
        <f t="shared" si="2"/>
        <v>0.6530092593</v>
      </c>
      <c r="C5645" s="56">
        <f t="shared" si="3"/>
        <v>56420</v>
      </c>
      <c r="D5645" s="56">
        <v>3.251</v>
      </c>
    </row>
    <row r="5646" ht="15.75" customHeight="1">
      <c r="B5646" s="370">
        <f t="shared" si="2"/>
        <v>0.653125</v>
      </c>
      <c r="C5646" s="56">
        <f t="shared" si="3"/>
        <v>56430</v>
      </c>
      <c r="D5646" s="56">
        <v>3.198</v>
      </c>
    </row>
    <row r="5647" ht="15.75" customHeight="1">
      <c r="B5647" s="370">
        <f t="shared" si="2"/>
        <v>0.6532407407</v>
      </c>
      <c r="C5647" s="56">
        <f t="shared" si="3"/>
        <v>56440</v>
      </c>
      <c r="D5647" s="56">
        <v>2.842</v>
      </c>
    </row>
    <row r="5648" ht="15.75" customHeight="1">
      <c r="B5648" s="370">
        <f t="shared" si="2"/>
        <v>0.6533564815</v>
      </c>
      <c r="C5648" s="56">
        <f t="shared" si="3"/>
        <v>56450</v>
      </c>
      <c r="D5648" s="56">
        <v>2.529</v>
      </c>
    </row>
    <row r="5649" ht="15.75" customHeight="1">
      <c r="B5649" s="370">
        <f t="shared" si="2"/>
        <v>0.6534722222</v>
      </c>
      <c r="C5649" s="56">
        <f t="shared" si="3"/>
        <v>56460</v>
      </c>
      <c r="D5649" s="56">
        <v>2.208</v>
      </c>
    </row>
    <row r="5650" ht="15.75" customHeight="1">
      <c r="B5650" s="370">
        <f t="shared" si="2"/>
        <v>0.653587963</v>
      </c>
      <c r="C5650" s="56">
        <f t="shared" si="3"/>
        <v>56470</v>
      </c>
      <c r="D5650" s="56">
        <v>2.13</v>
      </c>
    </row>
    <row r="5651" ht="15.75" customHeight="1">
      <c r="B5651" s="370">
        <f t="shared" si="2"/>
        <v>0.6537037037</v>
      </c>
      <c r="C5651" s="56">
        <f t="shared" si="3"/>
        <v>56480</v>
      </c>
      <c r="D5651" s="56">
        <v>2.816</v>
      </c>
    </row>
    <row r="5652" ht="15.75" customHeight="1">
      <c r="B5652" s="370">
        <f t="shared" si="2"/>
        <v>0.6538194444</v>
      </c>
      <c r="C5652" s="56">
        <f t="shared" si="3"/>
        <v>56490</v>
      </c>
      <c r="D5652" s="56">
        <v>3.432</v>
      </c>
    </row>
    <row r="5653" ht="15.75" customHeight="1">
      <c r="B5653" s="370">
        <f t="shared" si="2"/>
        <v>0.6539351852</v>
      </c>
      <c r="C5653" s="56">
        <f t="shared" si="3"/>
        <v>56500</v>
      </c>
      <c r="D5653" s="56">
        <v>3.516</v>
      </c>
    </row>
    <row r="5654" ht="15.75" customHeight="1">
      <c r="B5654" s="370">
        <f t="shared" si="2"/>
        <v>0.6540509259</v>
      </c>
      <c r="C5654" s="56">
        <f t="shared" si="3"/>
        <v>56510</v>
      </c>
      <c r="D5654" s="56">
        <v>3.492</v>
      </c>
    </row>
    <row r="5655" ht="15.75" customHeight="1">
      <c r="B5655" s="370">
        <f t="shared" si="2"/>
        <v>0.6541666667</v>
      </c>
      <c r="C5655" s="56">
        <f t="shared" si="3"/>
        <v>56520</v>
      </c>
      <c r="D5655" s="56">
        <v>3.402</v>
      </c>
    </row>
    <row r="5656" ht="15.75" customHeight="1">
      <c r="B5656" s="370">
        <f t="shared" si="2"/>
        <v>0.6542824074</v>
      </c>
      <c r="C5656" s="56">
        <f t="shared" si="3"/>
        <v>56530</v>
      </c>
      <c r="D5656" s="56">
        <v>2.759</v>
      </c>
    </row>
    <row r="5657" ht="15.75" customHeight="1">
      <c r="B5657" s="370">
        <f t="shared" si="2"/>
        <v>0.6543981481</v>
      </c>
      <c r="C5657" s="56">
        <f t="shared" si="3"/>
        <v>56540</v>
      </c>
      <c r="D5657" s="56">
        <v>2.192</v>
      </c>
    </row>
    <row r="5658" ht="15.75" customHeight="1">
      <c r="B5658" s="370">
        <f t="shared" si="2"/>
        <v>0.6545138889</v>
      </c>
      <c r="C5658" s="56">
        <f t="shared" si="3"/>
        <v>56550</v>
      </c>
      <c r="D5658" s="56">
        <v>2.488</v>
      </c>
    </row>
    <row r="5659" ht="15.75" customHeight="1">
      <c r="B5659" s="370">
        <f t="shared" si="2"/>
        <v>0.6546296296</v>
      </c>
      <c r="C5659" s="56">
        <f t="shared" si="3"/>
        <v>56560</v>
      </c>
      <c r="D5659" s="56">
        <v>2.65</v>
      </c>
    </row>
    <row r="5660" ht="15.75" customHeight="1">
      <c r="B5660" s="370">
        <f t="shared" si="2"/>
        <v>0.6547453704</v>
      </c>
      <c r="C5660" s="56">
        <f t="shared" si="3"/>
        <v>56570</v>
      </c>
      <c r="D5660" s="56">
        <v>2.836</v>
      </c>
    </row>
    <row r="5661" ht="15.75" customHeight="1">
      <c r="B5661" s="370">
        <f t="shared" si="2"/>
        <v>0.6548611111</v>
      </c>
      <c r="C5661" s="56">
        <f t="shared" si="3"/>
        <v>56580</v>
      </c>
      <c r="D5661" s="56">
        <v>2.905</v>
      </c>
    </row>
    <row r="5662" ht="15.75" customHeight="1">
      <c r="B5662" s="370">
        <f t="shared" si="2"/>
        <v>0.6549768519</v>
      </c>
      <c r="C5662" s="56">
        <f t="shared" si="3"/>
        <v>56590</v>
      </c>
      <c r="D5662" s="56">
        <v>2.953</v>
      </c>
    </row>
    <row r="5663" ht="15.75" customHeight="1">
      <c r="B5663" s="370">
        <f t="shared" si="2"/>
        <v>0.6550925926</v>
      </c>
      <c r="C5663" s="56">
        <f t="shared" si="3"/>
        <v>56600</v>
      </c>
      <c r="D5663" s="56">
        <v>2.863</v>
      </c>
    </row>
    <row r="5664" ht="15.75" customHeight="1">
      <c r="B5664" s="370">
        <f t="shared" si="2"/>
        <v>0.6552083333</v>
      </c>
      <c r="C5664" s="56">
        <f t="shared" si="3"/>
        <v>56610</v>
      </c>
      <c r="D5664" s="56">
        <v>2.991</v>
      </c>
    </row>
    <row r="5665" ht="15.75" customHeight="1">
      <c r="B5665" s="370">
        <f t="shared" si="2"/>
        <v>0.6553240741</v>
      </c>
      <c r="C5665" s="56">
        <f t="shared" si="3"/>
        <v>56620</v>
      </c>
      <c r="D5665" s="56">
        <v>3.107</v>
      </c>
    </row>
    <row r="5666" ht="15.75" customHeight="1">
      <c r="B5666" s="370">
        <f t="shared" si="2"/>
        <v>0.6554398148</v>
      </c>
      <c r="C5666" s="56">
        <f t="shared" si="3"/>
        <v>56630</v>
      </c>
      <c r="D5666" s="56">
        <v>3.125</v>
      </c>
    </row>
    <row r="5667" ht="15.75" customHeight="1">
      <c r="B5667" s="370">
        <f t="shared" si="2"/>
        <v>0.6555555556</v>
      </c>
      <c r="C5667" s="56">
        <f t="shared" si="3"/>
        <v>56640</v>
      </c>
      <c r="D5667" s="56">
        <v>2.87</v>
      </c>
    </row>
    <row r="5668" ht="15.75" customHeight="1">
      <c r="B5668" s="370">
        <f t="shared" si="2"/>
        <v>0.6556712963</v>
      </c>
      <c r="C5668" s="56">
        <f t="shared" si="3"/>
        <v>56650</v>
      </c>
      <c r="D5668" s="56">
        <v>2.638</v>
      </c>
    </row>
    <row r="5669" ht="15.75" customHeight="1">
      <c r="B5669" s="370">
        <f t="shared" si="2"/>
        <v>0.655787037</v>
      </c>
      <c r="C5669" s="56">
        <f t="shared" si="3"/>
        <v>56660</v>
      </c>
      <c r="D5669" s="56">
        <v>2.383</v>
      </c>
    </row>
    <row r="5670" ht="15.75" customHeight="1">
      <c r="B5670" s="370">
        <f t="shared" si="2"/>
        <v>0.6559027778</v>
      </c>
      <c r="C5670" s="56">
        <f t="shared" si="3"/>
        <v>56670</v>
      </c>
      <c r="D5670" s="56">
        <v>2.014</v>
      </c>
    </row>
    <row r="5671" ht="15.75" customHeight="1">
      <c r="B5671" s="370">
        <f t="shared" si="2"/>
        <v>0.6560185185</v>
      </c>
      <c r="C5671" s="56">
        <f t="shared" si="3"/>
        <v>56680</v>
      </c>
      <c r="D5671" s="56">
        <v>2.67</v>
      </c>
    </row>
    <row r="5672" ht="15.75" customHeight="1">
      <c r="B5672" s="370">
        <f t="shared" si="2"/>
        <v>0.6561342593</v>
      </c>
      <c r="C5672" s="56">
        <f t="shared" si="3"/>
        <v>56690</v>
      </c>
      <c r="D5672" s="56">
        <v>3.384</v>
      </c>
    </row>
    <row r="5673" ht="15.75" customHeight="1">
      <c r="B5673" s="370">
        <f t="shared" si="2"/>
        <v>0.65625</v>
      </c>
      <c r="C5673" s="56">
        <f t="shared" si="3"/>
        <v>56700</v>
      </c>
      <c r="D5673" s="56">
        <v>3.52</v>
      </c>
    </row>
    <row r="5674" ht="15.75" customHeight="1">
      <c r="B5674" s="370">
        <f t="shared" si="2"/>
        <v>0.6563657407</v>
      </c>
      <c r="C5674" s="56">
        <f t="shared" si="3"/>
        <v>56710</v>
      </c>
      <c r="D5674" s="56">
        <v>3.513</v>
      </c>
    </row>
    <row r="5675" ht="15.75" customHeight="1">
      <c r="B5675" s="370">
        <f t="shared" si="2"/>
        <v>0.6564814815</v>
      </c>
      <c r="C5675" s="56">
        <f t="shared" si="3"/>
        <v>56720</v>
      </c>
      <c r="D5675" s="56">
        <v>3.471</v>
      </c>
    </row>
    <row r="5676" ht="15.75" customHeight="1">
      <c r="B5676" s="370">
        <f t="shared" si="2"/>
        <v>0.6565972222</v>
      </c>
      <c r="C5676" s="56">
        <f t="shared" si="3"/>
        <v>56730</v>
      </c>
      <c r="D5676" s="56">
        <v>2.969</v>
      </c>
    </row>
    <row r="5677" ht="15.75" customHeight="1">
      <c r="B5677" s="370">
        <f t="shared" si="2"/>
        <v>0.656712963</v>
      </c>
      <c r="C5677" s="56">
        <f t="shared" si="3"/>
        <v>56740</v>
      </c>
      <c r="D5677" s="56">
        <v>2.035</v>
      </c>
    </row>
    <row r="5678" ht="15.75" customHeight="1">
      <c r="B5678" s="370">
        <f t="shared" si="2"/>
        <v>0.6568287037</v>
      </c>
      <c r="C5678" s="56">
        <f t="shared" si="3"/>
        <v>56750</v>
      </c>
      <c r="D5678" s="56">
        <v>2.345</v>
      </c>
    </row>
    <row r="5679" ht="15.75" customHeight="1">
      <c r="B5679" s="370">
        <f t="shared" si="2"/>
        <v>0.6569444444</v>
      </c>
      <c r="C5679" s="56">
        <f t="shared" si="3"/>
        <v>56760</v>
      </c>
      <c r="D5679" s="56">
        <v>2.568</v>
      </c>
    </row>
    <row r="5680" ht="15.75" customHeight="1">
      <c r="B5680" s="370">
        <f t="shared" si="2"/>
        <v>0.6570601852</v>
      </c>
      <c r="C5680" s="56">
        <f t="shared" si="3"/>
        <v>56770</v>
      </c>
      <c r="D5680" s="56">
        <v>2.82</v>
      </c>
    </row>
    <row r="5681" ht="15.75" customHeight="1">
      <c r="B5681" s="370">
        <f t="shared" si="2"/>
        <v>0.6571759259</v>
      </c>
      <c r="C5681" s="56">
        <f t="shared" si="3"/>
        <v>56780</v>
      </c>
      <c r="D5681" s="56">
        <v>2.998</v>
      </c>
    </row>
    <row r="5682" ht="15.75" customHeight="1">
      <c r="B5682" s="370">
        <f t="shared" si="2"/>
        <v>0.6572916667</v>
      </c>
      <c r="C5682" s="56">
        <f t="shared" si="3"/>
        <v>56790</v>
      </c>
      <c r="D5682" s="56">
        <v>3.119</v>
      </c>
    </row>
    <row r="5683" ht="15.75" customHeight="1">
      <c r="B5683" s="370">
        <f t="shared" si="2"/>
        <v>0.6574074074</v>
      </c>
      <c r="C5683" s="56">
        <f t="shared" si="3"/>
        <v>56800</v>
      </c>
      <c r="D5683" s="56">
        <v>2.978</v>
      </c>
    </row>
    <row r="5684" ht="15.75" customHeight="1">
      <c r="B5684" s="370">
        <f t="shared" si="2"/>
        <v>0.6575231481</v>
      </c>
      <c r="C5684" s="56">
        <f t="shared" si="3"/>
        <v>56810</v>
      </c>
      <c r="D5684" s="56">
        <v>2.877</v>
      </c>
    </row>
    <row r="5685" ht="15.75" customHeight="1">
      <c r="B5685" s="370">
        <f t="shared" si="2"/>
        <v>0.6576388889</v>
      </c>
      <c r="C5685" s="56">
        <f t="shared" si="3"/>
        <v>56820</v>
      </c>
      <c r="D5685" s="56">
        <v>2.949</v>
      </c>
    </row>
    <row r="5686" ht="15.75" customHeight="1">
      <c r="B5686" s="370">
        <f t="shared" si="2"/>
        <v>0.6577546296</v>
      </c>
      <c r="C5686" s="56">
        <f t="shared" si="3"/>
        <v>56830</v>
      </c>
      <c r="D5686" s="56">
        <v>3.019</v>
      </c>
    </row>
    <row r="5687" ht="15.75" customHeight="1">
      <c r="B5687" s="370">
        <f t="shared" si="2"/>
        <v>0.6578703704</v>
      </c>
      <c r="C5687" s="56">
        <f t="shared" si="3"/>
        <v>56840</v>
      </c>
      <c r="D5687" s="56">
        <v>2.859</v>
      </c>
    </row>
    <row r="5688" ht="15.75" customHeight="1">
      <c r="B5688" s="370">
        <f t="shared" si="2"/>
        <v>0.6579861111</v>
      </c>
      <c r="C5688" s="56">
        <f t="shared" si="3"/>
        <v>56850</v>
      </c>
      <c r="D5688" s="56">
        <v>2.709</v>
      </c>
    </row>
    <row r="5689" ht="15.75" customHeight="1">
      <c r="B5689" s="370">
        <f t="shared" si="2"/>
        <v>0.6581018519</v>
      </c>
      <c r="C5689" s="56">
        <f t="shared" si="3"/>
        <v>56860</v>
      </c>
      <c r="D5689" s="56">
        <v>2.495</v>
      </c>
    </row>
    <row r="5690" ht="15.75" customHeight="1">
      <c r="B5690" s="370">
        <f t="shared" si="2"/>
        <v>0.6582175926</v>
      </c>
      <c r="C5690" s="56">
        <f t="shared" si="3"/>
        <v>56870</v>
      </c>
      <c r="D5690" s="56">
        <v>2.289</v>
      </c>
    </row>
    <row r="5691" ht="15.75" customHeight="1">
      <c r="B5691" s="370">
        <f t="shared" si="2"/>
        <v>0.6583333333</v>
      </c>
      <c r="C5691" s="56">
        <f t="shared" si="3"/>
        <v>56880</v>
      </c>
      <c r="D5691" s="56">
        <v>2.422</v>
      </c>
    </row>
    <row r="5692" ht="15.75" customHeight="1">
      <c r="B5692" s="370">
        <f t="shared" si="2"/>
        <v>0.6584490741</v>
      </c>
      <c r="C5692" s="56">
        <f t="shared" si="3"/>
        <v>56890</v>
      </c>
      <c r="D5692" s="56">
        <v>3.295</v>
      </c>
    </row>
    <row r="5693" ht="15.75" customHeight="1">
      <c r="B5693" s="370">
        <f t="shared" si="2"/>
        <v>0.6585648148</v>
      </c>
      <c r="C5693" s="56">
        <f t="shared" si="3"/>
        <v>56900</v>
      </c>
      <c r="D5693" s="56">
        <v>3.5</v>
      </c>
    </row>
    <row r="5694" ht="15.75" customHeight="1">
      <c r="B5694" s="370">
        <f t="shared" si="2"/>
        <v>0.6586805556</v>
      </c>
      <c r="C5694" s="56">
        <f t="shared" si="3"/>
        <v>56910</v>
      </c>
      <c r="D5694" s="56">
        <v>3.509</v>
      </c>
    </row>
    <row r="5695" ht="15.75" customHeight="1">
      <c r="B5695" s="370">
        <f t="shared" si="2"/>
        <v>0.6587962963</v>
      </c>
      <c r="C5695" s="56">
        <f t="shared" si="3"/>
        <v>56920</v>
      </c>
      <c r="D5695" s="56">
        <v>3.502</v>
      </c>
    </row>
    <row r="5696" ht="15.75" customHeight="1">
      <c r="B5696" s="370">
        <f t="shared" si="2"/>
        <v>0.658912037</v>
      </c>
      <c r="C5696" s="56">
        <f t="shared" si="3"/>
        <v>56930</v>
      </c>
      <c r="D5696" s="56">
        <v>3.089</v>
      </c>
    </row>
    <row r="5697" ht="15.75" customHeight="1">
      <c r="B5697" s="370">
        <f t="shared" si="2"/>
        <v>0.6590277778</v>
      </c>
      <c r="C5697" s="56">
        <f t="shared" si="3"/>
        <v>56940</v>
      </c>
      <c r="D5697" s="56">
        <v>2.291</v>
      </c>
    </row>
    <row r="5698" ht="15.75" customHeight="1">
      <c r="B5698" s="370">
        <f t="shared" si="2"/>
        <v>0.6591435185</v>
      </c>
      <c r="C5698" s="56">
        <f t="shared" si="3"/>
        <v>56950</v>
      </c>
      <c r="D5698" s="56">
        <v>2.14</v>
      </c>
    </row>
    <row r="5699" ht="15.75" customHeight="1">
      <c r="B5699" s="370">
        <f t="shared" si="2"/>
        <v>0.6592592593</v>
      </c>
      <c r="C5699" s="56">
        <f t="shared" si="3"/>
        <v>56960</v>
      </c>
      <c r="D5699" s="56">
        <v>2.446</v>
      </c>
    </row>
    <row r="5700" ht="15.75" customHeight="1">
      <c r="B5700" s="370">
        <f t="shared" si="2"/>
        <v>0.659375</v>
      </c>
      <c r="C5700" s="56">
        <f t="shared" si="3"/>
        <v>56970</v>
      </c>
      <c r="D5700" s="56">
        <v>2.77</v>
      </c>
    </row>
    <row r="5701" ht="15.75" customHeight="1">
      <c r="B5701" s="370">
        <f t="shared" si="2"/>
        <v>0.6594907407</v>
      </c>
      <c r="C5701" s="56">
        <f t="shared" si="3"/>
        <v>56980</v>
      </c>
      <c r="D5701" s="56">
        <v>3.045</v>
      </c>
    </row>
    <row r="5702" ht="15.75" customHeight="1">
      <c r="B5702" s="370">
        <f t="shared" si="2"/>
        <v>0.6596064815</v>
      </c>
      <c r="C5702" s="56">
        <f t="shared" si="3"/>
        <v>56990</v>
      </c>
      <c r="D5702" s="56">
        <v>3.241</v>
      </c>
    </row>
    <row r="5703" ht="15.75" customHeight="1">
      <c r="B5703" s="370">
        <f t="shared" si="2"/>
        <v>0.6597222222</v>
      </c>
      <c r="C5703" s="56">
        <f t="shared" si="3"/>
        <v>57000</v>
      </c>
      <c r="D5703" s="56">
        <v>3.08</v>
      </c>
    </row>
    <row r="5704" ht="15.75" customHeight="1">
      <c r="B5704" s="370">
        <f t="shared" si="2"/>
        <v>0.659837963</v>
      </c>
      <c r="C5704" s="56">
        <f t="shared" si="3"/>
        <v>57010</v>
      </c>
      <c r="D5704" s="56">
        <v>3.055</v>
      </c>
    </row>
    <row r="5705" ht="15.75" customHeight="1">
      <c r="B5705" s="370">
        <f t="shared" si="2"/>
        <v>0.6599537037</v>
      </c>
      <c r="C5705" s="56">
        <f t="shared" si="3"/>
        <v>57020</v>
      </c>
      <c r="D5705" s="56">
        <v>2.772</v>
      </c>
    </row>
    <row r="5706" ht="15.75" customHeight="1">
      <c r="B5706" s="370">
        <f t="shared" si="2"/>
        <v>0.6600694444</v>
      </c>
      <c r="C5706" s="56">
        <f t="shared" si="3"/>
        <v>57030</v>
      </c>
      <c r="D5706" s="56">
        <v>2.877</v>
      </c>
    </row>
    <row r="5707" ht="15.75" customHeight="1">
      <c r="B5707" s="370">
        <f t="shared" si="2"/>
        <v>0.6601851852</v>
      </c>
      <c r="C5707" s="56">
        <f t="shared" si="3"/>
        <v>57040</v>
      </c>
      <c r="D5707" s="56">
        <v>2.815</v>
      </c>
    </row>
    <row r="5708" ht="15.75" customHeight="1">
      <c r="B5708" s="370">
        <f t="shared" si="2"/>
        <v>0.6603009259</v>
      </c>
      <c r="C5708" s="56">
        <f t="shared" si="3"/>
        <v>57050</v>
      </c>
      <c r="D5708" s="56">
        <v>2.749</v>
      </c>
    </row>
    <row r="5709" ht="15.75" customHeight="1">
      <c r="B5709" s="370">
        <f t="shared" si="2"/>
        <v>0.6604166667</v>
      </c>
      <c r="C5709" s="56">
        <f t="shared" si="3"/>
        <v>57060</v>
      </c>
      <c r="D5709" s="56">
        <v>2.618</v>
      </c>
    </row>
    <row r="5710" ht="15.75" customHeight="1">
      <c r="B5710" s="370">
        <f t="shared" si="2"/>
        <v>0.6605324074</v>
      </c>
      <c r="C5710" s="56">
        <f t="shared" si="3"/>
        <v>57070</v>
      </c>
      <c r="D5710" s="56">
        <v>2.468</v>
      </c>
    </row>
    <row r="5711" ht="15.75" customHeight="1">
      <c r="B5711" s="370">
        <f t="shared" si="2"/>
        <v>0.6606481481</v>
      </c>
      <c r="C5711" s="56">
        <f t="shared" si="3"/>
        <v>57080</v>
      </c>
      <c r="D5711" s="56">
        <v>2.289</v>
      </c>
    </row>
    <row r="5712" ht="15.75" customHeight="1">
      <c r="B5712" s="370">
        <f t="shared" si="2"/>
        <v>0.6607638889</v>
      </c>
      <c r="C5712" s="56">
        <f t="shared" si="3"/>
        <v>57090</v>
      </c>
      <c r="D5712" s="56">
        <v>3.188</v>
      </c>
    </row>
    <row r="5713" ht="15.75" customHeight="1">
      <c r="B5713" s="370">
        <f t="shared" si="2"/>
        <v>0.6608796296</v>
      </c>
      <c r="C5713" s="56">
        <f t="shared" si="3"/>
        <v>57100</v>
      </c>
      <c r="D5713" s="56">
        <v>3.448</v>
      </c>
    </row>
    <row r="5714" ht="15.75" customHeight="1">
      <c r="B5714" s="370">
        <f t="shared" si="2"/>
        <v>0.6609953704</v>
      </c>
      <c r="C5714" s="56">
        <f t="shared" si="3"/>
        <v>57110</v>
      </c>
      <c r="D5714" s="56">
        <v>3.476</v>
      </c>
    </row>
    <row r="5715" ht="15.75" customHeight="1">
      <c r="B5715" s="370">
        <f t="shared" si="2"/>
        <v>0.6611111111</v>
      </c>
      <c r="C5715" s="56">
        <f t="shared" si="3"/>
        <v>57120</v>
      </c>
      <c r="D5715" s="56">
        <v>3.498</v>
      </c>
    </row>
    <row r="5716" ht="15.75" customHeight="1">
      <c r="B5716" s="370">
        <f t="shared" si="2"/>
        <v>0.6612268519</v>
      </c>
      <c r="C5716" s="56">
        <f t="shared" si="3"/>
        <v>57130</v>
      </c>
      <c r="D5716" s="56">
        <v>3.171</v>
      </c>
    </row>
    <row r="5717" ht="15.75" customHeight="1">
      <c r="B5717" s="370">
        <f t="shared" si="2"/>
        <v>0.6613425926</v>
      </c>
      <c r="C5717" s="56">
        <f t="shared" si="3"/>
        <v>57140</v>
      </c>
      <c r="D5717" s="56">
        <v>2.416</v>
      </c>
    </row>
    <row r="5718" ht="15.75" customHeight="1">
      <c r="B5718" s="370">
        <f t="shared" si="2"/>
        <v>0.6614583333</v>
      </c>
      <c r="C5718" s="56">
        <f t="shared" si="3"/>
        <v>57150</v>
      </c>
      <c r="D5718" s="56">
        <v>1.969</v>
      </c>
    </row>
    <row r="5719" ht="15.75" customHeight="1">
      <c r="B5719" s="370">
        <f t="shared" si="2"/>
        <v>0.6615740741</v>
      </c>
      <c r="C5719" s="56">
        <f t="shared" si="3"/>
        <v>57160</v>
      </c>
      <c r="D5719" s="56">
        <v>2.253</v>
      </c>
    </row>
    <row r="5720" ht="15.75" customHeight="1">
      <c r="B5720" s="370">
        <f t="shared" si="2"/>
        <v>0.6616898148</v>
      </c>
      <c r="C5720" s="56">
        <f t="shared" si="3"/>
        <v>57170</v>
      </c>
      <c r="D5720" s="56">
        <v>2.683</v>
      </c>
    </row>
    <row r="5721" ht="15.75" customHeight="1">
      <c r="B5721" s="370">
        <f t="shared" si="2"/>
        <v>0.6618055556</v>
      </c>
      <c r="C5721" s="56">
        <f t="shared" si="3"/>
        <v>57180</v>
      </c>
      <c r="D5721" s="56">
        <v>3.055</v>
      </c>
    </row>
    <row r="5722" ht="15.75" customHeight="1">
      <c r="B5722" s="370">
        <f t="shared" si="2"/>
        <v>0.6619212963</v>
      </c>
      <c r="C5722" s="56">
        <f t="shared" si="3"/>
        <v>57190</v>
      </c>
      <c r="D5722" s="56">
        <v>3.344</v>
      </c>
    </row>
    <row r="5723" ht="15.75" customHeight="1">
      <c r="B5723" s="370">
        <f t="shared" si="2"/>
        <v>0.662037037</v>
      </c>
      <c r="C5723" s="56">
        <f t="shared" si="3"/>
        <v>57200</v>
      </c>
      <c r="D5723" s="56">
        <v>3.268</v>
      </c>
    </row>
    <row r="5724" ht="15.75" customHeight="1">
      <c r="B5724" s="370">
        <f t="shared" si="2"/>
        <v>0.6621527778</v>
      </c>
      <c r="C5724" s="56">
        <f t="shared" si="3"/>
        <v>57210</v>
      </c>
      <c r="D5724" s="56">
        <v>3.196</v>
      </c>
    </row>
    <row r="5725" ht="15.75" customHeight="1">
      <c r="B5725" s="370">
        <f t="shared" si="2"/>
        <v>0.6622685185</v>
      </c>
      <c r="C5725" s="56">
        <f t="shared" si="3"/>
        <v>57220</v>
      </c>
      <c r="D5725" s="56">
        <v>2.952</v>
      </c>
    </row>
    <row r="5726" ht="15.75" customHeight="1">
      <c r="B5726" s="370">
        <f t="shared" si="2"/>
        <v>0.6623842593</v>
      </c>
      <c r="C5726" s="56">
        <f t="shared" si="3"/>
        <v>57230</v>
      </c>
      <c r="D5726" s="56">
        <v>2.687</v>
      </c>
    </row>
    <row r="5727" ht="15.75" customHeight="1">
      <c r="B5727" s="370">
        <f t="shared" si="2"/>
        <v>0.6625</v>
      </c>
      <c r="C5727" s="56">
        <f t="shared" si="3"/>
        <v>57240</v>
      </c>
      <c r="D5727" s="56">
        <v>2.734</v>
      </c>
    </row>
    <row r="5728" ht="15.75" customHeight="1">
      <c r="B5728" s="370">
        <f t="shared" si="2"/>
        <v>0.6626157407</v>
      </c>
      <c r="C5728" s="56">
        <f t="shared" si="3"/>
        <v>57250</v>
      </c>
      <c r="D5728" s="56">
        <v>2.753</v>
      </c>
    </row>
    <row r="5729" ht="15.75" customHeight="1">
      <c r="B5729" s="370">
        <f t="shared" si="2"/>
        <v>0.6627314815</v>
      </c>
      <c r="C5729" s="56">
        <f t="shared" si="3"/>
        <v>57260</v>
      </c>
      <c r="D5729" s="56">
        <v>2.686</v>
      </c>
    </row>
    <row r="5730" ht="15.75" customHeight="1">
      <c r="B5730" s="370">
        <f t="shared" si="2"/>
        <v>0.6628472222</v>
      </c>
      <c r="C5730" s="56">
        <f t="shared" si="3"/>
        <v>57270</v>
      </c>
      <c r="D5730" s="56">
        <v>2.607</v>
      </c>
    </row>
    <row r="5731" ht="15.75" customHeight="1">
      <c r="B5731" s="370">
        <f t="shared" si="2"/>
        <v>0.662962963</v>
      </c>
      <c r="C5731" s="56">
        <f t="shared" si="3"/>
        <v>57280</v>
      </c>
      <c r="D5731" s="56">
        <v>2.284</v>
      </c>
    </row>
    <row r="5732" ht="15.75" customHeight="1">
      <c r="B5732" s="370">
        <f t="shared" si="2"/>
        <v>0.6630787037</v>
      </c>
      <c r="C5732" s="56">
        <f t="shared" si="3"/>
        <v>57290</v>
      </c>
      <c r="D5732" s="56">
        <v>3.037</v>
      </c>
    </row>
    <row r="5733" ht="15.75" customHeight="1">
      <c r="B5733" s="370">
        <f t="shared" si="2"/>
        <v>0.6631944444</v>
      </c>
      <c r="C5733" s="56">
        <f t="shared" si="3"/>
        <v>57300</v>
      </c>
      <c r="D5733" s="56">
        <v>3.37</v>
      </c>
    </row>
    <row r="5734" ht="15.75" customHeight="1">
      <c r="B5734" s="370">
        <f t="shared" si="2"/>
        <v>0.6633101852</v>
      </c>
      <c r="C5734" s="56">
        <f t="shared" si="3"/>
        <v>57310</v>
      </c>
      <c r="D5734" s="56">
        <v>3.408</v>
      </c>
    </row>
    <row r="5735" ht="15.75" customHeight="1">
      <c r="B5735" s="370">
        <f t="shared" si="2"/>
        <v>0.6634259259</v>
      </c>
      <c r="C5735" s="56">
        <f t="shared" si="3"/>
        <v>57320</v>
      </c>
      <c r="D5735" s="56">
        <v>3.469</v>
      </c>
    </row>
    <row r="5736" ht="15.75" customHeight="1">
      <c r="B5736" s="370">
        <f t="shared" si="2"/>
        <v>0.6635416667</v>
      </c>
      <c r="C5736" s="56">
        <f t="shared" si="3"/>
        <v>57330</v>
      </c>
      <c r="D5736" s="56">
        <v>3.225</v>
      </c>
    </row>
    <row r="5737" ht="15.75" customHeight="1">
      <c r="B5737" s="370">
        <f t="shared" si="2"/>
        <v>0.6636574074</v>
      </c>
      <c r="C5737" s="56">
        <f t="shared" si="3"/>
        <v>57340</v>
      </c>
      <c r="D5737" s="56">
        <v>2.621</v>
      </c>
    </row>
    <row r="5738" ht="15.75" customHeight="1">
      <c r="B5738" s="370">
        <f t="shared" si="2"/>
        <v>0.6637731481</v>
      </c>
      <c r="C5738" s="56">
        <f t="shared" si="3"/>
        <v>57350</v>
      </c>
      <c r="D5738" s="56">
        <v>2.1</v>
      </c>
    </row>
    <row r="5739" ht="15.75" customHeight="1">
      <c r="B5739" s="370">
        <f t="shared" si="2"/>
        <v>0.6638888889</v>
      </c>
      <c r="C5739" s="56">
        <f t="shared" si="3"/>
        <v>57360</v>
      </c>
      <c r="D5739" s="56">
        <v>2.11</v>
      </c>
    </row>
    <row r="5740" ht="15.75" customHeight="1">
      <c r="B5740" s="370">
        <f t="shared" si="2"/>
        <v>0.6640046296</v>
      </c>
      <c r="C5740" s="56">
        <f t="shared" si="3"/>
        <v>57370</v>
      </c>
      <c r="D5740" s="56">
        <v>2.566</v>
      </c>
    </row>
    <row r="5741" ht="15.75" customHeight="1">
      <c r="B5741" s="370">
        <f t="shared" si="2"/>
        <v>0.6641203704</v>
      </c>
      <c r="C5741" s="56">
        <f t="shared" si="3"/>
        <v>57380</v>
      </c>
      <c r="D5741" s="56">
        <v>3.032</v>
      </c>
    </row>
    <row r="5742" ht="15.75" customHeight="1">
      <c r="B5742" s="370">
        <f t="shared" si="2"/>
        <v>0.6642361111</v>
      </c>
      <c r="C5742" s="56">
        <f t="shared" si="3"/>
        <v>57390</v>
      </c>
      <c r="D5742" s="56">
        <v>3.414</v>
      </c>
    </row>
    <row r="5743" ht="15.75" customHeight="1">
      <c r="B5743" s="370">
        <f t="shared" si="2"/>
        <v>0.6643518519</v>
      </c>
      <c r="C5743" s="56">
        <f t="shared" si="3"/>
        <v>57400</v>
      </c>
      <c r="D5743" s="56">
        <v>3.377</v>
      </c>
    </row>
    <row r="5744" ht="15.75" customHeight="1">
      <c r="B5744" s="370">
        <f t="shared" si="2"/>
        <v>0.6644675926</v>
      </c>
      <c r="C5744" s="56">
        <f t="shared" si="3"/>
        <v>57410</v>
      </c>
      <c r="D5744" s="56">
        <v>3.313</v>
      </c>
    </row>
    <row r="5745" ht="15.75" customHeight="1">
      <c r="B5745" s="370">
        <f t="shared" si="2"/>
        <v>0.6645833333</v>
      </c>
      <c r="C5745" s="56">
        <f t="shared" si="3"/>
        <v>57420</v>
      </c>
      <c r="D5745" s="56">
        <v>3.067</v>
      </c>
    </row>
    <row r="5746" ht="15.75" customHeight="1">
      <c r="B5746" s="370">
        <f t="shared" si="2"/>
        <v>0.6646990741</v>
      </c>
      <c r="C5746" s="56">
        <f t="shared" si="3"/>
        <v>57430</v>
      </c>
      <c r="D5746" s="56">
        <v>2.509</v>
      </c>
    </row>
    <row r="5747" ht="15.75" customHeight="1">
      <c r="B5747" s="370">
        <f t="shared" si="2"/>
        <v>0.6648148148</v>
      </c>
      <c r="C5747" s="56">
        <f t="shared" si="3"/>
        <v>57440</v>
      </c>
      <c r="D5747" s="56">
        <v>2.609</v>
      </c>
    </row>
    <row r="5748" ht="15.75" customHeight="1">
      <c r="B5748" s="370">
        <f t="shared" si="2"/>
        <v>0.6649305556</v>
      </c>
      <c r="C5748" s="56">
        <f t="shared" si="3"/>
        <v>57450</v>
      </c>
      <c r="D5748" s="56">
        <v>2.719</v>
      </c>
    </row>
    <row r="5749" ht="15.75" customHeight="1">
      <c r="B5749" s="370">
        <f t="shared" si="2"/>
        <v>0.6650462963</v>
      </c>
      <c r="C5749" s="56">
        <f t="shared" si="3"/>
        <v>57460</v>
      </c>
      <c r="D5749" s="56">
        <v>2.718</v>
      </c>
    </row>
    <row r="5750" ht="15.75" customHeight="1">
      <c r="B5750" s="370">
        <f t="shared" si="2"/>
        <v>0.665162037</v>
      </c>
      <c r="C5750" s="56">
        <f t="shared" si="3"/>
        <v>57470</v>
      </c>
      <c r="D5750" s="56">
        <v>2.712</v>
      </c>
    </row>
    <row r="5751" ht="15.75" customHeight="1">
      <c r="B5751" s="370">
        <f t="shared" si="2"/>
        <v>0.6652777778</v>
      </c>
      <c r="C5751" s="56">
        <f t="shared" si="3"/>
        <v>57480</v>
      </c>
      <c r="D5751" s="56">
        <v>2.568</v>
      </c>
    </row>
    <row r="5752" ht="15.75" customHeight="1">
      <c r="B5752" s="370">
        <f t="shared" si="2"/>
        <v>0.6653935185</v>
      </c>
      <c r="C5752" s="56">
        <f t="shared" si="3"/>
        <v>57490</v>
      </c>
      <c r="D5752" s="56">
        <v>2.793</v>
      </c>
    </row>
    <row r="5753" ht="15.75" customHeight="1">
      <c r="B5753" s="370">
        <f t="shared" si="2"/>
        <v>0.6655092593</v>
      </c>
      <c r="C5753" s="56">
        <f t="shared" si="3"/>
        <v>57500</v>
      </c>
      <c r="D5753" s="56">
        <v>3.255</v>
      </c>
    </row>
    <row r="5754" ht="15.75" customHeight="1">
      <c r="B5754" s="370">
        <f t="shared" si="2"/>
        <v>0.665625</v>
      </c>
      <c r="C5754" s="56">
        <f t="shared" si="3"/>
        <v>57510</v>
      </c>
      <c r="D5754" s="56">
        <v>3.323</v>
      </c>
    </row>
    <row r="5755" ht="15.75" customHeight="1">
      <c r="B5755" s="370">
        <f t="shared" si="2"/>
        <v>0.6657407407</v>
      </c>
      <c r="C5755" s="56">
        <f t="shared" si="3"/>
        <v>57520</v>
      </c>
      <c r="D5755" s="56">
        <v>3.405</v>
      </c>
    </row>
    <row r="5756" ht="15.75" customHeight="1">
      <c r="B5756" s="370">
        <f t="shared" si="2"/>
        <v>0.6658564815</v>
      </c>
      <c r="C5756" s="56">
        <f t="shared" si="3"/>
        <v>57530</v>
      </c>
      <c r="D5756" s="56">
        <v>3.24</v>
      </c>
    </row>
    <row r="5757" ht="15.75" customHeight="1">
      <c r="B5757" s="370">
        <f t="shared" si="2"/>
        <v>0.6659722222</v>
      </c>
      <c r="C5757" s="56">
        <f t="shared" si="3"/>
        <v>57540</v>
      </c>
      <c r="D5757" s="56">
        <v>2.521</v>
      </c>
    </row>
    <row r="5758" ht="15.75" customHeight="1">
      <c r="B5758" s="370">
        <f t="shared" si="2"/>
        <v>0.666087963</v>
      </c>
      <c r="C5758" s="56">
        <f t="shared" si="3"/>
        <v>57550</v>
      </c>
      <c r="D5758" s="56">
        <v>0.0</v>
      </c>
    </row>
    <row r="5759" ht="15.75" customHeight="1">
      <c r="B5759" s="370">
        <f t="shared" si="2"/>
        <v>0.6662037037</v>
      </c>
      <c r="C5759" s="56">
        <f t="shared" si="3"/>
        <v>57560</v>
      </c>
      <c r="D5759" s="56">
        <v>0.0</v>
      </c>
    </row>
    <row r="5760" ht="15.75" customHeight="1">
      <c r="B5760" s="370">
        <f t="shared" si="2"/>
        <v>0.6663194444</v>
      </c>
      <c r="C5760" s="56">
        <f t="shared" si="3"/>
        <v>57570</v>
      </c>
      <c r="D5760" s="56">
        <v>0.0</v>
      </c>
    </row>
    <row r="5761" ht="15.75" customHeight="1">
      <c r="B5761" s="370">
        <f t="shared" si="2"/>
        <v>0.6664351852</v>
      </c>
      <c r="C5761" s="56">
        <f t="shared" si="3"/>
        <v>57580</v>
      </c>
      <c r="D5761" s="56">
        <v>0.0</v>
      </c>
    </row>
    <row r="5762" ht="15.75" customHeight="1">
      <c r="B5762" s="370">
        <f t="shared" si="2"/>
        <v>0.6665509259</v>
      </c>
      <c r="C5762" s="56">
        <f t="shared" si="3"/>
        <v>57590</v>
      </c>
      <c r="D5762" s="56">
        <v>0.0</v>
      </c>
    </row>
    <row r="5763" ht="15.75" customHeight="1">
      <c r="B5763" s="370">
        <f t="shared" si="2"/>
        <v>0.6666666667</v>
      </c>
      <c r="C5763" s="56">
        <f t="shared" si="3"/>
        <v>57600</v>
      </c>
      <c r="D5763" s="56">
        <v>0.0</v>
      </c>
    </row>
    <row r="5764" ht="15.75" customHeight="1">
      <c r="B5764" s="370">
        <f t="shared" si="2"/>
        <v>0.6667824074</v>
      </c>
      <c r="C5764" s="56">
        <f t="shared" si="3"/>
        <v>57610</v>
      </c>
      <c r="D5764" s="56">
        <v>0.0</v>
      </c>
    </row>
    <row r="5765" ht="15.75" customHeight="1">
      <c r="B5765" s="370">
        <f t="shared" si="2"/>
        <v>0.6668981481</v>
      </c>
      <c r="C5765" s="56">
        <f t="shared" si="3"/>
        <v>57620</v>
      </c>
      <c r="D5765" s="56">
        <v>0.0</v>
      </c>
    </row>
    <row r="5766" ht="15.75" customHeight="1">
      <c r="B5766" s="370">
        <f t="shared" si="2"/>
        <v>0.6670138889</v>
      </c>
      <c r="C5766" s="56">
        <f t="shared" si="3"/>
        <v>57630</v>
      </c>
      <c r="D5766" s="56">
        <v>0.0</v>
      </c>
    </row>
    <row r="5767" ht="15.75" customHeight="1">
      <c r="B5767" s="370">
        <f t="shared" si="2"/>
        <v>0.6671296296</v>
      </c>
      <c r="C5767" s="56">
        <f t="shared" si="3"/>
        <v>57640</v>
      </c>
      <c r="D5767" s="56">
        <v>0.0</v>
      </c>
    </row>
    <row r="5768" ht="15.75" customHeight="1">
      <c r="B5768" s="370">
        <f t="shared" si="2"/>
        <v>0.6672453704</v>
      </c>
      <c r="C5768" s="56">
        <f t="shared" si="3"/>
        <v>57650</v>
      </c>
      <c r="D5768" s="56">
        <v>0.0</v>
      </c>
    </row>
    <row r="5769" ht="15.75" customHeight="1">
      <c r="B5769" s="370">
        <f t="shared" si="2"/>
        <v>0.6673611111</v>
      </c>
      <c r="C5769" s="56">
        <f t="shared" si="3"/>
        <v>57660</v>
      </c>
      <c r="D5769" s="56">
        <v>0.0</v>
      </c>
    </row>
    <row r="5770" ht="15.75" customHeight="1">
      <c r="B5770" s="370">
        <f t="shared" si="2"/>
        <v>0.6674768519</v>
      </c>
      <c r="C5770" s="56">
        <f t="shared" si="3"/>
        <v>57670</v>
      </c>
      <c r="D5770" s="56">
        <v>0.0</v>
      </c>
    </row>
    <row r="5771" ht="15.75" customHeight="1">
      <c r="B5771" s="370">
        <f t="shared" si="2"/>
        <v>0.6675925926</v>
      </c>
      <c r="C5771" s="56">
        <f t="shared" si="3"/>
        <v>57680</v>
      </c>
      <c r="D5771" s="56">
        <v>0.0</v>
      </c>
    </row>
    <row r="5772" ht="15.75" customHeight="1">
      <c r="B5772" s="370">
        <f t="shared" si="2"/>
        <v>0.6677083333</v>
      </c>
      <c r="C5772" s="56">
        <f t="shared" si="3"/>
        <v>57690</v>
      </c>
      <c r="D5772" s="56">
        <v>0.0</v>
      </c>
    </row>
    <row r="5773" ht="15.75" customHeight="1">
      <c r="B5773" s="370">
        <f t="shared" si="2"/>
        <v>0.6678240741</v>
      </c>
      <c r="C5773" s="56">
        <f t="shared" si="3"/>
        <v>57700</v>
      </c>
      <c r="D5773" s="56">
        <v>0.0</v>
      </c>
    </row>
    <row r="5774" ht="15.75" customHeight="1">
      <c r="B5774" s="370">
        <f t="shared" si="2"/>
        <v>0.6679398148</v>
      </c>
      <c r="C5774" s="56">
        <f t="shared" si="3"/>
        <v>57710</v>
      </c>
      <c r="D5774" s="56">
        <v>0.0</v>
      </c>
    </row>
    <row r="5775" ht="15.75" customHeight="1">
      <c r="B5775" s="370">
        <f t="shared" si="2"/>
        <v>0.6680555556</v>
      </c>
      <c r="C5775" s="56">
        <f t="shared" si="3"/>
        <v>57720</v>
      </c>
      <c r="D5775" s="56">
        <v>0.0</v>
      </c>
    </row>
    <row r="5776" ht="15.75" customHeight="1">
      <c r="B5776" s="370">
        <f t="shared" si="2"/>
        <v>0.6681712963</v>
      </c>
      <c r="C5776" s="56">
        <f t="shared" si="3"/>
        <v>57730</v>
      </c>
      <c r="D5776" s="56">
        <v>0.0</v>
      </c>
    </row>
    <row r="5777" ht="15.75" customHeight="1">
      <c r="B5777" s="370">
        <f t="shared" si="2"/>
        <v>0.668287037</v>
      </c>
      <c r="C5777" s="56">
        <f t="shared" si="3"/>
        <v>57740</v>
      </c>
      <c r="D5777" s="56">
        <v>0.0</v>
      </c>
    </row>
    <row r="5778" ht="15.75" customHeight="1">
      <c r="B5778" s="370">
        <f t="shared" si="2"/>
        <v>0.6684027778</v>
      </c>
      <c r="C5778" s="56">
        <f t="shared" si="3"/>
        <v>57750</v>
      </c>
      <c r="D5778" s="56">
        <v>0.0</v>
      </c>
    </row>
    <row r="5779" ht="15.75" customHeight="1">
      <c r="B5779" s="370">
        <f t="shared" si="2"/>
        <v>0.6685185185</v>
      </c>
      <c r="C5779" s="56">
        <f t="shared" si="3"/>
        <v>57760</v>
      </c>
      <c r="D5779" s="56">
        <v>0.0</v>
      </c>
    </row>
    <row r="5780" ht="15.75" customHeight="1">
      <c r="B5780" s="370">
        <f t="shared" si="2"/>
        <v>0.6686342593</v>
      </c>
      <c r="C5780" s="56">
        <f t="shared" si="3"/>
        <v>57770</v>
      </c>
      <c r="D5780" s="56">
        <v>0.0</v>
      </c>
    </row>
    <row r="5781" ht="15.75" customHeight="1">
      <c r="B5781" s="370">
        <f t="shared" si="2"/>
        <v>0.66875</v>
      </c>
      <c r="C5781" s="56">
        <f t="shared" si="3"/>
        <v>57780</v>
      </c>
      <c r="D5781" s="56">
        <v>0.0</v>
      </c>
    </row>
    <row r="5782" ht="15.75" customHeight="1">
      <c r="B5782" s="370">
        <f t="shared" si="2"/>
        <v>0.6688657407</v>
      </c>
      <c r="C5782" s="56">
        <f t="shared" si="3"/>
        <v>57790</v>
      </c>
      <c r="D5782" s="56">
        <v>0.0</v>
      </c>
    </row>
    <row r="5783" ht="15.75" customHeight="1">
      <c r="B5783" s="370">
        <f t="shared" si="2"/>
        <v>0.6689814815</v>
      </c>
      <c r="C5783" s="56">
        <f t="shared" si="3"/>
        <v>57800</v>
      </c>
      <c r="D5783" s="56">
        <v>0.0</v>
      </c>
    </row>
    <row r="5784" ht="15.75" customHeight="1">
      <c r="B5784" s="370">
        <f t="shared" si="2"/>
        <v>0.6690972222</v>
      </c>
      <c r="C5784" s="56">
        <f t="shared" si="3"/>
        <v>57810</v>
      </c>
      <c r="D5784" s="56">
        <v>0.0</v>
      </c>
    </row>
    <row r="5785" ht="15.75" customHeight="1">
      <c r="B5785" s="370">
        <f t="shared" si="2"/>
        <v>0.669212963</v>
      </c>
      <c r="C5785" s="56">
        <f t="shared" si="3"/>
        <v>57820</v>
      </c>
      <c r="D5785" s="56">
        <v>0.0</v>
      </c>
    </row>
    <row r="5786" ht="15.75" customHeight="1">
      <c r="B5786" s="370">
        <f t="shared" si="2"/>
        <v>0.6693287037</v>
      </c>
      <c r="C5786" s="56">
        <f t="shared" si="3"/>
        <v>57830</v>
      </c>
      <c r="D5786" s="56">
        <v>0.0</v>
      </c>
    </row>
    <row r="5787" ht="15.75" customHeight="1">
      <c r="B5787" s="370">
        <f t="shared" si="2"/>
        <v>0.6694444444</v>
      </c>
      <c r="C5787" s="56">
        <f t="shared" si="3"/>
        <v>57840</v>
      </c>
      <c r="D5787" s="56">
        <v>0.0</v>
      </c>
    </row>
    <row r="5788" ht="15.75" customHeight="1">
      <c r="B5788" s="370">
        <f t="shared" si="2"/>
        <v>0.6695601852</v>
      </c>
      <c r="C5788" s="56">
        <f t="shared" si="3"/>
        <v>57850</v>
      </c>
      <c r="D5788" s="56">
        <v>0.0</v>
      </c>
    </row>
    <row r="5789" ht="15.75" customHeight="1">
      <c r="B5789" s="370">
        <f t="shared" si="2"/>
        <v>0.6696759259</v>
      </c>
      <c r="C5789" s="56">
        <f t="shared" si="3"/>
        <v>57860</v>
      </c>
      <c r="D5789" s="56">
        <v>0.0</v>
      </c>
    </row>
    <row r="5790" ht="15.75" customHeight="1">
      <c r="B5790" s="370">
        <f t="shared" si="2"/>
        <v>0.6697916667</v>
      </c>
      <c r="C5790" s="56">
        <f t="shared" si="3"/>
        <v>57870</v>
      </c>
      <c r="D5790" s="56">
        <v>0.0</v>
      </c>
    </row>
    <row r="5791" ht="15.75" customHeight="1">
      <c r="B5791" s="370">
        <f t="shared" si="2"/>
        <v>0.6699074074</v>
      </c>
      <c r="C5791" s="56">
        <f t="shared" si="3"/>
        <v>57880</v>
      </c>
      <c r="D5791" s="56">
        <v>0.0</v>
      </c>
    </row>
    <row r="5792" ht="15.75" customHeight="1">
      <c r="B5792" s="370">
        <f t="shared" si="2"/>
        <v>0.6700231481</v>
      </c>
      <c r="C5792" s="56">
        <f t="shared" si="3"/>
        <v>57890</v>
      </c>
      <c r="D5792" s="56">
        <v>0.0</v>
      </c>
    </row>
    <row r="5793" ht="15.75" customHeight="1">
      <c r="B5793" s="370">
        <f t="shared" si="2"/>
        <v>0.6701388889</v>
      </c>
      <c r="C5793" s="56">
        <f t="shared" si="3"/>
        <v>57900</v>
      </c>
      <c r="D5793" s="56">
        <v>0.0</v>
      </c>
    </row>
    <row r="5794" ht="15.75" customHeight="1">
      <c r="B5794" s="370">
        <f t="shared" si="2"/>
        <v>0.6702546296</v>
      </c>
      <c r="C5794" s="56">
        <f t="shared" si="3"/>
        <v>57910</v>
      </c>
      <c r="D5794" s="56">
        <v>0.0</v>
      </c>
    </row>
    <row r="5795" ht="15.75" customHeight="1">
      <c r="B5795" s="370">
        <f t="shared" si="2"/>
        <v>0.6703703704</v>
      </c>
      <c r="C5795" s="56">
        <f t="shared" si="3"/>
        <v>57920</v>
      </c>
      <c r="D5795" s="56">
        <v>0.0</v>
      </c>
    </row>
    <row r="5796" ht="15.75" customHeight="1">
      <c r="B5796" s="370">
        <f t="shared" si="2"/>
        <v>0.6704861111</v>
      </c>
      <c r="C5796" s="56">
        <f t="shared" si="3"/>
        <v>57930</v>
      </c>
      <c r="D5796" s="56">
        <v>0.0</v>
      </c>
    </row>
    <row r="5797" ht="15.75" customHeight="1">
      <c r="B5797" s="370">
        <f t="shared" si="2"/>
        <v>0.6706018519</v>
      </c>
      <c r="C5797" s="56">
        <f t="shared" si="3"/>
        <v>57940</v>
      </c>
      <c r="D5797" s="56">
        <v>0.0</v>
      </c>
    </row>
    <row r="5798" ht="15.75" customHeight="1">
      <c r="B5798" s="370">
        <f t="shared" si="2"/>
        <v>0.6707175926</v>
      </c>
      <c r="C5798" s="56">
        <f t="shared" si="3"/>
        <v>57950</v>
      </c>
      <c r="D5798" s="56">
        <v>0.0</v>
      </c>
    </row>
    <row r="5799" ht="15.75" customHeight="1">
      <c r="B5799" s="370">
        <f t="shared" si="2"/>
        <v>0.6708333333</v>
      </c>
      <c r="C5799" s="56">
        <f t="shared" si="3"/>
        <v>57960</v>
      </c>
      <c r="D5799" s="56">
        <v>0.0</v>
      </c>
    </row>
    <row r="5800" ht="15.75" customHeight="1">
      <c r="B5800" s="370">
        <f t="shared" si="2"/>
        <v>0.6709490741</v>
      </c>
      <c r="C5800" s="56">
        <f t="shared" si="3"/>
        <v>57970</v>
      </c>
      <c r="D5800" s="56">
        <v>0.0</v>
      </c>
    </row>
    <row r="5801" ht="15.75" customHeight="1">
      <c r="B5801" s="370">
        <f t="shared" si="2"/>
        <v>0.6710648148</v>
      </c>
      <c r="C5801" s="56">
        <f t="shared" si="3"/>
        <v>57980</v>
      </c>
      <c r="D5801" s="56">
        <v>0.0</v>
      </c>
    </row>
    <row r="5802" ht="15.75" customHeight="1">
      <c r="B5802" s="370">
        <f t="shared" si="2"/>
        <v>0.6711805556</v>
      </c>
      <c r="C5802" s="56">
        <f t="shared" si="3"/>
        <v>57990</v>
      </c>
      <c r="D5802" s="56">
        <v>0.0</v>
      </c>
    </row>
    <row r="5803" ht="15.75" customHeight="1">
      <c r="B5803" s="370">
        <f t="shared" si="2"/>
        <v>0.6712962963</v>
      </c>
      <c r="C5803" s="56">
        <f t="shared" si="3"/>
        <v>58000</v>
      </c>
      <c r="D5803" s="56">
        <v>0.0</v>
      </c>
    </row>
    <row r="5804" ht="15.75" customHeight="1">
      <c r="B5804" s="370">
        <f t="shared" si="2"/>
        <v>0.671412037</v>
      </c>
      <c r="C5804" s="56">
        <f t="shared" si="3"/>
        <v>58010</v>
      </c>
      <c r="D5804" s="56">
        <v>0.0</v>
      </c>
    </row>
    <row r="5805" ht="15.75" customHeight="1">
      <c r="B5805" s="370">
        <f t="shared" si="2"/>
        <v>0.6715277778</v>
      </c>
      <c r="C5805" s="56">
        <f t="shared" si="3"/>
        <v>58020</v>
      </c>
      <c r="D5805" s="56">
        <v>0.0</v>
      </c>
    </row>
    <row r="5806" ht="15.75" customHeight="1">
      <c r="B5806" s="370">
        <f t="shared" si="2"/>
        <v>0.6716435185</v>
      </c>
      <c r="C5806" s="56">
        <f t="shared" si="3"/>
        <v>58030</v>
      </c>
      <c r="D5806" s="56">
        <v>0.0</v>
      </c>
    </row>
    <row r="5807" ht="15.75" customHeight="1">
      <c r="B5807" s="370">
        <f t="shared" si="2"/>
        <v>0.6717592593</v>
      </c>
      <c r="C5807" s="56">
        <f t="shared" si="3"/>
        <v>58040</v>
      </c>
      <c r="D5807" s="56">
        <v>0.0</v>
      </c>
    </row>
    <row r="5808" ht="15.75" customHeight="1">
      <c r="B5808" s="370">
        <f t="shared" si="2"/>
        <v>0.671875</v>
      </c>
      <c r="C5808" s="56">
        <f t="shared" si="3"/>
        <v>58050</v>
      </c>
      <c r="D5808" s="56">
        <v>0.0</v>
      </c>
    </row>
    <row r="5809" ht="15.75" customHeight="1">
      <c r="B5809" s="370">
        <f t="shared" si="2"/>
        <v>0.6719907407</v>
      </c>
      <c r="C5809" s="56">
        <f t="shared" si="3"/>
        <v>58060</v>
      </c>
      <c r="D5809" s="56">
        <v>0.0</v>
      </c>
    </row>
    <row r="5810" ht="15.75" customHeight="1">
      <c r="B5810" s="370">
        <f t="shared" si="2"/>
        <v>0.6721064815</v>
      </c>
      <c r="C5810" s="56">
        <f t="shared" si="3"/>
        <v>58070</v>
      </c>
      <c r="D5810" s="56">
        <v>0.0</v>
      </c>
    </row>
    <row r="5811" ht="15.75" customHeight="1">
      <c r="B5811" s="370">
        <f t="shared" si="2"/>
        <v>0.6722222222</v>
      </c>
      <c r="C5811" s="56">
        <f t="shared" si="3"/>
        <v>58080</v>
      </c>
      <c r="D5811" s="56">
        <v>0.0</v>
      </c>
    </row>
    <row r="5812" ht="15.75" customHeight="1">
      <c r="B5812" s="370">
        <f t="shared" si="2"/>
        <v>0.672337963</v>
      </c>
      <c r="C5812" s="56">
        <f t="shared" si="3"/>
        <v>58090</v>
      </c>
      <c r="D5812" s="56">
        <v>0.0</v>
      </c>
    </row>
    <row r="5813" ht="15.75" customHeight="1">
      <c r="B5813" s="370">
        <f t="shared" si="2"/>
        <v>0.6724537037</v>
      </c>
      <c r="C5813" s="56">
        <f t="shared" si="3"/>
        <v>58100</v>
      </c>
      <c r="D5813" s="56">
        <v>0.0</v>
      </c>
    </row>
    <row r="5814" ht="15.75" customHeight="1">
      <c r="B5814" s="370">
        <f t="shared" si="2"/>
        <v>0.6725694444</v>
      </c>
      <c r="C5814" s="56">
        <f t="shared" si="3"/>
        <v>58110</v>
      </c>
      <c r="D5814" s="56">
        <v>0.0</v>
      </c>
    </row>
    <row r="5815" ht="15.75" customHeight="1">
      <c r="B5815" s="370">
        <f t="shared" si="2"/>
        <v>0.6726851852</v>
      </c>
      <c r="C5815" s="56">
        <f t="shared" si="3"/>
        <v>58120</v>
      </c>
      <c r="D5815" s="56">
        <v>0.0</v>
      </c>
    </row>
    <row r="5816" ht="15.75" customHeight="1">
      <c r="B5816" s="370">
        <f t="shared" si="2"/>
        <v>0.6728009259</v>
      </c>
      <c r="C5816" s="56">
        <f t="shared" si="3"/>
        <v>58130</v>
      </c>
      <c r="D5816" s="56">
        <v>0.0</v>
      </c>
    </row>
    <row r="5817" ht="15.75" customHeight="1">
      <c r="B5817" s="370">
        <f t="shared" si="2"/>
        <v>0.6729166667</v>
      </c>
      <c r="C5817" s="56">
        <f t="shared" si="3"/>
        <v>58140</v>
      </c>
      <c r="D5817" s="56">
        <v>0.0</v>
      </c>
    </row>
    <row r="5818" ht="15.75" customHeight="1">
      <c r="B5818" s="370">
        <f t="shared" si="2"/>
        <v>0.6730324074</v>
      </c>
      <c r="C5818" s="56">
        <f t="shared" si="3"/>
        <v>58150</v>
      </c>
      <c r="D5818" s="56">
        <v>0.0</v>
      </c>
    </row>
    <row r="5819" ht="15.75" customHeight="1">
      <c r="B5819" s="370">
        <f t="shared" si="2"/>
        <v>0.6731481481</v>
      </c>
      <c r="C5819" s="56">
        <f t="shared" si="3"/>
        <v>58160</v>
      </c>
      <c r="D5819" s="56">
        <v>0.0</v>
      </c>
    </row>
    <row r="5820" ht="15.75" customHeight="1">
      <c r="B5820" s="370">
        <f t="shared" si="2"/>
        <v>0.6732638889</v>
      </c>
      <c r="C5820" s="56">
        <f t="shared" si="3"/>
        <v>58170</v>
      </c>
      <c r="D5820" s="56">
        <v>0.0</v>
      </c>
    </row>
    <row r="5821" ht="15.75" customHeight="1">
      <c r="B5821" s="370">
        <f t="shared" si="2"/>
        <v>0.6733796296</v>
      </c>
      <c r="C5821" s="56">
        <f t="shared" si="3"/>
        <v>58180</v>
      </c>
      <c r="D5821" s="56">
        <v>0.0</v>
      </c>
    </row>
    <row r="5822" ht="15.75" customHeight="1">
      <c r="B5822" s="370">
        <f t="shared" si="2"/>
        <v>0.6734953704</v>
      </c>
      <c r="C5822" s="56">
        <f t="shared" si="3"/>
        <v>58190</v>
      </c>
      <c r="D5822" s="56">
        <v>0.0</v>
      </c>
    </row>
    <row r="5823" ht="15.75" customHeight="1">
      <c r="B5823" s="370">
        <f t="shared" si="2"/>
        <v>0.6736111111</v>
      </c>
      <c r="C5823" s="56">
        <f t="shared" si="3"/>
        <v>58200</v>
      </c>
      <c r="D5823" s="56">
        <v>0.0</v>
      </c>
    </row>
    <row r="5824" ht="15.75" customHeight="1">
      <c r="B5824" s="370">
        <f t="shared" si="2"/>
        <v>0.6737268519</v>
      </c>
      <c r="C5824" s="56">
        <f t="shared" si="3"/>
        <v>58210</v>
      </c>
      <c r="D5824" s="56">
        <v>0.0</v>
      </c>
    </row>
    <row r="5825" ht="15.75" customHeight="1">
      <c r="B5825" s="370">
        <f t="shared" si="2"/>
        <v>0.6738425926</v>
      </c>
      <c r="C5825" s="56">
        <f t="shared" si="3"/>
        <v>58220</v>
      </c>
      <c r="D5825" s="56">
        <v>0.0</v>
      </c>
    </row>
    <row r="5826" ht="15.75" customHeight="1">
      <c r="B5826" s="370">
        <f t="shared" si="2"/>
        <v>0.6739583333</v>
      </c>
      <c r="C5826" s="56">
        <f t="shared" si="3"/>
        <v>58230</v>
      </c>
      <c r="D5826" s="56">
        <v>0.0</v>
      </c>
    </row>
    <row r="5827" ht="15.75" customHeight="1">
      <c r="B5827" s="370">
        <f t="shared" si="2"/>
        <v>0.6740740741</v>
      </c>
      <c r="C5827" s="56">
        <f t="shared" si="3"/>
        <v>58240</v>
      </c>
      <c r="D5827" s="56">
        <v>0.0</v>
      </c>
    </row>
    <row r="5828" ht="15.75" customHeight="1">
      <c r="B5828" s="370">
        <f t="shared" si="2"/>
        <v>0.6741898148</v>
      </c>
      <c r="C5828" s="56">
        <f t="shared" si="3"/>
        <v>58250</v>
      </c>
      <c r="D5828" s="56">
        <v>0.0</v>
      </c>
    </row>
    <row r="5829" ht="15.75" customHeight="1">
      <c r="B5829" s="370">
        <f t="shared" si="2"/>
        <v>0.6743055556</v>
      </c>
      <c r="C5829" s="56">
        <f t="shared" si="3"/>
        <v>58260</v>
      </c>
      <c r="D5829" s="56">
        <v>0.0</v>
      </c>
    </row>
    <row r="5830" ht="15.75" customHeight="1">
      <c r="B5830" s="370">
        <f t="shared" si="2"/>
        <v>0.6744212963</v>
      </c>
      <c r="C5830" s="56">
        <f t="shared" si="3"/>
        <v>58270</v>
      </c>
      <c r="D5830" s="56">
        <v>0.0</v>
      </c>
    </row>
    <row r="5831" ht="15.75" customHeight="1">
      <c r="B5831" s="370">
        <f t="shared" si="2"/>
        <v>0.674537037</v>
      </c>
      <c r="C5831" s="56">
        <f t="shared" si="3"/>
        <v>58280</v>
      </c>
      <c r="D5831" s="56">
        <v>0.0</v>
      </c>
    </row>
    <row r="5832" ht="15.75" customHeight="1">
      <c r="B5832" s="370">
        <f t="shared" si="2"/>
        <v>0.6746527778</v>
      </c>
      <c r="C5832" s="56">
        <f t="shared" si="3"/>
        <v>58290</v>
      </c>
      <c r="D5832" s="56">
        <v>0.0</v>
      </c>
    </row>
    <row r="5833" ht="15.75" customHeight="1">
      <c r="B5833" s="370">
        <f t="shared" si="2"/>
        <v>0.6747685185</v>
      </c>
      <c r="C5833" s="56">
        <f t="shared" si="3"/>
        <v>58300</v>
      </c>
      <c r="D5833" s="56">
        <v>0.0</v>
      </c>
    </row>
    <row r="5834" ht="15.75" customHeight="1">
      <c r="B5834" s="370">
        <f t="shared" si="2"/>
        <v>0.6748842593</v>
      </c>
      <c r="C5834" s="56">
        <f t="shared" si="3"/>
        <v>58310</v>
      </c>
      <c r="D5834" s="56">
        <v>0.0</v>
      </c>
    </row>
    <row r="5835" ht="15.75" customHeight="1">
      <c r="B5835" s="370">
        <f t="shared" si="2"/>
        <v>0.675</v>
      </c>
      <c r="C5835" s="56">
        <f t="shared" si="3"/>
        <v>58320</v>
      </c>
      <c r="D5835" s="56">
        <v>0.0</v>
      </c>
    </row>
    <row r="5836" ht="15.75" customHeight="1">
      <c r="B5836" s="370">
        <f t="shared" si="2"/>
        <v>0.6751157407</v>
      </c>
      <c r="C5836" s="56">
        <f t="shared" si="3"/>
        <v>58330</v>
      </c>
      <c r="D5836" s="56">
        <v>0.0</v>
      </c>
    </row>
    <row r="5837" ht="15.75" customHeight="1">
      <c r="B5837" s="370">
        <f t="shared" si="2"/>
        <v>0.6752314815</v>
      </c>
      <c r="C5837" s="56">
        <f t="shared" si="3"/>
        <v>58340</v>
      </c>
      <c r="D5837" s="56">
        <v>0.0</v>
      </c>
    </row>
    <row r="5838" ht="15.75" customHeight="1">
      <c r="B5838" s="370">
        <f t="shared" si="2"/>
        <v>0.6753472222</v>
      </c>
      <c r="C5838" s="56">
        <f t="shared" si="3"/>
        <v>58350</v>
      </c>
      <c r="D5838" s="56">
        <v>0.0</v>
      </c>
    </row>
    <row r="5839" ht="15.75" customHeight="1">
      <c r="B5839" s="370">
        <f t="shared" si="2"/>
        <v>0.675462963</v>
      </c>
      <c r="C5839" s="56">
        <f t="shared" si="3"/>
        <v>58360</v>
      </c>
      <c r="D5839" s="56">
        <v>0.0</v>
      </c>
    </row>
    <row r="5840" ht="15.75" customHeight="1">
      <c r="B5840" s="370">
        <f t="shared" si="2"/>
        <v>0.6755787037</v>
      </c>
      <c r="C5840" s="56">
        <f t="shared" si="3"/>
        <v>58370</v>
      </c>
      <c r="D5840" s="56">
        <v>0.0</v>
      </c>
    </row>
    <row r="5841" ht="15.75" customHeight="1">
      <c r="B5841" s="370">
        <f t="shared" si="2"/>
        <v>0.6756944444</v>
      </c>
      <c r="C5841" s="56">
        <f t="shared" si="3"/>
        <v>58380</v>
      </c>
      <c r="D5841" s="56">
        <v>0.0</v>
      </c>
    </row>
    <row r="5842" ht="15.75" customHeight="1">
      <c r="B5842" s="370">
        <f t="shared" si="2"/>
        <v>0.6758101852</v>
      </c>
      <c r="C5842" s="56">
        <f t="shared" si="3"/>
        <v>58390</v>
      </c>
      <c r="D5842" s="56">
        <v>0.0</v>
      </c>
    </row>
    <row r="5843" ht="15.75" customHeight="1">
      <c r="B5843" s="370">
        <f t="shared" si="2"/>
        <v>0.6759259259</v>
      </c>
      <c r="C5843" s="56">
        <f t="shared" si="3"/>
        <v>58400</v>
      </c>
      <c r="D5843" s="56">
        <v>0.0</v>
      </c>
    </row>
    <row r="5844" ht="15.75" customHeight="1">
      <c r="B5844" s="370">
        <f t="shared" si="2"/>
        <v>0.6760416667</v>
      </c>
      <c r="C5844" s="56">
        <f t="shared" si="3"/>
        <v>58410</v>
      </c>
      <c r="D5844" s="56">
        <v>0.0</v>
      </c>
    </row>
    <row r="5845" ht="15.75" customHeight="1">
      <c r="B5845" s="370">
        <f t="shared" si="2"/>
        <v>0.6761574074</v>
      </c>
      <c r="C5845" s="56">
        <f t="shared" si="3"/>
        <v>58420</v>
      </c>
      <c r="D5845" s="56">
        <v>0.0</v>
      </c>
    </row>
    <row r="5846" ht="15.75" customHeight="1">
      <c r="B5846" s="370">
        <f t="shared" si="2"/>
        <v>0.6762731481</v>
      </c>
      <c r="C5846" s="56">
        <f t="shared" si="3"/>
        <v>58430</v>
      </c>
      <c r="D5846" s="56">
        <v>0.0</v>
      </c>
    </row>
    <row r="5847" ht="15.75" customHeight="1">
      <c r="B5847" s="370">
        <f t="shared" si="2"/>
        <v>0.6763888889</v>
      </c>
      <c r="C5847" s="56">
        <f t="shared" si="3"/>
        <v>58440</v>
      </c>
      <c r="D5847" s="56">
        <v>0.0</v>
      </c>
    </row>
    <row r="5848" ht="15.75" customHeight="1">
      <c r="B5848" s="370">
        <f t="shared" si="2"/>
        <v>0.6765046296</v>
      </c>
      <c r="C5848" s="56">
        <f t="shared" si="3"/>
        <v>58450</v>
      </c>
      <c r="D5848" s="56">
        <v>0.0</v>
      </c>
    </row>
    <row r="5849" ht="15.75" customHeight="1">
      <c r="B5849" s="370">
        <f t="shared" si="2"/>
        <v>0.6766203704</v>
      </c>
      <c r="C5849" s="56">
        <f t="shared" si="3"/>
        <v>58460</v>
      </c>
      <c r="D5849" s="56">
        <v>0.0</v>
      </c>
    </row>
    <row r="5850" ht="15.75" customHeight="1">
      <c r="B5850" s="370">
        <f t="shared" si="2"/>
        <v>0.6767361111</v>
      </c>
      <c r="C5850" s="56">
        <f t="shared" si="3"/>
        <v>58470</v>
      </c>
      <c r="D5850" s="56">
        <v>0.0</v>
      </c>
    </row>
    <row r="5851" ht="15.75" customHeight="1">
      <c r="B5851" s="370">
        <f t="shared" si="2"/>
        <v>0.6768518519</v>
      </c>
      <c r="C5851" s="56">
        <f t="shared" si="3"/>
        <v>58480</v>
      </c>
      <c r="D5851" s="56">
        <v>0.0</v>
      </c>
    </row>
    <row r="5852" ht="15.75" customHeight="1">
      <c r="B5852" s="370">
        <f t="shared" si="2"/>
        <v>0.6769675926</v>
      </c>
      <c r="C5852" s="56">
        <f t="shared" si="3"/>
        <v>58490</v>
      </c>
      <c r="D5852" s="56">
        <v>0.0</v>
      </c>
    </row>
    <row r="5853" ht="15.75" customHeight="1">
      <c r="B5853" s="370">
        <f t="shared" si="2"/>
        <v>0.6770833333</v>
      </c>
      <c r="C5853" s="56">
        <f t="shared" si="3"/>
        <v>58500</v>
      </c>
      <c r="D5853" s="56">
        <v>0.0</v>
      </c>
    </row>
    <row r="5854" ht="15.75" customHeight="1">
      <c r="B5854" s="370">
        <f t="shared" si="2"/>
        <v>0.6771990741</v>
      </c>
      <c r="C5854" s="56">
        <f t="shared" si="3"/>
        <v>58510</v>
      </c>
      <c r="D5854" s="56">
        <v>0.0</v>
      </c>
    </row>
    <row r="5855" ht="15.75" customHeight="1">
      <c r="B5855" s="370">
        <f t="shared" si="2"/>
        <v>0.6773148148</v>
      </c>
      <c r="C5855" s="56">
        <f t="shared" si="3"/>
        <v>58520</v>
      </c>
      <c r="D5855" s="56">
        <v>0.0</v>
      </c>
    </row>
    <row r="5856" ht="15.75" customHeight="1">
      <c r="B5856" s="370">
        <f t="shared" si="2"/>
        <v>0.6774305556</v>
      </c>
      <c r="C5856" s="56">
        <f t="shared" si="3"/>
        <v>58530</v>
      </c>
      <c r="D5856" s="56">
        <v>0.0</v>
      </c>
    </row>
    <row r="5857" ht="15.75" customHeight="1">
      <c r="B5857" s="370">
        <f t="shared" si="2"/>
        <v>0.6775462963</v>
      </c>
      <c r="C5857" s="56">
        <f t="shared" si="3"/>
        <v>58540</v>
      </c>
      <c r="D5857" s="56">
        <v>0.0</v>
      </c>
    </row>
    <row r="5858" ht="15.75" customHeight="1">
      <c r="B5858" s="370">
        <f t="shared" si="2"/>
        <v>0.677662037</v>
      </c>
      <c r="C5858" s="56">
        <f t="shared" si="3"/>
        <v>58550</v>
      </c>
      <c r="D5858" s="56">
        <v>0.0</v>
      </c>
    </row>
    <row r="5859" ht="15.75" customHeight="1">
      <c r="B5859" s="370">
        <f t="shared" si="2"/>
        <v>0.6777777778</v>
      </c>
      <c r="C5859" s="56">
        <f t="shared" si="3"/>
        <v>58560</v>
      </c>
      <c r="D5859" s="56">
        <v>0.0</v>
      </c>
    </row>
    <row r="5860" ht="15.75" customHeight="1">
      <c r="B5860" s="370">
        <f t="shared" si="2"/>
        <v>0.6778935185</v>
      </c>
      <c r="C5860" s="56">
        <f t="shared" si="3"/>
        <v>58570</v>
      </c>
      <c r="D5860" s="56">
        <v>0.0</v>
      </c>
    </row>
    <row r="5861" ht="15.75" customHeight="1">
      <c r="B5861" s="370">
        <f t="shared" si="2"/>
        <v>0.6780092593</v>
      </c>
      <c r="C5861" s="56">
        <f t="shared" si="3"/>
        <v>58580</v>
      </c>
      <c r="D5861" s="56">
        <v>0.0</v>
      </c>
    </row>
    <row r="5862" ht="15.75" customHeight="1">
      <c r="B5862" s="370">
        <f t="shared" si="2"/>
        <v>0.678125</v>
      </c>
      <c r="C5862" s="56">
        <f t="shared" si="3"/>
        <v>58590</v>
      </c>
      <c r="D5862" s="56">
        <v>0.0</v>
      </c>
    </row>
    <row r="5863" ht="15.75" customHeight="1">
      <c r="B5863" s="370">
        <f t="shared" si="2"/>
        <v>0.6782407407</v>
      </c>
      <c r="C5863" s="56">
        <f t="shared" si="3"/>
        <v>58600</v>
      </c>
      <c r="D5863" s="56">
        <v>0.0</v>
      </c>
    </row>
    <row r="5864" ht="15.75" customHeight="1">
      <c r="B5864" s="370">
        <f t="shared" si="2"/>
        <v>0.6783564815</v>
      </c>
      <c r="C5864" s="56">
        <f t="shared" si="3"/>
        <v>58610</v>
      </c>
      <c r="D5864" s="56">
        <v>0.0</v>
      </c>
    </row>
    <row r="5865" ht="15.75" customHeight="1">
      <c r="B5865" s="370">
        <f t="shared" si="2"/>
        <v>0.6784722222</v>
      </c>
      <c r="C5865" s="56">
        <f t="shared" si="3"/>
        <v>58620</v>
      </c>
      <c r="D5865" s="56">
        <v>0.0</v>
      </c>
    </row>
    <row r="5866" ht="15.75" customHeight="1">
      <c r="B5866" s="370">
        <f t="shared" si="2"/>
        <v>0.678587963</v>
      </c>
      <c r="C5866" s="56">
        <f t="shared" si="3"/>
        <v>58630</v>
      </c>
      <c r="D5866" s="56">
        <v>0.0</v>
      </c>
    </row>
    <row r="5867" ht="15.75" customHeight="1">
      <c r="B5867" s="370">
        <f t="shared" si="2"/>
        <v>0.6787037037</v>
      </c>
      <c r="C5867" s="56">
        <f t="shared" si="3"/>
        <v>58640</v>
      </c>
      <c r="D5867" s="56">
        <v>0.0</v>
      </c>
    </row>
    <row r="5868" ht="15.75" customHeight="1">
      <c r="B5868" s="370">
        <f t="shared" si="2"/>
        <v>0.6788194444</v>
      </c>
      <c r="C5868" s="56">
        <f t="shared" si="3"/>
        <v>58650</v>
      </c>
      <c r="D5868" s="56">
        <v>0.0</v>
      </c>
    </row>
    <row r="5869" ht="15.75" customHeight="1">
      <c r="B5869" s="370">
        <f t="shared" si="2"/>
        <v>0.6789351852</v>
      </c>
      <c r="C5869" s="56">
        <f t="shared" si="3"/>
        <v>58660</v>
      </c>
      <c r="D5869" s="56">
        <v>0.0</v>
      </c>
    </row>
    <row r="5870" ht="15.75" customHeight="1">
      <c r="B5870" s="370">
        <f t="shared" si="2"/>
        <v>0.6790509259</v>
      </c>
      <c r="C5870" s="56">
        <f t="shared" si="3"/>
        <v>58670</v>
      </c>
      <c r="D5870" s="56">
        <v>0.0</v>
      </c>
    </row>
    <row r="5871" ht="15.75" customHeight="1">
      <c r="B5871" s="370">
        <f t="shared" si="2"/>
        <v>0.6791666667</v>
      </c>
      <c r="C5871" s="56">
        <f t="shared" si="3"/>
        <v>58680</v>
      </c>
      <c r="D5871" s="56">
        <v>0.0</v>
      </c>
    </row>
    <row r="5872" ht="15.75" customHeight="1">
      <c r="B5872" s="370">
        <f t="shared" si="2"/>
        <v>0.6792824074</v>
      </c>
      <c r="C5872" s="56">
        <f t="shared" si="3"/>
        <v>58690</v>
      </c>
      <c r="D5872" s="56">
        <v>0.0</v>
      </c>
    </row>
    <row r="5873" ht="15.75" customHeight="1">
      <c r="B5873" s="370">
        <f t="shared" si="2"/>
        <v>0.6793981481</v>
      </c>
      <c r="C5873" s="56">
        <f t="shared" si="3"/>
        <v>58700</v>
      </c>
      <c r="D5873" s="56">
        <v>0.0</v>
      </c>
    </row>
    <row r="5874" ht="15.75" customHeight="1">
      <c r="B5874" s="370">
        <f t="shared" si="2"/>
        <v>0.6795138889</v>
      </c>
      <c r="C5874" s="56">
        <f t="shared" si="3"/>
        <v>58710</v>
      </c>
      <c r="D5874" s="56">
        <v>0.0</v>
      </c>
    </row>
    <row r="5875" ht="15.75" customHeight="1">
      <c r="B5875" s="370">
        <f t="shared" si="2"/>
        <v>0.6796296296</v>
      </c>
      <c r="C5875" s="56">
        <f t="shared" si="3"/>
        <v>58720</v>
      </c>
      <c r="D5875" s="56">
        <v>0.0</v>
      </c>
    </row>
    <row r="5876" ht="15.75" customHeight="1">
      <c r="B5876" s="370">
        <f t="shared" si="2"/>
        <v>0.6797453704</v>
      </c>
      <c r="C5876" s="56">
        <f t="shared" si="3"/>
        <v>58730</v>
      </c>
      <c r="D5876" s="56">
        <v>0.0</v>
      </c>
    </row>
    <row r="5877" ht="15.75" customHeight="1">
      <c r="B5877" s="370">
        <f t="shared" si="2"/>
        <v>0.6798611111</v>
      </c>
      <c r="C5877" s="56">
        <f t="shared" si="3"/>
        <v>58740</v>
      </c>
      <c r="D5877" s="56">
        <v>0.0</v>
      </c>
    </row>
    <row r="5878" ht="15.75" customHeight="1">
      <c r="B5878" s="370">
        <f t="shared" si="2"/>
        <v>0.6799768519</v>
      </c>
      <c r="C5878" s="56">
        <f t="shared" si="3"/>
        <v>58750</v>
      </c>
      <c r="D5878" s="56">
        <v>0.0</v>
      </c>
    </row>
    <row r="5879" ht="15.75" customHeight="1">
      <c r="B5879" s="370">
        <f t="shared" si="2"/>
        <v>0.6800925926</v>
      </c>
      <c r="C5879" s="56">
        <f t="shared" si="3"/>
        <v>58760</v>
      </c>
      <c r="D5879" s="56">
        <v>0.0</v>
      </c>
    </row>
    <row r="5880" ht="15.75" customHeight="1">
      <c r="B5880" s="370">
        <f t="shared" si="2"/>
        <v>0.6802083333</v>
      </c>
      <c r="C5880" s="56">
        <f t="shared" si="3"/>
        <v>58770</v>
      </c>
      <c r="D5880" s="56">
        <v>0.0</v>
      </c>
    </row>
    <row r="5881" ht="15.75" customHeight="1">
      <c r="B5881" s="370">
        <f t="shared" si="2"/>
        <v>0.6803240741</v>
      </c>
      <c r="C5881" s="56">
        <f t="shared" si="3"/>
        <v>58780</v>
      </c>
      <c r="D5881" s="56">
        <v>0.0</v>
      </c>
    </row>
    <row r="5882" ht="15.75" customHeight="1">
      <c r="B5882" s="370">
        <f t="shared" si="2"/>
        <v>0.6804398148</v>
      </c>
      <c r="C5882" s="56">
        <f t="shared" si="3"/>
        <v>58790</v>
      </c>
      <c r="D5882" s="56">
        <v>0.0</v>
      </c>
    </row>
    <row r="5883" ht="15.75" customHeight="1">
      <c r="B5883" s="370">
        <f t="shared" si="2"/>
        <v>0.6805555556</v>
      </c>
      <c r="C5883" s="56">
        <f t="shared" si="3"/>
        <v>58800</v>
      </c>
      <c r="D5883" s="56">
        <v>0.0</v>
      </c>
    </row>
    <row r="5884" ht="15.75" customHeight="1">
      <c r="B5884" s="370">
        <f t="shared" si="2"/>
        <v>0.6806712963</v>
      </c>
      <c r="C5884" s="56">
        <f t="shared" si="3"/>
        <v>58810</v>
      </c>
      <c r="D5884" s="56">
        <v>0.0</v>
      </c>
    </row>
    <row r="5885" ht="15.75" customHeight="1">
      <c r="B5885" s="370">
        <f t="shared" si="2"/>
        <v>0.680787037</v>
      </c>
      <c r="C5885" s="56">
        <f t="shared" si="3"/>
        <v>58820</v>
      </c>
      <c r="D5885" s="56">
        <v>0.0</v>
      </c>
    </row>
    <row r="5886" ht="15.75" customHeight="1">
      <c r="B5886" s="370">
        <f t="shared" si="2"/>
        <v>0.6809027778</v>
      </c>
      <c r="C5886" s="56">
        <f t="shared" si="3"/>
        <v>58830</v>
      </c>
      <c r="D5886" s="56">
        <v>0.0</v>
      </c>
    </row>
    <row r="5887" ht="15.75" customHeight="1">
      <c r="B5887" s="370">
        <f t="shared" si="2"/>
        <v>0.6810185185</v>
      </c>
      <c r="C5887" s="56">
        <f t="shared" si="3"/>
        <v>58840</v>
      </c>
      <c r="D5887" s="56">
        <v>0.0</v>
      </c>
    </row>
    <row r="5888" ht="15.75" customHeight="1">
      <c r="B5888" s="370">
        <f t="shared" si="2"/>
        <v>0.6811342593</v>
      </c>
      <c r="C5888" s="56">
        <f t="shared" si="3"/>
        <v>58850</v>
      </c>
      <c r="D5888" s="56">
        <v>0.0</v>
      </c>
    </row>
    <row r="5889" ht="15.75" customHeight="1">
      <c r="B5889" s="370">
        <f t="shared" si="2"/>
        <v>0.68125</v>
      </c>
      <c r="C5889" s="56">
        <f t="shared" si="3"/>
        <v>58860</v>
      </c>
      <c r="D5889" s="56">
        <v>0.0</v>
      </c>
    </row>
    <row r="5890" ht="15.75" customHeight="1">
      <c r="B5890" s="370">
        <f t="shared" si="2"/>
        <v>0.6813657407</v>
      </c>
      <c r="C5890" s="56">
        <f t="shared" si="3"/>
        <v>58870</v>
      </c>
      <c r="D5890" s="56">
        <v>0.0</v>
      </c>
    </row>
    <row r="5891" ht="15.75" customHeight="1">
      <c r="B5891" s="370">
        <f t="shared" si="2"/>
        <v>0.6814814815</v>
      </c>
      <c r="C5891" s="56">
        <f t="shared" si="3"/>
        <v>58880</v>
      </c>
      <c r="D5891" s="56">
        <v>0.0</v>
      </c>
    </row>
    <row r="5892" ht="15.75" customHeight="1">
      <c r="B5892" s="370">
        <f t="shared" si="2"/>
        <v>0.6815972222</v>
      </c>
      <c r="C5892" s="56">
        <f t="shared" si="3"/>
        <v>58890</v>
      </c>
      <c r="D5892" s="56">
        <v>0.0</v>
      </c>
    </row>
    <row r="5893" ht="15.75" customHeight="1">
      <c r="B5893" s="370">
        <f t="shared" si="2"/>
        <v>0.681712963</v>
      </c>
      <c r="C5893" s="56">
        <f t="shared" si="3"/>
        <v>58900</v>
      </c>
      <c r="D5893" s="56">
        <v>0.0</v>
      </c>
    </row>
    <row r="5894" ht="15.75" customHeight="1">
      <c r="B5894" s="370">
        <f t="shared" si="2"/>
        <v>0.6818287037</v>
      </c>
      <c r="C5894" s="56">
        <f t="shared" si="3"/>
        <v>58910</v>
      </c>
      <c r="D5894" s="56">
        <v>0.0</v>
      </c>
    </row>
    <row r="5895" ht="15.75" customHeight="1">
      <c r="B5895" s="370">
        <f t="shared" si="2"/>
        <v>0.6819444444</v>
      </c>
      <c r="C5895" s="56">
        <f t="shared" si="3"/>
        <v>58920</v>
      </c>
      <c r="D5895" s="56">
        <v>0.0</v>
      </c>
    </row>
    <row r="5896" ht="15.75" customHeight="1">
      <c r="B5896" s="370">
        <f t="shared" si="2"/>
        <v>0.6820601852</v>
      </c>
      <c r="C5896" s="56">
        <f t="shared" si="3"/>
        <v>58930</v>
      </c>
      <c r="D5896" s="56">
        <v>0.0</v>
      </c>
    </row>
    <row r="5897" ht="15.75" customHeight="1">
      <c r="B5897" s="370">
        <f t="shared" si="2"/>
        <v>0.6821759259</v>
      </c>
      <c r="C5897" s="56">
        <f t="shared" si="3"/>
        <v>58940</v>
      </c>
      <c r="D5897" s="56">
        <v>0.0</v>
      </c>
    </row>
    <row r="5898" ht="15.75" customHeight="1">
      <c r="B5898" s="370">
        <f t="shared" si="2"/>
        <v>0.6822916667</v>
      </c>
      <c r="C5898" s="56">
        <f t="shared" si="3"/>
        <v>58950</v>
      </c>
      <c r="D5898" s="56">
        <v>0.0</v>
      </c>
    </row>
    <row r="5899" ht="15.75" customHeight="1">
      <c r="B5899" s="370">
        <f t="shared" si="2"/>
        <v>0.6824074074</v>
      </c>
      <c r="C5899" s="56">
        <f t="shared" si="3"/>
        <v>58960</v>
      </c>
      <c r="D5899" s="56">
        <v>0.0</v>
      </c>
    </row>
    <row r="5900" ht="15.75" customHeight="1">
      <c r="B5900" s="370">
        <f t="shared" si="2"/>
        <v>0.6825231481</v>
      </c>
      <c r="C5900" s="56">
        <f t="shared" si="3"/>
        <v>58970</v>
      </c>
      <c r="D5900" s="56">
        <v>0.0</v>
      </c>
    </row>
    <row r="5901" ht="15.75" customHeight="1">
      <c r="B5901" s="370">
        <f t="shared" si="2"/>
        <v>0.6826388889</v>
      </c>
      <c r="C5901" s="56">
        <f t="shared" si="3"/>
        <v>58980</v>
      </c>
      <c r="D5901" s="56">
        <v>0.0</v>
      </c>
    </row>
    <row r="5902" ht="15.75" customHeight="1">
      <c r="B5902" s="370">
        <f t="shared" si="2"/>
        <v>0.6827546296</v>
      </c>
      <c r="C5902" s="56">
        <f t="shared" si="3"/>
        <v>58990</v>
      </c>
      <c r="D5902" s="56">
        <v>0.0</v>
      </c>
    </row>
    <row r="5903" ht="15.75" customHeight="1">
      <c r="B5903" s="370">
        <f t="shared" si="2"/>
        <v>0.6828703704</v>
      </c>
      <c r="C5903" s="56">
        <f t="shared" si="3"/>
        <v>59000</v>
      </c>
      <c r="D5903" s="56">
        <v>0.0</v>
      </c>
    </row>
    <row r="5904" ht="15.75" customHeight="1">
      <c r="B5904" s="370">
        <f t="shared" si="2"/>
        <v>0.6829861111</v>
      </c>
      <c r="C5904" s="56">
        <f t="shared" si="3"/>
        <v>59010</v>
      </c>
      <c r="D5904" s="56">
        <v>0.0</v>
      </c>
    </row>
    <row r="5905" ht="15.75" customHeight="1">
      <c r="B5905" s="370">
        <f t="shared" si="2"/>
        <v>0.6831018519</v>
      </c>
      <c r="C5905" s="56">
        <f t="shared" si="3"/>
        <v>59020</v>
      </c>
      <c r="D5905" s="56">
        <v>0.0</v>
      </c>
    </row>
    <row r="5906" ht="15.75" customHeight="1">
      <c r="B5906" s="370">
        <f t="shared" si="2"/>
        <v>0.6832175926</v>
      </c>
      <c r="C5906" s="56">
        <f t="shared" si="3"/>
        <v>59030</v>
      </c>
      <c r="D5906" s="56">
        <v>0.0</v>
      </c>
    </row>
    <row r="5907" ht="15.75" customHeight="1">
      <c r="B5907" s="370">
        <f t="shared" si="2"/>
        <v>0.6833333333</v>
      </c>
      <c r="C5907" s="56">
        <f t="shared" si="3"/>
        <v>59040</v>
      </c>
      <c r="D5907" s="56">
        <v>0.0</v>
      </c>
    </row>
    <row r="5908" ht="15.75" customHeight="1">
      <c r="B5908" s="370">
        <f t="shared" si="2"/>
        <v>0.6834490741</v>
      </c>
      <c r="C5908" s="56">
        <f t="shared" si="3"/>
        <v>59050</v>
      </c>
      <c r="D5908" s="56">
        <v>0.0</v>
      </c>
    </row>
    <row r="5909" ht="15.75" customHeight="1">
      <c r="B5909" s="370">
        <f t="shared" si="2"/>
        <v>0.6835648148</v>
      </c>
      <c r="C5909" s="56">
        <f t="shared" si="3"/>
        <v>59060</v>
      </c>
      <c r="D5909" s="56">
        <v>0.0</v>
      </c>
    </row>
    <row r="5910" ht="15.75" customHeight="1">
      <c r="B5910" s="370">
        <f t="shared" si="2"/>
        <v>0.6836805556</v>
      </c>
      <c r="C5910" s="56">
        <f t="shared" si="3"/>
        <v>59070</v>
      </c>
      <c r="D5910" s="56">
        <v>0.0</v>
      </c>
    </row>
    <row r="5911" ht="15.75" customHeight="1">
      <c r="B5911" s="370">
        <f t="shared" si="2"/>
        <v>0.6837962963</v>
      </c>
      <c r="C5911" s="56">
        <f t="shared" si="3"/>
        <v>59080</v>
      </c>
      <c r="D5911" s="56">
        <v>0.0</v>
      </c>
    </row>
    <row r="5912" ht="15.75" customHeight="1">
      <c r="B5912" s="370">
        <f t="shared" si="2"/>
        <v>0.683912037</v>
      </c>
      <c r="C5912" s="56">
        <f t="shared" si="3"/>
        <v>59090</v>
      </c>
      <c r="D5912" s="56">
        <v>0.0</v>
      </c>
    </row>
    <row r="5913" ht="15.75" customHeight="1">
      <c r="B5913" s="370">
        <f t="shared" si="2"/>
        <v>0.6840277778</v>
      </c>
      <c r="C5913" s="56">
        <f t="shared" si="3"/>
        <v>59100</v>
      </c>
      <c r="D5913" s="56">
        <v>0.0</v>
      </c>
    </row>
    <row r="5914" ht="15.75" customHeight="1">
      <c r="B5914" s="370">
        <f t="shared" si="2"/>
        <v>0.6841435185</v>
      </c>
      <c r="C5914" s="56">
        <f t="shared" si="3"/>
        <v>59110</v>
      </c>
      <c r="D5914" s="56">
        <v>0.0</v>
      </c>
    </row>
    <row r="5915" ht="15.75" customHeight="1">
      <c r="B5915" s="370">
        <f t="shared" si="2"/>
        <v>0.6842592593</v>
      </c>
      <c r="C5915" s="56">
        <f t="shared" si="3"/>
        <v>59120</v>
      </c>
      <c r="D5915" s="56">
        <v>0.0</v>
      </c>
    </row>
    <row r="5916" ht="15.75" customHeight="1">
      <c r="B5916" s="370">
        <f t="shared" si="2"/>
        <v>0.684375</v>
      </c>
      <c r="C5916" s="56">
        <f t="shared" si="3"/>
        <v>59130</v>
      </c>
      <c r="D5916" s="56">
        <v>0.0</v>
      </c>
    </row>
    <row r="5917" ht="15.75" customHeight="1">
      <c r="B5917" s="370">
        <f t="shared" si="2"/>
        <v>0.6844907407</v>
      </c>
      <c r="C5917" s="56">
        <f t="shared" si="3"/>
        <v>59140</v>
      </c>
      <c r="D5917" s="56">
        <v>0.0</v>
      </c>
    </row>
    <row r="5918" ht="15.75" customHeight="1">
      <c r="B5918" s="370">
        <f t="shared" si="2"/>
        <v>0.6846064815</v>
      </c>
      <c r="C5918" s="56">
        <f t="shared" si="3"/>
        <v>59150</v>
      </c>
      <c r="D5918" s="56">
        <v>0.0</v>
      </c>
    </row>
    <row r="5919" ht="15.75" customHeight="1">
      <c r="B5919" s="370">
        <f t="shared" si="2"/>
        <v>0.6847222222</v>
      </c>
      <c r="C5919" s="56">
        <f t="shared" si="3"/>
        <v>59160</v>
      </c>
      <c r="D5919" s="56">
        <v>0.0</v>
      </c>
    </row>
    <row r="5920" ht="15.75" customHeight="1">
      <c r="B5920" s="370">
        <f t="shared" si="2"/>
        <v>0.684837963</v>
      </c>
      <c r="C5920" s="56">
        <f t="shared" si="3"/>
        <v>59170</v>
      </c>
      <c r="D5920" s="56">
        <v>0.0</v>
      </c>
    </row>
    <row r="5921" ht="15.75" customHeight="1">
      <c r="B5921" s="370">
        <f t="shared" si="2"/>
        <v>0.6849537037</v>
      </c>
      <c r="C5921" s="56">
        <f t="shared" si="3"/>
        <v>59180</v>
      </c>
      <c r="D5921" s="56">
        <v>0.0</v>
      </c>
    </row>
    <row r="5922" ht="15.75" customHeight="1">
      <c r="B5922" s="370">
        <f t="shared" si="2"/>
        <v>0.6850694444</v>
      </c>
      <c r="C5922" s="56">
        <f t="shared" si="3"/>
        <v>59190</v>
      </c>
      <c r="D5922" s="56">
        <v>0.0</v>
      </c>
    </row>
    <row r="5923" ht="15.75" customHeight="1">
      <c r="B5923" s="370">
        <f t="shared" si="2"/>
        <v>0.6851851852</v>
      </c>
      <c r="C5923" s="56">
        <f t="shared" si="3"/>
        <v>59200</v>
      </c>
      <c r="D5923" s="56">
        <v>0.0</v>
      </c>
    </row>
    <row r="5924" ht="15.75" customHeight="1">
      <c r="B5924" s="370">
        <f t="shared" si="2"/>
        <v>0.6853009259</v>
      </c>
      <c r="C5924" s="56">
        <f t="shared" si="3"/>
        <v>59210</v>
      </c>
      <c r="D5924" s="56">
        <v>0.0</v>
      </c>
    </row>
    <row r="5925" ht="15.75" customHeight="1">
      <c r="B5925" s="370">
        <f t="shared" si="2"/>
        <v>0.6854166667</v>
      </c>
      <c r="C5925" s="56">
        <f t="shared" si="3"/>
        <v>59220</v>
      </c>
      <c r="D5925" s="56">
        <v>0.0</v>
      </c>
    </row>
    <row r="5926" ht="15.75" customHeight="1">
      <c r="B5926" s="370">
        <f t="shared" si="2"/>
        <v>0.6855324074</v>
      </c>
      <c r="C5926" s="56">
        <f t="shared" si="3"/>
        <v>59230</v>
      </c>
      <c r="D5926" s="56">
        <v>0.0</v>
      </c>
    </row>
    <row r="5927" ht="15.75" customHeight="1">
      <c r="B5927" s="370">
        <f t="shared" si="2"/>
        <v>0.6856481481</v>
      </c>
      <c r="C5927" s="56">
        <f t="shared" si="3"/>
        <v>59240</v>
      </c>
      <c r="D5927" s="56">
        <v>0.0</v>
      </c>
    </row>
    <row r="5928" ht="15.75" customHeight="1">
      <c r="B5928" s="370">
        <f t="shared" si="2"/>
        <v>0.6857638889</v>
      </c>
      <c r="C5928" s="56">
        <f t="shared" si="3"/>
        <v>59250</v>
      </c>
      <c r="D5928" s="56">
        <v>0.0</v>
      </c>
    </row>
    <row r="5929" ht="15.75" customHeight="1">
      <c r="B5929" s="370">
        <f t="shared" si="2"/>
        <v>0.6858796296</v>
      </c>
      <c r="C5929" s="56">
        <f t="shared" si="3"/>
        <v>59260</v>
      </c>
      <c r="D5929" s="56">
        <v>0.0</v>
      </c>
    </row>
    <row r="5930" ht="15.75" customHeight="1">
      <c r="B5930" s="370">
        <f t="shared" si="2"/>
        <v>0.6859953704</v>
      </c>
      <c r="C5930" s="56">
        <f t="shared" si="3"/>
        <v>59270</v>
      </c>
      <c r="D5930" s="56">
        <v>0.0</v>
      </c>
    </row>
    <row r="5931" ht="15.75" customHeight="1">
      <c r="B5931" s="370">
        <f t="shared" si="2"/>
        <v>0.6861111111</v>
      </c>
      <c r="C5931" s="56">
        <f t="shared" si="3"/>
        <v>59280</v>
      </c>
      <c r="D5931" s="56">
        <v>0.0</v>
      </c>
    </row>
    <row r="5932" ht="15.75" customHeight="1">
      <c r="B5932" s="370">
        <f t="shared" si="2"/>
        <v>0.6862268519</v>
      </c>
      <c r="C5932" s="56">
        <f t="shared" si="3"/>
        <v>59290</v>
      </c>
      <c r="D5932" s="56">
        <v>0.0</v>
      </c>
    </row>
    <row r="5933" ht="15.75" customHeight="1">
      <c r="B5933" s="370">
        <f t="shared" si="2"/>
        <v>0.6863425926</v>
      </c>
      <c r="C5933" s="56">
        <f t="shared" si="3"/>
        <v>59300</v>
      </c>
      <c r="D5933" s="56">
        <v>0.0</v>
      </c>
    </row>
    <row r="5934" ht="15.75" customHeight="1">
      <c r="B5934" s="370">
        <f t="shared" si="2"/>
        <v>0.6864583333</v>
      </c>
      <c r="C5934" s="56">
        <f t="shared" si="3"/>
        <v>59310</v>
      </c>
      <c r="D5934" s="56">
        <v>0.0</v>
      </c>
    </row>
    <row r="5935" ht="15.75" customHeight="1">
      <c r="B5935" s="370">
        <f t="shared" si="2"/>
        <v>0.6865740741</v>
      </c>
      <c r="C5935" s="56">
        <f t="shared" si="3"/>
        <v>59320</v>
      </c>
      <c r="D5935" s="56">
        <v>0.0</v>
      </c>
    </row>
    <row r="5936" ht="15.75" customHeight="1">
      <c r="B5936" s="370">
        <f t="shared" si="2"/>
        <v>0.6866898148</v>
      </c>
      <c r="C5936" s="56">
        <f t="shared" si="3"/>
        <v>59330</v>
      </c>
      <c r="D5936" s="56">
        <v>0.0</v>
      </c>
    </row>
    <row r="5937" ht="15.75" customHeight="1">
      <c r="B5937" s="370">
        <f t="shared" si="2"/>
        <v>0.6868055556</v>
      </c>
      <c r="C5937" s="56">
        <f t="shared" si="3"/>
        <v>59340</v>
      </c>
      <c r="D5937" s="56">
        <v>0.0</v>
      </c>
    </row>
    <row r="5938" ht="15.75" customHeight="1">
      <c r="B5938" s="370">
        <f t="shared" si="2"/>
        <v>0.6869212963</v>
      </c>
      <c r="C5938" s="56">
        <f t="shared" si="3"/>
        <v>59350</v>
      </c>
      <c r="D5938" s="56">
        <v>0.0</v>
      </c>
    </row>
    <row r="5939" ht="15.75" customHeight="1">
      <c r="B5939" s="370">
        <f t="shared" si="2"/>
        <v>0.687037037</v>
      </c>
      <c r="C5939" s="56">
        <f t="shared" si="3"/>
        <v>59360</v>
      </c>
      <c r="D5939" s="56">
        <v>0.0</v>
      </c>
    </row>
    <row r="5940" ht="15.75" customHeight="1">
      <c r="B5940" s="370">
        <f t="shared" si="2"/>
        <v>0.6871527778</v>
      </c>
      <c r="C5940" s="56">
        <f t="shared" si="3"/>
        <v>59370</v>
      </c>
      <c r="D5940" s="56">
        <v>0.0</v>
      </c>
    </row>
    <row r="5941" ht="15.75" customHeight="1">
      <c r="B5941" s="370">
        <f t="shared" si="2"/>
        <v>0.6872685185</v>
      </c>
      <c r="C5941" s="56">
        <f t="shared" si="3"/>
        <v>59380</v>
      </c>
      <c r="D5941" s="56">
        <v>0.0</v>
      </c>
    </row>
    <row r="5942" ht="15.75" customHeight="1">
      <c r="B5942" s="370">
        <f t="shared" si="2"/>
        <v>0.6873842593</v>
      </c>
      <c r="C5942" s="56">
        <f t="shared" si="3"/>
        <v>59390</v>
      </c>
      <c r="D5942" s="56">
        <v>0.0</v>
      </c>
    </row>
    <row r="5943" ht="15.75" customHeight="1">
      <c r="B5943" s="370">
        <f t="shared" si="2"/>
        <v>0.6875</v>
      </c>
      <c r="C5943" s="56">
        <f t="shared" si="3"/>
        <v>59400</v>
      </c>
      <c r="D5943" s="56">
        <v>0.0</v>
      </c>
    </row>
    <row r="5944" ht="15.75" customHeight="1">
      <c r="B5944" s="370">
        <f t="shared" si="2"/>
        <v>0.6876157407</v>
      </c>
      <c r="C5944" s="56">
        <f t="shared" si="3"/>
        <v>59410</v>
      </c>
      <c r="D5944" s="56">
        <v>0.0</v>
      </c>
    </row>
    <row r="5945" ht="15.75" customHeight="1">
      <c r="B5945" s="370">
        <f t="shared" si="2"/>
        <v>0.6877314815</v>
      </c>
      <c r="C5945" s="56">
        <f t="shared" si="3"/>
        <v>59420</v>
      </c>
      <c r="D5945" s="56">
        <v>0.0</v>
      </c>
    </row>
    <row r="5946" ht="15.75" customHeight="1">
      <c r="B5946" s="370">
        <f t="shared" si="2"/>
        <v>0.6878472222</v>
      </c>
      <c r="C5946" s="56">
        <f t="shared" si="3"/>
        <v>59430</v>
      </c>
      <c r="D5946" s="56">
        <v>0.0</v>
      </c>
    </row>
    <row r="5947" ht="15.75" customHeight="1">
      <c r="B5947" s="370">
        <f t="shared" si="2"/>
        <v>0.687962963</v>
      </c>
      <c r="C5947" s="56">
        <f t="shared" si="3"/>
        <v>59440</v>
      </c>
      <c r="D5947" s="56">
        <v>0.0</v>
      </c>
    </row>
    <row r="5948" ht="15.75" customHeight="1">
      <c r="B5948" s="370">
        <f t="shared" si="2"/>
        <v>0.6880787037</v>
      </c>
      <c r="C5948" s="56">
        <f t="shared" si="3"/>
        <v>59450</v>
      </c>
      <c r="D5948" s="56">
        <v>0.0</v>
      </c>
    </row>
    <row r="5949" ht="15.75" customHeight="1">
      <c r="B5949" s="370">
        <f t="shared" si="2"/>
        <v>0.6881944444</v>
      </c>
      <c r="C5949" s="56">
        <f t="shared" si="3"/>
        <v>59460</v>
      </c>
      <c r="D5949" s="56">
        <v>0.0</v>
      </c>
    </row>
    <row r="5950" ht="15.75" customHeight="1">
      <c r="B5950" s="370">
        <f t="shared" si="2"/>
        <v>0.6883101852</v>
      </c>
      <c r="C5950" s="56">
        <f t="shared" si="3"/>
        <v>59470</v>
      </c>
      <c r="D5950" s="56">
        <v>0.0</v>
      </c>
    </row>
    <row r="5951" ht="15.75" customHeight="1">
      <c r="B5951" s="370">
        <f t="shared" si="2"/>
        <v>0.6884259259</v>
      </c>
      <c r="C5951" s="56">
        <f t="shared" si="3"/>
        <v>59480</v>
      </c>
      <c r="D5951" s="56">
        <v>0.0</v>
      </c>
    </row>
    <row r="5952" ht="15.75" customHeight="1">
      <c r="B5952" s="370">
        <f t="shared" si="2"/>
        <v>0.6885416667</v>
      </c>
      <c r="C5952" s="56">
        <f t="shared" si="3"/>
        <v>59490</v>
      </c>
      <c r="D5952" s="56">
        <v>0.0</v>
      </c>
    </row>
    <row r="5953" ht="15.75" customHeight="1">
      <c r="B5953" s="370">
        <f t="shared" si="2"/>
        <v>0.6886574074</v>
      </c>
      <c r="C5953" s="56">
        <f t="shared" si="3"/>
        <v>59500</v>
      </c>
      <c r="D5953" s="56">
        <v>0.0</v>
      </c>
    </row>
    <row r="5954" ht="15.75" customHeight="1">
      <c r="B5954" s="370">
        <f t="shared" si="2"/>
        <v>0.6887731481</v>
      </c>
      <c r="C5954" s="56">
        <f t="shared" si="3"/>
        <v>59510</v>
      </c>
      <c r="D5954" s="56">
        <v>0.0</v>
      </c>
    </row>
    <row r="5955" ht="15.75" customHeight="1">
      <c r="B5955" s="370">
        <f t="shared" si="2"/>
        <v>0.6888888889</v>
      </c>
      <c r="C5955" s="56">
        <f t="shared" si="3"/>
        <v>59520</v>
      </c>
      <c r="D5955" s="56">
        <v>0.0</v>
      </c>
    </row>
    <row r="5956" ht="15.75" customHeight="1">
      <c r="B5956" s="370">
        <f t="shared" si="2"/>
        <v>0.6890046296</v>
      </c>
      <c r="C5956" s="56">
        <f t="shared" si="3"/>
        <v>59530</v>
      </c>
      <c r="D5956" s="56">
        <v>0.0</v>
      </c>
    </row>
    <row r="5957" ht="15.75" customHeight="1">
      <c r="B5957" s="370">
        <f t="shared" si="2"/>
        <v>0.6891203704</v>
      </c>
      <c r="C5957" s="56">
        <f t="shared" si="3"/>
        <v>59540</v>
      </c>
      <c r="D5957" s="56">
        <v>0.0</v>
      </c>
    </row>
    <row r="5958" ht="15.75" customHeight="1">
      <c r="B5958" s="370">
        <f t="shared" si="2"/>
        <v>0.6892361111</v>
      </c>
      <c r="C5958" s="56">
        <f t="shared" si="3"/>
        <v>59550</v>
      </c>
      <c r="D5958" s="56">
        <v>0.0</v>
      </c>
    </row>
    <row r="5959" ht="15.75" customHeight="1">
      <c r="B5959" s="370">
        <f t="shared" si="2"/>
        <v>0.6893518519</v>
      </c>
      <c r="C5959" s="56">
        <f t="shared" si="3"/>
        <v>59560</v>
      </c>
      <c r="D5959" s="56">
        <v>0.0</v>
      </c>
    </row>
    <row r="5960" ht="15.75" customHeight="1">
      <c r="B5960" s="370">
        <f t="shared" si="2"/>
        <v>0.6894675926</v>
      </c>
      <c r="C5960" s="56">
        <f t="shared" si="3"/>
        <v>59570</v>
      </c>
      <c r="D5960" s="56">
        <v>0.0</v>
      </c>
    </row>
    <row r="5961" ht="15.75" customHeight="1">
      <c r="B5961" s="370">
        <f t="shared" si="2"/>
        <v>0.6895833333</v>
      </c>
      <c r="C5961" s="56">
        <f t="shared" si="3"/>
        <v>59580</v>
      </c>
      <c r="D5961" s="56">
        <v>0.0</v>
      </c>
    </row>
    <row r="5962" ht="15.75" customHeight="1">
      <c r="B5962" s="370">
        <f t="shared" si="2"/>
        <v>0.6896990741</v>
      </c>
      <c r="C5962" s="56">
        <f t="shared" si="3"/>
        <v>59590</v>
      </c>
      <c r="D5962" s="56">
        <v>0.0</v>
      </c>
    </row>
    <row r="5963" ht="15.75" customHeight="1">
      <c r="B5963" s="370">
        <f t="shared" si="2"/>
        <v>0.6898148148</v>
      </c>
      <c r="C5963" s="56">
        <f t="shared" si="3"/>
        <v>59600</v>
      </c>
      <c r="D5963" s="56">
        <v>0.0</v>
      </c>
    </row>
    <row r="5964" ht="15.75" customHeight="1">
      <c r="B5964" s="370">
        <f t="shared" si="2"/>
        <v>0.6899305556</v>
      </c>
      <c r="C5964" s="56">
        <f t="shared" si="3"/>
        <v>59610</v>
      </c>
      <c r="D5964" s="56">
        <v>0.215</v>
      </c>
    </row>
    <row r="5965" ht="15.75" customHeight="1">
      <c r="B5965" s="370">
        <f t="shared" si="2"/>
        <v>0.6900462963</v>
      </c>
      <c r="C5965" s="56">
        <f t="shared" si="3"/>
        <v>59620</v>
      </c>
      <c r="D5965" s="56">
        <v>2.901</v>
      </c>
    </row>
    <row r="5966" ht="15.75" customHeight="1">
      <c r="B5966" s="370">
        <f t="shared" si="2"/>
        <v>0.690162037</v>
      </c>
      <c r="C5966" s="56">
        <f t="shared" si="3"/>
        <v>59630</v>
      </c>
      <c r="D5966" s="56">
        <v>3.01</v>
      </c>
    </row>
    <row r="5967" ht="15.75" customHeight="1">
      <c r="B5967" s="370">
        <f t="shared" si="2"/>
        <v>0.6902777778</v>
      </c>
      <c r="C5967" s="56">
        <f t="shared" si="3"/>
        <v>59640</v>
      </c>
      <c r="D5967" s="56">
        <v>2.859</v>
      </c>
    </row>
    <row r="5968" ht="15.75" customHeight="1">
      <c r="B5968" s="370">
        <f t="shared" si="2"/>
        <v>0.6903935185</v>
      </c>
      <c r="C5968" s="56">
        <f t="shared" si="3"/>
        <v>59650</v>
      </c>
      <c r="D5968" s="56">
        <v>2.715</v>
      </c>
    </row>
    <row r="5969" ht="15.75" customHeight="1">
      <c r="B5969" s="370">
        <f t="shared" si="2"/>
        <v>0.6905092593</v>
      </c>
      <c r="C5969" s="56">
        <f t="shared" si="3"/>
        <v>59660</v>
      </c>
      <c r="D5969" s="56">
        <v>2.523</v>
      </c>
    </row>
    <row r="5970" ht="15.75" customHeight="1">
      <c r="B5970" s="370">
        <f t="shared" si="2"/>
        <v>0.690625</v>
      </c>
      <c r="C5970" s="56">
        <f t="shared" si="3"/>
        <v>59670</v>
      </c>
      <c r="D5970" s="56">
        <v>2.233</v>
      </c>
    </row>
    <row r="5971" ht="15.75" customHeight="1">
      <c r="B5971" s="370">
        <f t="shared" si="2"/>
        <v>0.6907407407</v>
      </c>
      <c r="C5971" s="56">
        <f t="shared" si="3"/>
        <v>59680</v>
      </c>
      <c r="D5971" s="56">
        <v>2.478</v>
      </c>
    </row>
    <row r="5972" ht="15.75" customHeight="1">
      <c r="B5972" s="370">
        <f t="shared" si="2"/>
        <v>0.6908564815</v>
      </c>
      <c r="C5972" s="56">
        <f t="shared" si="3"/>
        <v>59690</v>
      </c>
      <c r="D5972" s="56">
        <v>3.294</v>
      </c>
    </row>
    <row r="5973" ht="15.75" customHeight="1">
      <c r="B5973" s="370">
        <f t="shared" si="2"/>
        <v>0.6909722222</v>
      </c>
      <c r="C5973" s="56">
        <f t="shared" si="3"/>
        <v>59700</v>
      </c>
      <c r="D5973" s="56">
        <v>3.493</v>
      </c>
    </row>
    <row r="5974" ht="15.75" customHeight="1">
      <c r="B5974" s="370">
        <f t="shared" si="2"/>
        <v>0.691087963</v>
      </c>
      <c r="C5974" s="56">
        <f t="shared" si="3"/>
        <v>59710</v>
      </c>
      <c r="D5974" s="56">
        <v>3.506</v>
      </c>
    </row>
    <row r="5975" ht="15.75" customHeight="1">
      <c r="B5975" s="370">
        <f t="shared" si="2"/>
        <v>0.6912037037</v>
      </c>
      <c r="C5975" s="56">
        <f t="shared" si="3"/>
        <v>59720</v>
      </c>
      <c r="D5975" s="56">
        <v>3.504</v>
      </c>
    </row>
    <row r="5976" ht="15.75" customHeight="1">
      <c r="B5976" s="370">
        <f t="shared" si="2"/>
        <v>0.6913194444</v>
      </c>
      <c r="C5976" s="56">
        <f t="shared" si="3"/>
        <v>59730</v>
      </c>
      <c r="D5976" s="56">
        <v>3.097</v>
      </c>
    </row>
    <row r="5977" ht="15.75" customHeight="1">
      <c r="B5977" s="370">
        <f t="shared" si="2"/>
        <v>0.6914351852</v>
      </c>
      <c r="C5977" s="56">
        <f t="shared" si="3"/>
        <v>59740</v>
      </c>
      <c r="D5977" s="56">
        <v>2.291</v>
      </c>
    </row>
    <row r="5978" ht="15.75" customHeight="1">
      <c r="B5978" s="370">
        <f t="shared" si="2"/>
        <v>0.6915509259</v>
      </c>
      <c r="C5978" s="56">
        <f t="shared" si="3"/>
        <v>59750</v>
      </c>
      <c r="D5978" s="56">
        <v>2.152</v>
      </c>
    </row>
    <row r="5979" ht="15.75" customHeight="1">
      <c r="B5979" s="370">
        <f t="shared" si="2"/>
        <v>0.6916666667</v>
      </c>
      <c r="C5979" s="56">
        <f t="shared" si="3"/>
        <v>59760</v>
      </c>
      <c r="D5979" s="56">
        <v>2.439</v>
      </c>
    </row>
    <row r="5980" ht="15.75" customHeight="1">
      <c r="B5980" s="370">
        <f t="shared" si="2"/>
        <v>0.6917824074</v>
      </c>
      <c r="C5980" s="56">
        <f t="shared" si="3"/>
        <v>59770</v>
      </c>
      <c r="D5980" s="56">
        <v>2.765</v>
      </c>
    </row>
    <row r="5981" ht="15.75" customHeight="1">
      <c r="B5981" s="370">
        <f t="shared" si="2"/>
        <v>0.6918981481</v>
      </c>
      <c r="C5981" s="56">
        <f t="shared" si="3"/>
        <v>59780</v>
      </c>
      <c r="D5981" s="56">
        <v>3.047</v>
      </c>
    </row>
    <row r="5982" ht="15.75" customHeight="1">
      <c r="B5982" s="370">
        <f t="shared" si="2"/>
        <v>0.6920138889</v>
      </c>
      <c r="C5982" s="56">
        <f t="shared" si="3"/>
        <v>59790</v>
      </c>
      <c r="D5982" s="56">
        <v>3.257</v>
      </c>
    </row>
    <row r="5983" ht="15.75" customHeight="1">
      <c r="B5983" s="370">
        <f t="shared" si="2"/>
        <v>0.6921296296</v>
      </c>
      <c r="C5983" s="56">
        <f t="shared" si="3"/>
        <v>59800</v>
      </c>
      <c r="D5983" s="56">
        <v>3.145</v>
      </c>
    </row>
    <row r="5984" ht="15.75" customHeight="1">
      <c r="B5984" s="370">
        <f t="shared" si="2"/>
        <v>0.6922453704</v>
      </c>
      <c r="C5984" s="56">
        <f t="shared" si="3"/>
        <v>59810</v>
      </c>
      <c r="D5984" s="56">
        <v>2.994</v>
      </c>
    </row>
    <row r="5985" ht="15.75" customHeight="1">
      <c r="B5985" s="370">
        <f t="shared" si="2"/>
        <v>0.6923611111</v>
      </c>
      <c r="C5985" s="56">
        <f t="shared" si="3"/>
        <v>59820</v>
      </c>
      <c r="D5985" s="56">
        <v>2.789</v>
      </c>
    </row>
    <row r="5986" ht="15.75" customHeight="1">
      <c r="B5986" s="370">
        <f t="shared" si="2"/>
        <v>0.6924768519</v>
      </c>
      <c r="C5986" s="56">
        <f t="shared" si="3"/>
        <v>59830</v>
      </c>
      <c r="D5986" s="56">
        <v>2.833</v>
      </c>
    </row>
    <row r="5987" ht="15.75" customHeight="1">
      <c r="B5987" s="370">
        <f t="shared" si="2"/>
        <v>0.6925925926</v>
      </c>
      <c r="C5987" s="56">
        <f t="shared" si="3"/>
        <v>59840</v>
      </c>
      <c r="D5987" s="56">
        <v>2.81</v>
      </c>
    </row>
    <row r="5988" ht="15.75" customHeight="1">
      <c r="B5988" s="370">
        <f t="shared" si="2"/>
        <v>0.6927083333</v>
      </c>
      <c r="C5988" s="56">
        <f t="shared" si="3"/>
        <v>59850</v>
      </c>
      <c r="D5988" s="56">
        <v>2.75</v>
      </c>
    </row>
    <row r="5989" ht="15.75" customHeight="1">
      <c r="B5989" s="370">
        <f t="shared" si="2"/>
        <v>0.6928240741</v>
      </c>
      <c r="C5989" s="56">
        <f t="shared" si="3"/>
        <v>59860</v>
      </c>
      <c r="D5989" s="56">
        <v>2.624</v>
      </c>
    </row>
    <row r="5990" ht="15.75" customHeight="1">
      <c r="B5990" s="370">
        <f t="shared" si="2"/>
        <v>0.6929398148</v>
      </c>
      <c r="C5990" s="56">
        <f t="shared" si="3"/>
        <v>59870</v>
      </c>
      <c r="D5990" s="56">
        <v>2.477</v>
      </c>
    </row>
    <row r="5991" ht="15.75" customHeight="1">
      <c r="B5991" s="370">
        <f t="shared" si="2"/>
        <v>0.6930555556</v>
      </c>
      <c r="C5991" s="56">
        <f t="shared" si="3"/>
        <v>59880</v>
      </c>
      <c r="D5991" s="56">
        <v>2.227</v>
      </c>
    </row>
    <row r="5992" ht="15.75" customHeight="1">
      <c r="B5992" s="370">
        <f t="shared" si="2"/>
        <v>0.6931712963</v>
      </c>
      <c r="C5992" s="56">
        <f t="shared" si="3"/>
        <v>59890</v>
      </c>
      <c r="D5992" s="56">
        <v>3.17</v>
      </c>
    </row>
    <row r="5993" ht="15.75" customHeight="1">
      <c r="B5993" s="370">
        <f t="shared" si="2"/>
        <v>0.693287037</v>
      </c>
      <c r="C5993" s="56">
        <f t="shared" si="3"/>
        <v>59900</v>
      </c>
      <c r="D5993" s="56">
        <v>3.445</v>
      </c>
    </row>
    <row r="5994" ht="15.75" customHeight="1">
      <c r="B5994" s="370">
        <f t="shared" si="2"/>
        <v>0.6934027778</v>
      </c>
      <c r="C5994" s="56">
        <f t="shared" si="3"/>
        <v>59910</v>
      </c>
      <c r="D5994" s="56">
        <v>3.47</v>
      </c>
    </row>
    <row r="5995" ht="15.75" customHeight="1">
      <c r="B5995" s="370">
        <f t="shared" si="2"/>
        <v>0.6935185185</v>
      </c>
      <c r="C5995" s="56">
        <f t="shared" si="3"/>
        <v>59920</v>
      </c>
      <c r="D5995" s="56">
        <v>3.501</v>
      </c>
    </row>
    <row r="5996" ht="15.75" customHeight="1">
      <c r="B5996" s="370">
        <f t="shared" si="2"/>
        <v>0.6936342593</v>
      </c>
      <c r="C5996" s="56">
        <f t="shared" si="3"/>
        <v>59930</v>
      </c>
      <c r="D5996" s="56">
        <v>3.18</v>
      </c>
    </row>
    <row r="5997" ht="15.75" customHeight="1">
      <c r="B5997" s="370">
        <f t="shared" si="2"/>
        <v>0.69375</v>
      </c>
      <c r="C5997" s="56">
        <f t="shared" si="3"/>
        <v>59940</v>
      </c>
      <c r="D5997" s="56">
        <v>2.486</v>
      </c>
    </row>
    <row r="5998" ht="15.75" customHeight="1">
      <c r="B5998" s="370">
        <f t="shared" si="2"/>
        <v>0.6938657407</v>
      </c>
      <c r="C5998" s="56">
        <f t="shared" si="3"/>
        <v>59950</v>
      </c>
      <c r="D5998" s="56">
        <v>1.95</v>
      </c>
    </row>
    <row r="5999" ht="15.75" customHeight="1">
      <c r="B5999" s="370">
        <f t="shared" si="2"/>
        <v>0.6939814815</v>
      </c>
      <c r="C5999" s="56">
        <f t="shared" si="3"/>
        <v>59960</v>
      </c>
      <c r="D5999" s="56">
        <v>2.28</v>
      </c>
    </row>
    <row r="6000" ht="15.75" customHeight="1">
      <c r="B6000" s="370">
        <f t="shared" si="2"/>
        <v>0.6940972222</v>
      </c>
      <c r="C6000" s="56">
        <f t="shared" si="3"/>
        <v>59970</v>
      </c>
      <c r="D6000" s="56">
        <v>2.677</v>
      </c>
    </row>
    <row r="6001" ht="15.75" customHeight="1">
      <c r="B6001" s="370">
        <f t="shared" si="2"/>
        <v>0.694212963</v>
      </c>
      <c r="C6001" s="56">
        <f t="shared" si="3"/>
        <v>59980</v>
      </c>
      <c r="D6001" s="56">
        <v>3.054</v>
      </c>
    </row>
    <row r="6002" ht="15.75" customHeight="1">
      <c r="B6002" s="370">
        <f t="shared" si="2"/>
        <v>0.6943287037</v>
      </c>
      <c r="C6002" s="56">
        <f t="shared" si="3"/>
        <v>59990</v>
      </c>
      <c r="D6002" s="56">
        <v>3.346</v>
      </c>
    </row>
    <row r="6003" ht="15.75" customHeight="1">
      <c r="B6003" s="370">
        <f t="shared" si="2"/>
        <v>0.6944444444</v>
      </c>
      <c r="C6003" s="56">
        <f t="shared" si="3"/>
        <v>60000</v>
      </c>
      <c r="D6003" s="56">
        <v>3.253</v>
      </c>
    </row>
    <row r="6004" ht="15.75" customHeight="1">
      <c r="B6004" s="370">
        <f t="shared" si="2"/>
        <v>0.6945601852</v>
      </c>
      <c r="C6004" s="56">
        <f t="shared" si="3"/>
        <v>60010</v>
      </c>
      <c r="D6004" s="56">
        <v>3.207</v>
      </c>
    </row>
    <row r="6005" ht="15.75" customHeight="1">
      <c r="B6005" s="370">
        <f t="shared" si="2"/>
        <v>0.6946759259</v>
      </c>
      <c r="C6005" s="56">
        <f t="shared" si="3"/>
        <v>60020</v>
      </c>
      <c r="D6005" s="56">
        <v>2.942</v>
      </c>
    </row>
    <row r="6006" ht="15.75" customHeight="1">
      <c r="B6006" s="370">
        <f t="shared" si="2"/>
        <v>0.6947916667</v>
      </c>
      <c r="C6006" s="56">
        <f t="shared" si="3"/>
        <v>60030</v>
      </c>
      <c r="D6006" s="56">
        <v>2.693</v>
      </c>
    </row>
    <row r="6007" ht="15.75" customHeight="1">
      <c r="B6007" s="370">
        <f t="shared" si="2"/>
        <v>0.6949074074</v>
      </c>
      <c r="C6007" s="56">
        <f t="shared" si="3"/>
        <v>60040</v>
      </c>
      <c r="D6007" s="56">
        <v>2.726</v>
      </c>
    </row>
    <row r="6008" ht="15.75" customHeight="1">
      <c r="B6008" s="370">
        <f t="shared" si="2"/>
        <v>0.6950231481</v>
      </c>
      <c r="C6008" s="56">
        <f t="shared" si="3"/>
        <v>60050</v>
      </c>
      <c r="D6008" s="56">
        <v>2.752</v>
      </c>
    </row>
    <row r="6009" ht="15.75" customHeight="1">
      <c r="B6009" s="370">
        <f t="shared" si="2"/>
        <v>0.6951388889</v>
      </c>
      <c r="C6009" s="56">
        <f t="shared" si="3"/>
        <v>60060</v>
      </c>
      <c r="D6009" s="56">
        <v>2.689</v>
      </c>
    </row>
    <row r="6010" ht="15.75" customHeight="1">
      <c r="B6010" s="370">
        <f t="shared" si="2"/>
        <v>0.6952546296</v>
      </c>
      <c r="C6010" s="56">
        <f t="shared" si="3"/>
        <v>60070</v>
      </c>
      <c r="D6010" s="56">
        <v>2.618</v>
      </c>
    </row>
    <row r="6011" ht="15.75" customHeight="1">
      <c r="B6011" s="370">
        <f t="shared" si="2"/>
        <v>0.6953703704</v>
      </c>
      <c r="C6011" s="56">
        <f t="shared" si="3"/>
        <v>60080</v>
      </c>
      <c r="D6011" s="56">
        <v>2.39</v>
      </c>
    </row>
    <row r="6012" ht="15.75" customHeight="1">
      <c r="B6012" s="370">
        <f t="shared" si="2"/>
        <v>0.6954861111</v>
      </c>
      <c r="C6012" s="56">
        <f t="shared" si="3"/>
        <v>60090</v>
      </c>
      <c r="D6012" s="56">
        <v>3.014</v>
      </c>
    </row>
    <row r="6013" ht="15.75" customHeight="1">
      <c r="B6013" s="370">
        <f t="shared" si="2"/>
        <v>0.6956018519</v>
      </c>
      <c r="C6013" s="56">
        <f t="shared" si="3"/>
        <v>60100</v>
      </c>
      <c r="D6013" s="56">
        <v>3.36</v>
      </c>
    </row>
    <row r="6014" ht="15.75" customHeight="1">
      <c r="B6014" s="370">
        <f t="shared" si="2"/>
        <v>0.6957175926</v>
      </c>
      <c r="C6014" s="56">
        <f t="shared" si="3"/>
        <v>60110</v>
      </c>
      <c r="D6014" s="56">
        <v>3.407</v>
      </c>
    </row>
    <row r="6015" ht="15.75" customHeight="1">
      <c r="B6015" s="370">
        <f t="shared" si="2"/>
        <v>0.6958333333</v>
      </c>
      <c r="C6015" s="56">
        <f t="shared" si="3"/>
        <v>60120</v>
      </c>
      <c r="D6015" s="56">
        <v>3.461</v>
      </c>
    </row>
    <row r="6016" ht="15.75" customHeight="1">
      <c r="B6016" s="370">
        <f t="shared" si="2"/>
        <v>0.6959490741</v>
      </c>
      <c r="C6016" s="56">
        <f t="shared" si="3"/>
        <v>60130</v>
      </c>
      <c r="D6016" s="56">
        <v>3.229</v>
      </c>
    </row>
    <row r="6017" ht="15.75" customHeight="1">
      <c r="B6017" s="370">
        <f t="shared" si="2"/>
        <v>0.6960648148</v>
      </c>
      <c r="C6017" s="56">
        <f t="shared" si="3"/>
        <v>60140</v>
      </c>
      <c r="D6017" s="56">
        <v>2.601</v>
      </c>
    </row>
    <row r="6018" ht="15.75" customHeight="1">
      <c r="B6018" s="370">
        <f t="shared" si="2"/>
        <v>0.6961805556</v>
      </c>
      <c r="C6018" s="56">
        <f t="shared" si="3"/>
        <v>60150</v>
      </c>
      <c r="D6018" s="56">
        <v>2.141</v>
      </c>
    </row>
    <row r="6019" ht="15.75" customHeight="1">
      <c r="B6019" s="370">
        <f t="shared" si="2"/>
        <v>0.6962962963</v>
      </c>
      <c r="C6019" s="56">
        <f t="shared" si="3"/>
        <v>60160</v>
      </c>
      <c r="D6019" s="56">
        <v>2.028</v>
      </c>
    </row>
    <row r="6020" ht="15.75" customHeight="1">
      <c r="B6020" s="370">
        <f t="shared" si="2"/>
        <v>0.696412037</v>
      </c>
      <c r="C6020" s="56">
        <f t="shared" si="3"/>
        <v>60170</v>
      </c>
      <c r="D6020" s="56">
        <v>2.553</v>
      </c>
    </row>
    <row r="6021" ht="15.75" customHeight="1">
      <c r="B6021" s="370">
        <f t="shared" si="2"/>
        <v>0.6965277778</v>
      </c>
      <c r="C6021" s="56">
        <f t="shared" si="3"/>
        <v>60180</v>
      </c>
      <c r="D6021" s="56">
        <v>3.027</v>
      </c>
    </row>
    <row r="6022" ht="15.75" customHeight="1">
      <c r="B6022" s="370">
        <f t="shared" si="2"/>
        <v>0.6966435185</v>
      </c>
      <c r="C6022" s="56">
        <f t="shared" si="3"/>
        <v>60190</v>
      </c>
      <c r="D6022" s="56">
        <v>3.415</v>
      </c>
    </row>
    <row r="6023" ht="15.75" customHeight="1">
      <c r="B6023" s="370">
        <f t="shared" si="2"/>
        <v>0.6967592593</v>
      </c>
      <c r="C6023" s="56">
        <f t="shared" si="3"/>
        <v>60200</v>
      </c>
      <c r="D6023" s="56">
        <v>3.38</v>
      </c>
    </row>
    <row r="6024" ht="15.75" customHeight="1">
      <c r="B6024" s="370">
        <f t="shared" si="2"/>
        <v>0.696875</v>
      </c>
      <c r="C6024" s="56">
        <f t="shared" si="3"/>
        <v>60210</v>
      </c>
      <c r="D6024" s="56">
        <v>3.323</v>
      </c>
    </row>
    <row r="6025" ht="15.75" customHeight="1">
      <c r="B6025" s="370">
        <f t="shared" si="2"/>
        <v>0.6969907407</v>
      </c>
      <c r="C6025" s="56">
        <f t="shared" si="3"/>
        <v>60220</v>
      </c>
      <c r="D6025" s="56">
        <v>3.126</v>
      </c>
    </row>
    <row r="6026" ht="15.75" customHeight="1">
      <c r="B6026" s="370">
        <f t="shared" si="2"/>
        <v>0.6971064815</v>
      </c>
      <c r="C6026" s="56">
        <f t="shared" si="3"/>
        <v>60230</v>
      </c>
      <c r="D6026" s="56">
        <v>2.446</v>
      </c>
    </row>
    <row r="6027" ht="15.75" customHeight="1">
      <c r="B6027" s="370">
        <f t="shared" si="2"/>
        <v>0.6972222222</v>
      </c>
      <c r="C6027" s="56">
        <f t="shared" si="3"/>
        <v>60240</v>
      </c>
      <c r="D6027" s="56">
        <v>2.609</v>
      </c>
    </row>
    <row r="6028" ht="15.75" customHeight="1">
      <c r="B6028" s="370">
        <f t="shared" si="2"/>
        <v>0.697337963</v>
      </c>
      <c r="C6028" s="56">
        <f t="shared" si="3"/>
        <v>60250</v>
      </c>
      <c r="D6028" s="56">
        <v>2.719</v>
      </c>
    </row>
    <row r="6029" ht="15.75" customHeight="1">
      <c r="B6029" s="370">
        <f t="shared" si="2"/>
        <v>0.6974537037</v>
      </c>
      <c r="C6029" s="56">
        <f t="shared" si="3"/>
        <v>60260</v>
      </c>
      <c r="D6029" s="56">
        <v>2.719</v>
      </c>
    </row>
    <row r="6030" ht="15.75" customHeight="1">
      <c r="B6030" s="370">
        <f t="shared" si="2"/>
        <v>0.6975694444</v>
      </c>
      <c r="C6030" s="56">
        <f t="shared" si="3"/>
        <v>60270</v>
      </c>
      <c r="D6030" s="56">
        <v>2.722</v>
      </c>
    </row>
    <row r="6031" ht="15.75" customHeight="1">
      <c r="B6031" s="370">
        <f t="shared" si="2"/>
        <v>0.6976851852</v>
      </c>
      <c r="C6031" s="56">
        <f t="shared" si="3"/>
        <v>60280</v>
      </c>
      <c r="D6031" s="56">
        <v>2.513</v>
      </c>
    </row>
    <row r="6032" ht="15.75" customHeight="1">
      <c r="B6032" s="370">
        <f t="shared" si="2"/>
        <v>0.6978009259</v>
      </c>
      <c r="C6032" s="56">
        <f t="shared" si="3"/>
        <v>60290</v>
      </c>
      <c r="D6032" s="56">
        <v>2.849</v>
      </c>
    </row>
    <row r="6033" ht="15.75" customHeight="1">
      <c r="B6033" s="370">
        <f t="shared" si="2"/>
        <v>0.6979166667</v>
      </c>
      <c r="C6033" s="56">
        <f t="shared" si="3"/>
        <v>60300</v>
      </c>
      <c r="D6033" s="56">
        <v>3.23</v>
      </c>
    </row>
    <row r="6034" ht="15.75" customHeight="1">
      <c r="B6034" s="370">
        <f t="shared" si="2"/>
        <v>0.6980324074</v>
      </c>
      <c r="C6034" s="56">
        <f t="shared" si="3"/>
        <v>60310</v>
      </c>
      <c r="D6034" s="56">
        <v>3.311</v>
      </c>
    </row>
    <row r="6035" ht="15.75" customHeight="1">
      <c r="B6035" s="370">
        <f t="shared" si="2"/>
        <v>0.6981481481</v>
      </c>
      <c r="C6035" s="56">
        <f t="shared" si="3"/>
        <v>60320</v>
      </c>
      <c r="D6035" s="56">
        <v>3.401</v>
      </c>
    </row>
    <row r="6036" ht="15.75" customHeight="1">
      <c r="B6036" s="370">
        <f t="shared" si="2"/>
        <v>0.6982638889</v>
      </c>
      <c r="C6036" s="56">
        <f t="shared" si="3"/>
        <v>60330</v>
      </c>
      <c r="D6036" s="56">
        <v>3.24</v>
      </c>
    </row>
    <row r="6037" ht="15.75" customHeight="1">
      <c r="B6037" s="370">
        <f t="shared" si="2"/>
        <v>0.6983796296</v>
      </c>
      <c r="C6037" s="56">
        <f t="shared" si="3"/>
        <v>60340</v>
      </c>
      <c r="D6037" s="56">
        <v>2.745</v>
      </c>
    </row>
    <row r="6038" ht="15.75" customHeight="1">
      <c r="B6038" s="370">
        <f t="shared" si="2"/>
        <v>0.6984953704</v>
      </c>
      <c r="C6038" s="56">
        <f t="shared" si="3"/>
        <v>60350</v>
      </c>
      <c r="D6038" s="56">
        <v>2.331</v>
      </c>
    </row>
    <row r="6039" ht="15.75" customHeight="1">
      <c r="B6039" s="370">
        <f t="shared" si="2"/>
        <v>0.6986111111</v>
      </c>
      <c r="C6039" s="56">
        <f t="shared" si="3"/>
        <v>60360</v>
      </c>
      <c r="D6039" s="56">
        <v>1.949</v>
      </c>
    </row>
    <row r="6040" ht="15.75" customHeight="1">
      <c r="B6040" s="370">
        <f t="shared" si="2"/>
        <v>0.6987268519</v>
      </c>
      <c r="C6040" s="56">
        <f t="shared" si="3"/>
        <v>60370</v>
      </c>
      <c r="D6040" s="56">
        <v>2.387</v>
      </c>
    </row>
    <row r="6041" ht="15.75" customHeight="1">
      <c r="B6041" s="370">
        <f t="shared" si="2"/>
        <v>0.6988425926</v>
      </c>
      <c r="C6041" s="56">
        <f t="shared" si="3"/>
        <v>60380</v>
      </c>
      <c r="D6041" s="56">
        <v>2.96</v>
      </c>
    </row>
    <row r="6042" ht="15.75" customHeight="1">
      <c r="B6042" s="370">
        <f t="shared" si="2"/>
        <v>0.6989583333</v>
      </c>
      <c r="C6042" s="56">
        <f t="shared" si="3"/>
        <v>60390</v>
      </c>
      <c r="D6042" s="56">
        <v>3.446</v>
      </c>
    </row>
    <row r="6043" ht="15.75" customHeight="1">
      <c r="B6043" s="370">
        <f t="shared" si="2"/>
        <v>0.6990740741</v>
      </c>
      <c r="C6043" s="56">
        <f t="shared" si="3"/>
        <v>60400</v>
      </c>
      <c r="D6043" s="56">
        <v>3.46</v>
      </c>
    </row>
    <row r="6044" ht="15.75" customHeight="1">
      <c r="B6044" s="370">
        <f t="shared" si="2"/>
        <v>0.6991898148</v>
      </c>
      <c r="C6044" s="56">
        <f t="shared" si="3"/>
        <v>60410</v>
      </c>
      <c r="D6044" s="56">
        <v>3.408</v>
      </c>
    </row>
    <row r="6045" ht="15.75" customHeight="1">
      <c r="B6045" s="370">
        <f t="shared" si="2"/>
        <v>0.6993055556</v>
      </c>
      <c r="C6045" s="56">
        <f t="shared" si="3"/>
        <v>60420</v>
      </c>
      <c r="D6045" s="56">
        <v>3.24</v>
      </c>
    </row>
    <row r="6046" ht="15.75" customHeight="1">
      <c r="B6046" s="370">
        <f t="shared" si="2"/>
        <v>0.6994212963</v>
      </c>
      <c r="C6046" s="56">
        <f t="shared" si="3"/>
        <v>60430</v>
      </c>
      <c r="D6046" s="56">
        <v>2.556</v>
      </c>
    </row>
    <row r="6047" ht="15.75" customHeight="1">
      <c r="B6047" s="370">
        <f t="shared" si="2"/>
        <v>0.699537037</v>
      </c>
      <c r="C6047" s="56">
        <f t="shared" si="3"/>
        <v>60440</v>
      </c>
      <c r="D6047" s="56">
        <v>2.413</v>
      </c>
    </row>
    <row r="6048" ht="15.75" customHeight="1">
      <c r="B6048" s="370">
        <f t="shared" si="2"/>
        <v>0.6996527778</v>
      </c>
      <c r="C6048" s="56">
        <f t="shared" si="3"/>
        <v>60450</v>
      </c>
      <c r="D6048" s="56">
        <v>2.647</v>
      </c>
    </row>
    <row r="6049" ht="15.75" customHeight="1">
      <c r="B6049" s="370">
        <f t="shared" si="2"/>
        <v>0.6997685185</v>
      </c>
      <c r="C6049" s="56">
        <f t="shared" si="3"/>
        <v>60460</v>
      </c>
      <c r="D6049" s="56">
        <v>2.716</v>
      </c>
    </row>
    <row r="6050" ht="15.75" customHeight="1">
      <c r="B6050" s="370">
        <f t="shared" si="2"/>
        <v>0.6998842593</v>
      </c>
      <c r="C6050" s="56">
        <f t="shared" si="3"/>
        <v>60470</v>
      </c>
      <c r="D6050" s="56">
        <v>2.796</v>
      </c>
    </row>
    <row r="6051" ht="15.75" customHeight="1">
      <c r="B6051" s="370">
        <f t="shared" si="2"/>
        <v>0.7</v>
      </c>
      <c r="C6051" s="56">
        <f t="shared" si="3"/>
        <v>60480</v>
      </c>
      <c r="D6051" s="56">
        <v>2.743</v>
      </c>
    </row>
    <row r="6052" ht="15.75" customHeight="1">
      <c r="B6052" s="370">
        <f t="shared" si="2"/>
        <v>0.7001157407</v>
      </c>
      <c r="C6052" s="56">
        <f t="shared" si="3"/>
        <v>60490</v>
      </c>
      <c r="D6052" s="56">
        <v>2.68</v>
      </c>
    </row>
    <row r="6053" ht="15.75" customHeight="1">
      <c r="B6053" s="370">
        <f t="shared" si="2"/>
        <v>0.7002314815</v>
      </c>
      <c r="C6053" s="56">
        <f t="shared" si="3"/>
        <v>60500</v>
      </c>
      <c r="D6053" s="56">
        <v>3.111</v>
      </c>
    </row>
    <row r="6054" ht="15.75" customHeight="1">
      <c r="B6054" s="370">
        <f t="shared" si="2"/>
        <v>0.7003472222</v>
      </c>
      <c r="C6054" s="56">
        <f t="shared" si="3"/>
        <v>60510</v>
      </c>
      <c r="D6054" s="56">
        <v>3.187</v>
      </c>
    </row>
    <row r="6055" ht="15.75" customHeight="1">
      <c r="B6055" s="370">
        <f t="shared" si="2"/>
        <v>0.700462963</v>
      </c>
      <c r="C6055" s="56">
        <f t="shared" si="3"/>
        <v>60520</v>
      </c>
      <c r="D6055" s="56">
        <v>3.302</v>
      </c>
    </row>
    <row r="6056" ht="15.75" customHeight="1">
      <c r="B6056" s="370">
        <f t="shared" si="2"/>
        <v>0.7005787037</v>
      </c>
      <c r="C6056" s="56">
        <f t="shared" si="3"/>
        <v>60530</v>
      </c>
      <c r="D6056" s="56">
        <v>3.217</v>
      </c>
    </row>
    <row r="6057" ht="15.75" customHeight="1">
      <c r="B6057" s="370">
        <f t="shared" si="2"/>
        <v>0.7006944444</v>
      </c>
      <c r="C6057" s="56">
        <f t="shared" si="3"/>
        <v>60540</v>
      </c>
      <c r="D6057" s="56">
        <v>2.822</v>
      </c>
    </row>
    <row r="6058" ht="15.75" customHeight="1">
      <c r="B6058" s="370">
        <f t="shared" si="2"/>
        <v>0.7008101852</v>
      </c>
      <c r="C6058" s="56">
        <f t="shared" si="3"/>
        <v>60550</v>
      </c>
      <c r="D6058" s="56">
        <v>2.478</v>
      </c>
    </row>
    <row r="6059" ht="15.75" customHeight="1">
      <c r="B6059" s="370">
        <f t="shared" si="2"/>
        <v>0.7009259259</v>
      </c>
      <c r="C6059" s="56">
        <f t="shared" si="3"/>
        <v>60560</v>
      </c>
      <c r="D6059" s="56">
        <v>2.074</v>
      </c>
    </row>
    <row r="6060" ht="15.75" customHeight="1">
      <c r="B6060" s="370">
        <f t="shared" si="2"/>
        <v>0.7010416667</v>
      </c>
      <c r="C6060" s="56">
        <f t="shared" si="3"/>
        <v>60570</v>
      </c>
      <c r="D6060" s="56">
        <v>2.209</v>
      </c>
    </row>
    <row r="6061" ht="15.75" customHeight="1">
      <c r="B6061" s="370">
        <f t="shared" si="2"/>
        <v>0.7011574074</v>
      </c>
      <c r="C6061" s="56">
        <f t="shared" si="3"/>
        <v>60580</v>
      </c>
      <c r="D6061" s="56">
        <v>2.864</v>
      </c>
    </row>
    <row r="6062" ht="15.75" customHeight="1">
      <c r="B6062" s="370">
        <f t="shared" si="2"/>
        <v>0.7012731481</v>
      </c>
      <c r="C6062" s="56">
        <f t="shared" si="3"/>
        <v>60590</v>
      </c>
      <c r="D6062" s="56">
        <v>3.44</v>
      </c>
    </row>
    <row r="6063" ht="15.75" customHeight="1">
      <c r="B6063" s="370">
        <f t="shared" si="2"/>
        <v>0.7013888889</v>
      </c>
      <c r="C6063" s="56">
        <f t="shared" si="3"/>
        <v>60600</v>
      </c>
      <c r="D6063" s="56">
        <v>3.503</v>
      </c>
    </row>
    <row r="6064" ht="15.75" customHeight="1">
      <c r="B6064" s="370">
        <f t="shared" si="2"/>
        <v>0.7015046296</v>
      </c>
      <c r="C6064" s="56">
        <f t="shared" si="3"/>
        <v>60610</v>
      </c>
      <c r="D6064" s="56">
        <v>3.477</v>
      </c>
    </row>
    <row r="6065" ht="15.75" customHeight="1">
      <c r="B6065" s="370">
        <f t="shared" si="2"/>
        <v>0.7016203704</v>
      </c>
      <c r="C6065" s="56">
        <f t="shared" si="3"/>
        <v>60620</v>
      </c>
      <c r="D6065" s="56">
        <v>3.373</v>
      </c>
    </row>
    <row r="6066" ht="15.75" customHeight="1">
      <c r="B6066" s="370">
        <f t="shared" si="2"/>
        <v>0.7017361111</v>
      </c>
      <c r="C6066" s="56">
        <f t="shared" si="3"/>
        <v>60630</v>
      </c>
      <c r="D6066" s="56">
        <v>2.746</v>
      </c>
    </row>
    <row r="6067" ht="15.75" customHeight="1">
      <c r="B6067" s="370">
        <f t="shared" si="2"/>
        <v>0.7018518519</v>
      </c>
      <c r="C6067" s="56">
        <f t="shared" si="3"/>
        <v>60640</v>
      </c>
      <c r="D6067" s="56">
        <v>2.271</v>
      </c>
    </row>
    <row r="6068" ht="15.75" customHeight="1">
      <c r="B6068" s="370">
        <f t="shared" si="2"/>
        <v>0.7019675926</v>
      </c>
      <c r="C6068" s="56">
        <f t="shared" si="3"/>
        <v>60650</v>
      </c>
      <c r="D6068" s="56">
        <v>2.548</v>
      </c>
    </row>
    <row r="6069" ht="15.75" customHeight="1">
      <c r="B6069" s="370">
        <f t="shared" si="2"/>
        <v>0.7020833333</v>
      </c>
      <c r="C6069" s="56">
        <f t="shared" si="3"/>
        <v>60660</v>
      </c>
      <c r="D6069" s="56">
        <v>2.676</v>
      </c>
    </row>
    <row r="6070" ht="15.75" customHeight="1">
      <c r="B6070" s="370">
        <f t="shared" si="2"/>
        <v>0.7021990741</v>
      </c>
      <c r="C6070" s="56">
        <f t="shared" si="3"/>
        <v>60670</v>
      </c>
      <c r="D6070" s="56">
        <v>2.831</v>
      </c>
    </row>
    <row r="6071" ht="15.75" customHeight="1">
      <c r="B6071" s="370">
        <f t="shared" si="2"/>
        <v>0.7023148148</v>
      </c>
      <c r="C6071" s="56">
        <f t="shared" si="3"/>
        <v>60680</v>
      </c>
      <c r="D6071" s="56">
        <v>2.874</v>
      </c>
    </row>
    <row r="6072" ht="15.75" customHeight="1">
      <c r="B6072" s="370">
        <f t="shared" si="2"/>
        <v>0.7024305556</v>
      </c>
      <c r="C6072" s="56">
        <f t="shared" si="3"/>
        <v>60690</v>
      </c>
      <c r="D6072" s="56">
        <v>2.883</v>
      </c>
    </row>
    <row r="6073" ht="15.75" customHeight="1">
      <c r="B6073" s="370">
        <f t="shared" si="2"/>
        <v>0.7025462963</v>
      </c>
      <c r="C6073" s="56">
        <f t="shared" si="3"/>
        <v>60700</v>
      </c>
      <c r="D6073" s="56">
        <v>2.906</v>
      </c>
    </row>
    <row r="6074" ht="15.75" customHeight="1">
      <c r="B6074" s="370">
        <f t="shared" si="2"/>
        <v>0.702662037</v>
      </c>
      <c r="C6074" s="56">
        <f t="shared" si="3"/>
        <v>60710</v>
      </c>
      <c r="D6074" s="56">
        <v>3.054</v>
      </c>
    </row>
    <row r="6075" ht="15.75" customHeight="1">
      <c r="B6075" s="370">
        <f t="shared" si="2"/>
        <v>0.7027777778</v>
      </c>
      <c r="C6075" s="56">
        <f t="shared" si="3"/>
        <v>60720</v>
      </c>
      <c r="D6075" s="56">
        <v>3.147</v>
      </c>
    </row>
    <row r="6076" ht="15.75" customHeight="1">
      <c r="B6076" s="370">
        <f t="shared" si="2"/>
        <v>0.7028935185</v>
      </c>
      <c r="C6076" s="56">
        <f t="shared" si="3"/>
        <v>60730</v>
      </c>
      <c r="D6076" s="56">
        <v>3.157</v>
      </c>
    </row>
    <row r="6077" ht="15.75" customHeight="1">
      <c r="B6077" s="370">
        <f t="shared" si="2"/>
        <v>0.7030092593</v>
      </c>
      <c r="C6077" s="56">
        <f t="shared" si="3"/>
        <v>60740</v>
      </c>
      <c r="D6077" s="56">
        <v>2.864</v>
      </c>
    </row>
    <row r="6078" ht="15.75" customHeight="1">
      <c r="B6078" s="370">
        <f t="shared" si="2"/>
        <v>0.703125</v>
      </c>
      <c r="C6078" s="56">
        <f t="shared" si="3"/>
        <v>60750</v>
      </c>
      <c r="D6078" s="56">
        <v>2.586</v>
      </c>
    </row>
    <row r="6079" ht="15.75" customHeight="1">
      <c r="B6079" s="370">
        <f t="shared" si="2"/>
        <v>0.7032407407</v>
      </c>
      <c r="C6079" s="56">
        <f t="shared" si="3"/>
        <v>60760</v>
      </c>
      <c r="D6079" s="56">
        <v>2.323</v>
      </c>
    </row>
    <row r="6080" ht="15.75" customHeight="1">
      <c r="B6080" s="370">
        <f t="shared" si="2"/>
        <v>0.7033564815</v>
      </c>
      <c r="C6080" s="56">
        <f t="shared" si="3"/>
        <v>60770</v>
      </c>
      <c r="D6080" s="56">
        <v>2.005</v>
      </c>
    </row>
    <row r="6081" ht="15.75" customHeight="1">
      <c r="B6081" s="370">
        <f t="shared" si="2"/>
        <v>0.7034722222</v>
      </c>
      <c r="C6081" s="56">
        <f t="shared" si="3"/>
        <v>60780</v>
      </c>
      <c r="D6081" s="56">
        <v>2.729</v>
      </c>
    </row>
    <row r="6082" ht="15.75" customHeight="1">
      <c r="B6082" s="370">
        <f t="shared" si="2"/>
        <v>0.703587963</v>
      </c>
      <c r="C6082" s="56">
        <f t="shared" si="3"/>
        <v>60790</v>
      </c>
      <c r="D6082" s="56">
        <v>3.405</v>
      </c>
    </row>
    <row r="6083" ht="15.75" customHeight="1">
      <c r="B6083" s="370">
        <f t="shared" si="2"/>
        <v>0.7037037037</v>
      </c>
      <c r="C6083" s="56">
        <f t="shared" si="3"/>
        <v>60800</v>
      </c>
      <c r="D6083" s="56">
        <v>3.524</v>
      </c>
    </row>
    <row r="6084" ht="15.75" customHeight="1">
      <c r="B6084" s="370">
        <f t="shared" si="2"/>
        <v>0.7038194444</v>
      </c>
      <c r="C6084" s="56">
        <f t="shared" si="3"/>
        <v>60810</v>
      </c>
      <c r="D6084" s="56">
        <v>3.509</v>
      </c>
    </row>
    <row r="6085" ht="15.75" customHeight="1">
      <c r="B6085" s="370">
        <f t="shared" si="2"/>
        <v>0.7039351852</v>
      </c>
      <c r="C6085" s="56">
        <f t="shared" si="3"/>
        <v>60820</v>
      </c>
      <c r="D6085" s="56">
        <v>3.45</v>
      </c>
    </row>
    <row r="6086" ht="15.75" customHeight="1">
      <c r="B6086" s="370">
        <f t="shared" si="2"/>
        <v>0.7040509259</v>
      </c>
      <c r="C6086" s="56">
        <f t="shared" si="3"/>
        <v>60830</v>
      </c>
      <c r="D6086" s="56">
        <v>2.912</v>
      </c>
    </row>
    <row r="6087" ht="15.75" customHeight="1">
      <c r="B6087" s="370">
        <f t="shared" si="2"/>
        <v>0.7041666667</v>
      </c>
      <c r="C6087" s="56">
        <f t="shared" si="3"/>
        <v>60840</v>
      </c>
      <c r="D6087" s="56">
        <v>2.033</v>
      </c>
    </row>
    <row r="6088" ht="15.75" customHeight="1">
      <c r="B6088" s="370">
        <f t="shared" si="2"/>
        <v>0.7042824074</v>
      </c>
      <c r="C6088" s="56">
        <f t="shared" si="3"/>
        <v>60850</v>
      </c>
      <c r="D6088" s="56">
        <v>2.41</v>
      </c>
    </row>
    <row r="6089" ht="15.75" customHeight="1">
      <c r="B6089" s="370">
        <f t="shared" si="2"/>
        <v>0.7043981481</v>
      </c>
      <c r="C6089" s="56">
        <f t="shared" si="3"/>
        <v>60860</v>
      </c>
      <c r="D6089" s="56">
        <v>2.605</v>
      </c>
    </row>
    <row r="6090" ht="15.75" customHeight="1">
      <c r="B6090" s="370">
        <f t="shared" si="2"/>
        <v>0.7045138889</v>
      </c>
      <c r="C6090" s="56">
        <f t="shared" si="3"/>
        <v>60870</v>
      </c>
      <c r="D6090" s="56">
        <v>2.831</v>
      </c>
    </row>
    <row r="6091" ht="15.75" customHeight="1">
      <c r="B6091" s="370">
        <f t="shared" si="2"/>
        <v>0.7046296296</v>
      </c>
      <c r="C6091" s="56">
        <f t="shared" si="3"/>
        <v>60880</v>
      </c>
      <c r="D6091" s="56">
        <v>2.969</v>
      </c>
    </row>
    <row r="6092" ht="15.75" customHeight="1">
      <c r="B6092" s="370">
        <f t="shared" si="2"/>
        <v>0.7047453704</v>
      </c>
      <c r="C6092" s="56">
        <f t="shared" si="3"/>
        <v>60890</v>
      </c>
      <c r="D6092" s="56">
        <v>3.006</v>
      </c>
    </row>
    <row r="6093" ht="15.75" customHeight="1">
      <c r="B6093" s="370">
        <f t="shared" si="2"/>
        <v>0.7048611111</v>
      </c>
      <c r="C6093" s="56">
        <f t="shared" si="3"/>
        <v>60900</v>
      </c>
      <c r="D6093" s="56">
        <v>2.913</v>
      </c>
    </row>
    <row r="6094" ht="15.75" customHeight="1">
      <c r="B6094" s="370">
        <f t="shared" si="2"/>
        <v>0.7049768519</v>
      </c>
      <c r="C6094" s="56">
        <f t="shared" si="3"/>
        <v>60910</v>
      </c>
      <c r="D6094" s="56">
        <v>2.876</v>
      </c>
    </row>
    <row r="6095" ht="15.75" customHeight="1">
      <c r="B6095" s="370">
        <f t="shared" si="2"/>
        <v>0.7050925926</v>
      </c>
      <c r="C6095" s="56">
        <f t="shared" si="3"/>
        <v>60920</v>
      </c>
      <c r="D6095" s="56">
        <v>3.016</v>
      </c>
    </row>
    <row r="6096" ht="15.75" customHeight="1">
      <c r="B6096" s="370">
        <f t="shared" si="2"/>
        <v>0.7052083333</v>
      </c>
      <c r="C6096" s="56">
        <f t="shared" si="3"/>
        <v>60930</v>
      </c>
      <c r="D6096" s="56">
        <v>3.066</v>
      </c>
    </row>
    <row r="6097" ht="15.75" customHeight="1">
      <c r="B6097" s="370">
        <f t="shared" si="2"/>
        <v>0.7053240741</v>
      </c>
      <c r="C6097" s="56">
        <f t="shared" si="3"/>
        <v>60940</v>
      </c>
      <c r="D6097" s="56">
        <v>2.869</v>
      </c>
    </row>
    <row r="6098" ht="15.75" customHeight="1">
      <c r="B6098" s="370">
        <f t="shared" si="2"/>
        <v>0.7054398148</v>
      </c>
      <c r="C6098" s="56">
        <f t="shared" si="3"/>
        <v>60950</v>
      </c>
      <c r="D6098" s="56">
        <v>2.686</v>
      </c>
    </row>
    <row r="6099" ht="15.75" customHeight="1">
      <c r="B6099" s="370">
        <f t="shared" si="2"/>
        <v>0.7055555556</v>
      </c>
      <c r="C6099" s="56">
        <f t="shared" si="3"/>
        <v>60960</v>
      </c>
      <c r="D6099" s="56">
        <v>2.472</v>
      </c>
    </row>
    <row r="6100" ht="15.75" customHeight="1">
      <c r="B6100" s="370">
        <f t="shared" si="2"/>
        <v>0.7056712963</v>
      </c>
      <c r="C6100" s="56">
        <f t="shared" si="3"/>
        <v>60970</v>
      </c>
      <c r="D6100" s="56">
        <v>2.212</v>
      </c>
    </row>
    <row r="6101" ht="15.75" customHeight="1">
      <c r="B6101" s="370">
        <f t="shared" si="2"/>
        <v>0.705787037</v>
      </c>
      <c r="C6101" s="56">
        <f t="shared" si="3"/>
        <v>60980</v>
      </c>
      <c r="D6101" s="56">
        <v>2.545</v>
      </c>
    </row>
    <row r="6102" ht="15.75" customHeight="1">
      <c r="B6102" s="370">
        <f t="shared" si="2"/>
        <v>0.7059027778</v>
      </c>
      <c r="C6102" s="56">
        <f t="shared" si="3"/>
        <v>60990</v>
      </c>
      <c r="D6102" s="56">
        <v>3.335</v>
      </c>
    </row>
    <row r="6103" ht="15.75" customHeight="1">
      <c r="B6103" s="370">
        <f t="shared" si="2"/>
        <v>0.7060185185</v>
      </c>
      <c r="C6103" s="56">
        <f t="shared" si="3"/>
        <v>61000</v>
      </c>
      <c r="D6103" s="56">
        <v>3.514</v>
      </c>
    </row>
    <row r="6104" ht="15.75" customHeight="1">
      <c r="B6104" s="370">
        <f t="shared" si="2"/>
        <v>0.7061342593</v>
      </c>
      <c r="C6104" s="56">
        <f t="shared" si="3"/>
        <v>61010</v>
      </c>
      <c r="D6104" s="56">
        <v>3.512</v>
      </c>
    </row>
    <row r="6105" ht="15.75" customHeight="1">
      <c r="B6105" s="370">
        <f t="shared" si="2"/>
        <v>0.70625</v>
      </c>
      <c r="C6105" s="56">
        <f t="shared" si="3"/>
        <v>61020</v>
      </c>
      <c r="D6105" s="56">
        <v>3.49</v>
      </c>
    </row>
    <row r="6106" ht="15.75" customHeight="1">
      <c r="B6106" s="370">
        <f t="shared" si="2"/>
        <v>0.7063657407</v>
      </c>
      <c r="C6106" s="56">
        <f t="shared" si="3"/>
        <v>61030</v>
      </c>
      <c r="D6106" s="56">
        <v>3.026</v>
      </c>
    </row>
    <row r="6107" ht="15.75" customHeight="1">
      <c r="B6107" s="370">
        <f t="shared" si="2"/>
        <v>0.7064814815</v>
      </c>
      <c r="C6107" s="56">
        <f t="shared" si="3"/>
        <v>61040</v>
      </c>
      <c r="D6107" s="56">
        <v>2.213</v>
      </c>
    </row>
    <row r="6108" ht="15.75" customHeight="1">
      <c r="B6108" s="370">
        <f t="shared" si="2"/>
        <v>0.7065972222</v>
      </c>
      <c r="C6108" s="56">
        <f t="shared" si="3"/>
        <v>61050</v>
      </c>
      <c r="D6108" s="56">
        <v>2.187</v>
      </c>
    </row>
    <row r="6109" ht="15.75" customHeight="1">
      <c r="B6109" s="370">
        <f t="shared" si="2"/>
        <v>0.706712963</v>
      </c>
      <c r="C6109" s="56">
        <f t="shared" si="3"/>
        <v>61060</v>
      </c>
      <c r="D6109" s="56">
        <v>2.494</v>
      </c>
    </row>
    <row r="6110" ht="15.75" customHeight="1">
      <c r="B6110" s="370">
        <f t="shared" si="2"/>
        <v>0.7068287037</v>
      </c>
      <c r="C6110" s="56">
        <f t="shared" si="3"/>
        <v>61070</v>
      </c>
      <c r="D6110" s="56">
        <v>2.794</v>
      </c>
    </row>
    <row r="6111" ht="15.75" customHeight="1">
      <c r="B6111" s="370">
        <f t="shared" si="2"/>
        <v>0.7069444444</v>
      </c>
      <c r="C6111" s="56">
        <f t="shared" si="3"/>
        <v>61080</v>
      </c>
      <c r="D6111" s="56">
        <v>3.031</v>
      </c>
    </row>
    <row r="6112" ht="15.75" customHeight="1">
      <c r="B6112" s="370">
        <f t="shared" si="2"/>
        <v>0.7070601852</v>
      </c>
      <c r="C6112" s="56">
        <f t="shared" si="3"/>
        <v>61090</v>
      </c>
      <c r="D6112" s="56">
        <v>3.199</v>
      </c>
    </row>
    <row r="6113" ht="15.75" customHeight="1">
      <c r="B6113" s="370">
        <f t="shared" si="2"/>
        <v>0.7071759259</v>
      </c>
      <c r="C6113" s="56">
        <f t="shared" si="3"/>
        <v>61100</v>
      </c>
      <c r="D6113" s="56">
        <v>3.06</v>
      </c>
    </row>
    <row r="6114" ht="15.75" customHeight="1">
      <c r="B6114" s="370">
        <f t="shared" si="2"/>
        <v>0.7072916667</v>
      </c>
      <c r="C6114" s="56">
        <f t="shared" si="3"/>
        <v>61110</v>
      </c>
      <c r="D6114" s="56">
        <v>2.993</v>
      </c>
    </row>
    <row r="6115" ht="15.75" customHeight="1">
      <c r="B6115" s="370">
        <f t="shared" si="2"/>
        <v>0.7074074074</v>
      </c>
      <c r="C6115" s="56">
        <f t="shared" si="3"/>
        <v>61120</v>
      </c>
      <c r="D6115" s="56">
        <v>2.798</v>
      </c>
    </row>
    <row r="6116" ht="15.75" customHeight="1">
      <c r="B6116" s="370">
        <f t="shared" si="2"/>
        <v>0.7075231481</v>
      </c>
      <c r="C6116" s="56">
        <f t="shared" si="3"/>
        <v>61130</v>
      </c>
      <c r="D6116" s="56">
        <v>2.939</v>
      </c>
    </row>
    <row r="6117" ht="15.75" customHeight="1">
      <c r="B6117" s="370">
        <f t="shared" si="2"/>
        <v>0.7076388889</v>
      </c>
      <c r="C6117" s="56">
        <f t="shared" si="3"/>
        <v>61140</v>
      </c>
      <c r="D6117" s="56">
        <v>2.838</v>
      </c>
    </row>
    <row r="6118" ht="15.75" customHeight="1">
      <c r="B6118" s="370">
        <f t="shared" si="2"/>
        <v>0.7077546296</v>
      </c>
      <c r="C6118" s="56">
        <f t="shared" si="3"/>
        <v>61150</v>
      </c>
      <c r="D6118" s="56">
        <v>2.739</v>
      </c>
    </row>
    <row r="6119" ht="15.75" customHeight="1">
      <c r="B6119" s="370">
        <f t="shared" si="2"/>
        <v>0.7078703704</v>
      </c>
      <c r="C6119" s="56">
        <f t="shared" si="3"/>
        <v>61160</v>
      </c>
      <c r="D6119" s="56">
        <v>2.58</v>
      </c>
    </row>
    <row r="6120" ht="15.75" customHeight="1">
      <c r="B6120" s="370">
        <f t="shared" si="2"/>
        <v>0.7079861111</v>
      </c>
      <c r="C6120" s="56">
        <f t="shared" si="3"/>
        <v>61170</v>
      </c>
      <c r="D6120" s="56">
        <v>2.341</v>
      </c>
    </row>
    <row r="6121" ht="15.75" customHeight="1">
      <c r="B6121" s="370">
        <f t="shared" si="2"/>
        <v>0.7081018519</v>
      </c>
      <c r="C6121" s="56">
        <f t="shared" si="3"/>
        <v>61180</v>
      </c>
      <c r="D6121" s="56">
        <v>2.372</v>
      </c>
    </row>
    <row r="6122" ht="15.75" customHeight="1">
      <c r="B6122" s="370">
        <f t="shared" si="2"/>
        <v>0.7082175926</v>
      </c>
      <c r="C6122" s="56">
        <f t="shared" si="3"/>
        <v>61190</v>
      </c>
      <c r="D6122" s="56">
        <v>3.233</v>
      </c>
    </row>
    <row r="6123" ht="15.75" customHeight="1">
      <c r="B6123" s="370">
        <f t="shared" si="2"/>
        <v>0.7083333333</v>
      </c>
      <c r="C6123" s="56">
        <f t="shared" si="3"/>
        <v>61200</v>
      </c>
      <c r="D6123" s="56">
        <v>3.468</v>
      </c>
    </row>
    <row r="6124" ht="15.75" customHeight="1">
      <c r="B6124" s="370">
        <f t="shared" si="2"/>
        <v>0.7084490741</v>
      </c>
      <c r="C6124" s="56">
        <f t="shared" si="3"/>
        <v>61210</v>
      </c>
      <c r="D6124" s="56">
        <v>3.492</v>
      </c>
    </row>
    <row r="6125" ht="15.75" customHeight="1">
      <c r="B6125" s="370">
        <f t="shared" si="2"/>
        <v>0.7085648148</v>
      </c>
      <c r="C6125" s="56">
        <f t="shared" si="3"/>
        <v>61220</v>
      </c>
      <c r="D6125" s="56">
        <v>3.506</v>
      </c>
    </row>
    <row r="6126" ht="15.75" customHeight="1">
      <c r="B6126" s="370">
        <f t="shared" si="2"/>
        <v>0.7086805556</v>
      </c>
      <c r="C6126" s="56">
        <f t="shared" si="3"/>
        <v>61230</v>
      </c>
      <c r="D6126" s="56">
        <v>3.146</v>
      </c>
    </row>
    <row r="6127" ht="15.75" customHeight="1">
      <c r="B6127" s="370">
        <f t="shared" si="2"/>
        <v>0.7087962963</v>
      </c>
      <c r="C6127" s="56">
        <f t="shared" si="3"/>
        <v>61240</v>
      </c>
      <c r="D6127" s="56">
        <v>2.406</v>
      </c>
    </row>
    <row r="6128" ht="15.75" customHeight="1">
      <c r="B6128" s="370">
        <f t="shared" si="2"/>
        <v>0.708912037</v>
      </c>
      <c r="C6128" s="56">
        <f t="shared" si="3"/>
        <v>61250</v>
      </c>
      <c r="D6128" s="56">
        <v>2.045</v>
      </c>
    </row>
    <row r="6129" ht="15.75" customHeight="1">
      <c r="B6129" s="370">
        <f t="shared" si="2"/>
        <v>0.7090277778</v>
      </c>
      <c r="C6129" s="56">
        <f t="shared" si="3"/>
        <v>61260</v>
      </c>
      <c r="D6129" s="56">
        <v>2.355</v>
      </c>
    </row>
    <row r="6130" ht="15.75" customHeight="1">
      <c r="B6130" s="370">
        <f t="shared" si="2"/>
        <v>0.7091435185</v>
      </c>
      <c r="C6130" s="56">
        <f t="shared" si="3"/>
        <v>61270</v>
      </c>
      <c r="D6130" s="56">
        <v>2.721</v>
      </c>
    </row>
    <row r="6131" ht="15.75" customHeight="1">
      <c r="B6131" s="370">
        <f t="shared" si="2"/>
        <v>0.7092592593</v>
      </c>
      <c r="C6131" s="56">
        <f t="shared" si="3"/>
        <v>61280</v>
      </c>
      <c r="D6131" s="56">
        <v>3.056</v>
      </c>
    </row>
    <row r="6132" ht="15.75" customHeight="1">
      <c r="B6132" s="370">
        <f t="shared" si="2"/>
        <v>0.709375</v>
      </c>
      <c r="C6132" s="56">
        <f t="shared" si="3"/>
        <v>61290</v>
      </c>
      <c r="D6132" s="56">
        <v>3.312</v>
      </c>
    </row>
    <row r="6133" ht="15.75" customHeight="1">
      <c r="B6133" s="370">
        <f t="shared" si="2"/>
        <v>0.7094907407</v>
      </c>
      <c r="C6133" s="56">
        <f t="shared" si="3"/>
        <v>61300</v>
      </c>
      <c r="D6133" s="56">
        <v>3.217</v>
      </c>
    </row>
    <row r="6134" ht="15.75" customHeight="1">
      <c r="B6134" s="370">
        <f t="shared" si="2"/>
        <v>0.7096064815</v>
      </c>
      <c r="C6134" s="56">
        <f t="shared" si="3"/>
        <v>61310</v>
      </c>
      <c r="D6134" s="56">
        <v>3.09</v>
      </c>
    </row>
    <row r="6135" ht="15.75" customHeight="1">
      <c r="B6135" s="370">
        <f t="shared" si="2"/>
        <v>0.7097222222</v>
      </c>
      <c r="C6135" s="56">
        <f t="shared" si="3"/>
        <v>61320</v>
      </c>
      <c r="D6135" s="56">
        <v>2.884</v>
      </c>
    </row>
    <row r="6136" ht="15.75" customHeight="1">
      <c r="B6136" s="370">
        <f t="shared" si="2"/>
        <v>0.709837963</v>
      </c>
      <c r="C6136" s="56">
        <f t="shared" si="3"/>
        <v>61330</v>
      </c>
      <c r="D6136" s="56">
        <v>2.729</v>
      </c>
    </row>
    <row r="6137" ht="15.75" customHeight="1">
      <c r="B6137" s="370">
        <f t="shared" si="2"/>
        <v>0.7099537037</v>
      </c>
      <c r="C6137" s="56">
        <f t="shared" si="3"/>
        <v>61340</v>
      </c>
      <c r="D6137" s="56">
        <v>2.769</v>
      </c>
    </row>
    <row r="6138" ht="15.75" customHeight="1">
      <c r="B6138" s="370">
        <f t="shared" si="2"/>
        <v>0.7100694444</v>
      </c>
      <c r="C6138" s="56">
        <f t="shared" si="3"/>
        <v>61350</v>
      </c>
      <c r="D6138" s="56">
        <v>2.756</v>
      </c>
    </row>
    <row r="6139" ht="15.75" customHeight="1">
      <c r="B6139" s="370">
        <f t="shared" si="2"/>
        <v>0.7101851852</v>
      </c>
      <c r="C6139" s="56">
        <f t="shared" si="3"/>
        <v>61360</v>
      </c>
      <c r="D6139" s="56">
        <v>2.665</v>
      </c>
    </row>
    <row r="6140" ht="15.75" customHeight="1">
      <c r="B6140" s="370">
        <f t="shared" si="2"/>
        <v>0.7103009259</v>
      </c>
      <c r="C6140" s="56">
        <f t="shared" si="3"/>
        <v>61370</v>
      </c>
      <c r="D6140" s="56">
        <v>2.557</v>
      </c>
    </row>
    <row r="6141" ht="15.75" customHeight="1">
      <c r="B6141" s="370">
        <f t="shared" si="2"/>
        <v>0.7104166667</v>
      </c>
      <c r="C6141" s="56">
        <f t="shared" si="3"/>
        <v>61380</v>
      </c>
      <c r="D6141" s="56">
        <v>2.245</v>
      </c>
    </row>
    <row r="6142" ht="15.75" customHeight="1">
      <c r="B6142" s="370">
        <f t="shared" si="2"/>
        <v>0.7105324074</v>
      </c>
      <c r="C6142" s="56">
        <f t="shared" si="3"/>
        <v>61390</v>
      </c>
      <c r="D6142" s="56">
        <v>3.095</v>
      </c>
    </row>
    <row r="6143" ht="15.75" customHeight="1">
      <c r="B6143" s="370">
        <f t="shared" si="2"/>
        <v>0.7106481481</v>
      </c>
      <c r="C6143" s="56">
        <f t="shared" si="3"/>
        <v>61400</v>
      </c>
      <c r="D6143" s="56">
        <v>3.406</v>
      </c>
    </row>
    <row r="6144" ht="15.75" customHeight="1">
      <c r="B6144" s="370">
        <f t="shared" si="2"/>
        <v>0.7107638889</v>
      </c>
      <c r="C6144" s="56">
        <f t="shared" si="3"/>
        <v>61410</v>
      </c>
      <c r="D6144" s="56">
        <v>3.44</v>
      </c>
    </row>
    <row r="6145" ht="15.75" customHeight="1">
      <c r="B6145" s="370">
        <f t="shared" si="2"/>
        <v>0.7108796296</v>
      </c>
      <c r="C6145" s="56">
        <f t="shared" si="3"/>
        <v>61420</v>
      </c>
      <c r="D6145" s="56">
        <v>3.487</v>
      </c>
    </row>
    <row r="6146" ht="15.75" customHeight="1">
      <c r="B6146" s="370">
        <f t="shared" si="2"/>
        <v>0.7109953704</v>
      </c>
      <c r="C6146" s="56">
        <f t="shared" si="3"/>
        <v>61430</v>
      </c>
      <c r="D6146" s="56">
        <v>3.209</v>
      </c>
    </row>
    <row r="6147" ht="15.75" customHeight="1">
      <c r="B6147" s="370">
        <f t="shared" si="2"/>
        <v>0.7111111111</v>
      </c>
      <c r="C6147" s="56">
        <f t="shared" si="3"/>
        <v>61440</v>
      </c>
      <c r="D6147" s="56">
        <v>2.569</v>
      </c>
    </row>
    <row r="6148" ht="15.75" customHeight="1">
      <c r="B6148" s="370">
        <f t="shared" si="2"/>
        <v>0.7112268519</v>
      </c>
      <c r="C6148" s="56">
        <f t="shared" si="3"/>
        <v>61450</v>
      </c>
      <c r="D6148" s="56">
        <v>1.968</v>
      </c>
    </row>
    <row r="6149" ht="15.75" customHeight="1">
      <c r="B6149" s="370">
        <f t="shared" si="2"/>
        <v>0.7113425926</v>
      </c>
      <c r="C6149" s="56">
        <f t="shared" si="3"/>
        <v>61460</v>
      </c>
      <c r="D6149" s="56">
        <v>2.185</v>
      </c>
    </row>
    <row r="6150" ht="15.75" customHeight="1">
      <c r="B6150" s="370">
        <f t="shared" si="2"/>
        <v>0.7114583333</v>
      </c>
      <c r="C6150" s="56">
        <f t="shared" si="3"/>
        <v>61470</v>
      </c>
      <c r="D6150" s="56">
        <v>2.615</v>
      </c>
    </row>
    <row r="6151" ht="15.75" customHeight="1">
      <c r="B6151" s="370">
        <f t="shared" si="2"/>
        <v>0.7115740741</v>
      </c>
      <c r="C6151" s="56">
        <f t="shared" si="3"/>
        <v>61480</v>
      </c>
      <c r="D6151" s="56">
        <v>3.044</v>
      </c>
    </row>
    <row r="6152" ht="15.75" customHeight="1">
      <c r="B6152" s="370">
        <f t="shared" si="2"/>
        <v>0.7116898148</v>
      </c>
      <c r="C6152" s="56">
        <f t="shared" si="3"/>
        <v>61490</v>
      </c>
      <c r="D6152" s="56">
        <v>3.385</v>
      </c>
    </row>
    <row r="6153" ht="15.75" customHeight="1">
      <c r="B6153" s="370">
        <f t="shared" si="2"/>
        <v>0.7118055556</v>
      </c>
      <c r="C6153" s="56">
        <f t="shared" si="3"/>
        <v>61500</v>
      </c>
      <c r="D6153" s="56">
        <v>3.319</v>
      </c>
    </row>
    <row r="6154" ht="15.75" customHeight="1">
      <c r="B6154" s="370">
        <f t="shared" si="2"/>
        <v>0.7119212963</v>
      </c>
      <c r="C6154" s="56">
        <f t="shared" si="3"/>
        <v>61510</v>
      </c>
      <c r="D6154" s="56">
        <v>3.272</v>
      </c>
    </row>
    <row r="6155" ht="15.75" customHeight="1">
      <c r="B6155" s="370">
        <f t="shared" si="2"/>
        <v>0.712037037</v>
      </c>
      <c r="C6155" s="56">
        <f t="shared" si="3"/>
        <v>61520</v>
      </c>
      <c r="D6155" s="56">
        <v>3.049</v>
      </c>
    </row>
    <row r="6156" ht="15.75" customHeight="1">
      <c r="B6156" s="370">
        <f t="shared" si="2"/>
        <v>0.7121527778</v>
      </c>
      <c r="C6156" s="56">
        <f t="shared" si="3"/>
        <v>61530</v>
      </c>
      <c r="D6156" s="56">
        <v>2.587</v>
      </c>
    </row>
    <row r="6157" ht="15.75" customHeight="1">
      <c r="B6157" s="370">
        <f t="shared" si="2"/>
        <v>0.7122685185</v>
      </c>
      <c r="C6157" s="56">
        <f t="shared" si="3"/>
        <v>61540</v>
      </c>
      <c r="D6157" s="56">
        <v>2.667</v>
      </c>
    </row>
    <row r="6158" ht="15.75" customHeight="1">
      <c r="B6158" s="370">
        <f t="shared" si="2"/>
        <v>0.7123842593</v>
      </c>
      <c r="C6158" s="56">
        <f t="shared" si="3"/>
        <v>61550</v>
      </c>
      <c r="D6158" s="56">
        <v>2.739</v>
      </c>
    </row>
    <row r="6159" ht="15.75" customHeight="1">
      <c r="B6159" s="370">
        <f t="shared" si="2"/>
        <v>0.7125</v>
      </c>
      <c r="C6159" s="56">
        <f t="shared" si="3"/>
        <v>61560</v>
      </c>
      <c r="D6159" s="56">
        <v>2.71</v>
      </c>
    </row>
    <row r="6160" ht="15.75" customHeight="1">
      <c r="B6160" s="370">
        <f t="shared" si="2"/>
        <v>0.7126157407</v>
      </c>
      <c r="C6160" s="56">
        <f t="shared" si="3"/>
        <v>61570</v>
      </c>
      <c r="D6160" s="56">
        <v>2.679</v>
      </c>
    </row>
    <row r="6161" ht="15.75" customHeight="1">
      <c r="B6161" s="370">
        <f t="shared" si="2"/>
        <v>0.7127314815</v>
      </c>
      <c r="C6161" s="56">
        <f t="shared" si="3"/>
        <v>61580</v>
      </c>
      <c r="D6161" s="56">
        <v>2.496</v>
      </c>
    </row>
    <row r="6162" ht="15.75" customHeight="1">
      <c r="B6162" s="370">
        <f t="shared" si="2"/>
        <v>0.7128472222</v>
      </c>
      <c r="C6162" s="56">
        <f t="shared" si="3"/>
        <v>61590</v>
      </c>
      <c r="D6162" s="56">
        <v>2.911</v>
      </c>
    </row>
    <row r="6163" ht="15.75" customHeight="1">
      <c r="B6163" s="370">
        <f t="shared" si="2"/>
        <v>0.712962963</v>
      </c>
      <c r="C6163" s="56">
        <f t="shared" si="3"/>
        <v>61600</v>
      </c>
      <c r="D6163" s="56">
        <v>3.303</v>
      </c>
    </row>
    <row r="6164" ht="15.75" customHeight="1">
      <c r="B6164" s="370">
        <f t="shared" si="2"/>
        <v>0.7130787037</v>
      </c>
      <c r="C6164" s="56">
        <f t="shared" si="3"/>
        <v>61610</v>
      </c>
      <c r="D6164" s="56">
        <v>3.361</v>
      </c>
    </row>
    <row r="6165" ht="15.75" customHeight="1">
      <c r="B6165" s="370">
        <f t="shared" si="2"/>
        <v>0.7131944444</v>
      </c>
      <c r="C6165" s="56">
        <f t="shared" si="3"/>
        <v>61620</v>
      </c>
      <c r="D6165" s="56">
        <v>3.43</v>
      </c>
    </row>
    <row r="6166" ht="15.75" customHeight="1">
      <c r="B6166" s="370">
        <f t="shared" si="2"/>
        <v>0.7133101852</v>
      </c>
      <c r="C6166" s="56">
        <f t="shared" si="3"/>
        <v>61630</v>
      </c>
      <c r="D6166" s="56">
        <v>3.238</v>
      </c>
    </row>
    <row r="6167" ht="15.75" customHeight="1">
      <c r="B6167" s="370">
        <f t="shared" si="2"/>
        <v>0.7134259259</v>
      </c>
      <c r="C6167" s="56">
        <f t="shared" si="3"/>
        <v>61640</v>
      </c>
      <c r="D6167" s="56">
        <v>2.678</v>
      </c>
    </row>
    <row r="6168" ht="15.75" customHeight="1">
      <c r="B6168" s="370">
        <f t="shared" si="2"/>
        <v>0.7135416667</v>
      </c>
      <c r="C6168" s="56">
        <f t="shared" si="3"/>
        <v>61650</v>
      </c>
      <c r="D6168" s="56">
        <v>2.244</v>
      </c>
    </row>
    <row r="6169" ht="15.75" customHeight="1">
      <c r="B6169" s="370">
        <f t="shared" si="2"/>
        <v>0.7136574074</v>
      </c>
      <c r="C6169" s="56">
        <f t="shared" si="3"/>
        <v>61660</v>
      </c>
      <c r="D6169" s="56">
        <v>1.937</v>
      </c>
    </row>
    <row r="6170" ht="15.75" customHeight="1">
      <c r="B6170" s="370">
        <f t="shared" si="2"/>
        <v>0.7137731481</v>
      </c>
      <c r="C6170" s="56">
        <f t="shared" si="3"/>
        <v>61670</v>
      </c>
      <c r="D6170" s="56">
        <v>2.473</v>
      </c>
    </row>
    <row r="6171" ht="15.75" customHeight="1">
      <c r="B6171" s="370">
        <f t="shared" si="2"/>
        <v>0.7138888889</v>
      </c>
      <c r="C6171" s="56">
        <f t="shared" si="3"/>
        <v>61680</v>
      </c>
      <c r="D6171" s="56">
        <v>2.998</v>
      </c>
    </row>
    <row r="6172" ht="15.75" customHeight="1">
      <c r="B6172" s="370">
        <f t="shared" si="2"/>
        <v>0.7140046296</v>
      </c>
      <c r="C6172" s="56">
        <f t="shared" si="3"/>
        <v>61690</v>
      </c>
      <c r="D6172" s="56">
        <v>3.438</v>
      </c>
    </row>
    <row r="6173" ht="15.75" customHeight="1">
      <c r="B6173" s="370">
        <f t="shared" si="2"/>
        <v>0.7141203704</v>
      </c>
      <c r="C6173" s="56">
        <f t="shared" si="3"/>
        <v>61700</v>
      </c>
      <c r="D6173" s="56">
        <v>3.425</v>
      </c>
    </row>
    <row r="6174" ht="15.75" customHeight="1">
      <c r="B6174" s="370">
        <f t="shared" si="2"/>
        <v>0.7142361111</v>
      </c>
      <c r="C6174" s="56">
        <f t="shared" si="3"/>
        <v>61710</v>
      </c>
      <c r="D6174" s="56">
        <v>3.375</v>
      </c>
    </row>
    <row r="6175" ht="15.75" customHeight="1">
      <c r="B6175" s="370">
        <f t="shared" si="2"/>
        <v>0.7143518519</v>
      </c>
      <c r="C6175" s="56">
        <f t="shared" si="3"/>
        <v>61720</v>
      </c>
      <c r="D6175" s="56">
        <v>3.204</v>
      </c>
    </row>
    <row r="6176" ht="15.75" customHeight="1">
      <c r="B6176" s="370">
        <f t="shared" si="2"/>
        <v>0.7144675926</v>
      </c>
      <c r="C6176" s="56">
        <f t="shared" si="3"/>
        <v>61730</v>
      </c>
      <c r="D6176" s="56">
        <v>2.426</v>
      </c>
    </row>
    <row r="6177" ht="15.75" customHeight="1">
      <c r="B6177" s="370">
        <f t="shared" si="2"/>
        <v>0.7145833333</v>
      </c>
      <c r="C6177" s="56">
        <f t="shared" si="3"/>
        <v>61740</v>
      </c>
      <c r="D6177" s="56">
        <v>2.53</v>
      </c>
    </row>
    <row r="6178" ht="15.75" customHeight="1">
      <c r="B6178" s="370">
        <f t="shared" si="2"/>
        <v>0.7146990741</v>
      </c>
      <c r="C6178" s="56">
        <f t="shared" si="3"/>
        <v>61750</v>
      </c>
      <c r="D6178" s="56">
        <v>2.686</v>
      </c>
    </row>
    <row r="6179" ht="15.75" customHeight="1">
      <c r="B6179" s="370">
        <f t="shared" si="2"/>
        <v>0.7148148148</v>
      </c>
      <c r="C6179" s="56">
        <f t="shared" si="3"/>
        <v>61760</v>
      </c>
      <c r="D6179" s="56">
        <v>2.721</v>
      </c>
    </row>
    <row r="6180" ht="15.75" customHeight="1">
      <c r="B6180" s="370">
        <f t="shared" si="2"/>
        <v>0.7149305556</v>
      </c>
      <c r="C6180" s="56">
        <f t="shared" si="3"/>
        <v>61770</v>
      </c>
      <c r="D6180" s="56">
        <v>2.766</v>
      </c>
    </row>
    <row r="6181" ht="15.75" customHeight="1">
      <c r="B6181" s="370">
        <f t="shared" si="2"/>
        <v>0.7150462963</v>
      </c>
      <c r="C6181" s="56">
        <f t="shared" si="3"/>
        <v>61780</v>
      </c>
      <c r="D6181" s="56">
        <v>2.617</v>
      </c>
    </row>
    <row r="6182" ht="15.75" customHeight="1">
      <c r="B6182" s="370">
        <f t="shared" si="2"/>
        <v>0.715162037</v>
      </c>
      <c r="C6182" s="56">
        <f t="shared" si="3"/>
        <v>61790</v>
      </c>
      <c r="D6182" s="56">
        <v>2.747</v>
      </c>
    </row>
    <row r="6183" ht="15.75" customHeight="1">
      <c r="B6183" s="370">
        <f t="shared" si="2"/>
        <v>0.7152777778</v>
      </c>
      <c r="C6183" s="56">
        <f t="shared" si="3"/>
        <v>61800</v>
      </c>
      <c r="D6183" s="56">
        <v>3.146</v>
      </c>
    </row>
    <row r="6184" ht="15.75" customHeight="1">
      <c r="B6184" s="370">
        <f t="shared" si="2"/>
        <v>0.7153935185</v>
      </c>
      <c r="C6184" s="56">
        <f t="shared" si="3"/>
        <v>61810</v>
      </c>
      <c r="D6184" s="56">
        <v>3.252</v>
      </c>
    </row>
    <row r="6185" ht="15.75" customHeight="1">
      <c r="B6185" s="370">
        <f t="shared" si="2"/>
        <v>0.7155092593</v>
      </c>
      <c r="C6185" s="56">
        <f t="shared" si="3"/>
        <v>61820</v>
      </c>
      <c r="D6185" s="56">
        <v>3.354</v>
      </c>
    </row>
    <row r="6186" ht="15.75" customHeight="1">
      <c r="B6186" s="370">
        <f t="shared" si="2"/>
        <v>0.715625</v>
      </c>
      <c r="C6186" s="56">
        <f t="shared" si="3"/>
        <v>61830</v>
      </c>
      <c r="D6186" s="56">
        <v>3.232</v>
      </c>
    </row>
    <row r="6187" ht="15.75" customHeight="1">
      <c r="B6187" s="370">
        <f t="shared" si="2"/>
        <v>0.7157407407</v>
      </c>
      <c r="C6187" s="56">
        <f t="shared" si="3"/>
        <v>61840</v>
      </c>
      <c r="D6187" s="56">
        <v>2.789</v>
      </c>
    </row>
    <row r="6188" ht="15.75" customHeight="1">
      <c r="B6188" s="370">
        <f t="shared" si="2"/>
        <v>0.7158564815</v>
      </c>
      <c r="C6188" s="56">
        <f t="shared" si="3"/>
        <v>61850</v>
      </c>
      <c r="D6188" s="56">
        <v>2.416</v>
      </c>
    </row>
    <row r="6189" ht="15.75" customHeight="1">
      <c r="B6189" s="370">
        <f t="shared" si="2"/>
        <v>0.7159722222</v>
      </c>
      <c r="C6189" s="56">
        <f t="shared" si="3"/>
        <v>61860</v>
      </c>
      <c r="D6189" s="56">
        <v>2.054</v>
      </c>
    </row>
    <row r="6190" ht="15.75" customHeight="1">
      <c r="B6190" s="370">
        <f t="shared" si="2"/>
        <v>0.716087963</v>
      </c>
      <c r="C6190" s="56">
        <f t="shared" si="3"/>
        <v>61870</v>
      </c>
      <c r="D6190" s="56">
        <v>2.28</v>
      </c>
    </row>
    <row r="6191" ht="15.75" customHeight="1">
      <c r="B6191" s="370">
        <f t="shared" si="2"/>
        <v>0.7162037037</v>
      </c>
      <c r="C6191" s="56">
        <f t="shared" si="3"/>
        <v>61880</v>
      </c>
      <c r="D6191" s="56">
        <v>2.913</v>
      </c>
    </row>
    <row r="6192" ht="15.75" customHeight="1">
      <c r="B6192" s="370">
        <f t="shared" si="2"/>
        <v>0.7163194444</v>
      </c>
      <c r="C6192" s="56">
        <f t="shared" si="3"/>
        <v>61890</v>
      </c>
      <c r="D6192" s="56">
        <v>3.449</v>
      </c>
    </row>
    <row r="6193" ht="15.75" customHeight="1">
      <c r="B6193" s="370">
        <f t="shared" si="2"/>
        <v>0.7164351852</v>
      </c>
      <c r="C6193" s="56">
        <f t="shared" si="3"/>
        <v>61900</v>
      </c>
      <c r="D6193" s="56">
        <v>3.487</v>
      </c>
    </row>
    <row r="6194" ht="15.75" customHeight="1">
      <c r="B6194" s="370">
        <f t="shared" si="2"/>
        <v>0.7165509259</v>
      </c>
      <c r="C6194" s="56">
        <f t="shared" si="3"/>
        <v>61910</v>
      </c>
      <c r="D6194" s="56">
        <v>3.446</v>
      </c>
    </row>
    <row r="6195" ht="15.75" customHeight="1">
      <c r="B6195" s="370">
        <f t="shared" si="2"/>
        <v>0.7166666667</v>
      </c>
      <c r="C6195" s="56">
        <f t="shared" si="3"/>
        <v>61920</v>
      </c>
      <c r="D6195" s="56">
        <v>3.312</v>
      </c>
    </row>
    <row r="6196" ht="15.75" customHeight="1">
      <c r="B6196" s="370">
        <f t="shared" si="2"/>
        <v>0.7167824074</v>
      </c>
      <c r="C6196" s="56">
        <f t="shared" si="3"/>
        <v>61930</v>
      </c>
      <c r="D6196" s="56">
        <v>2.663</v>
      </c>
    </row>
    <row r="6197" ht="15.75" customHeight="1">
      <c r="B6197" s="370">
        <f t="shared" si="2"/>
        <v>0.7168981481</v>
      </c>
      <c r="C6197" s="56">
        <f t="shared" si="3"/>
        <v>61940</v>
      </c>
      <c r="D6197" s="56">
        <v>2.301</v>
      </c>
    </row>
    <row r="6198" ht="15.75" customHeight="1">
      <c r="B6198" s="370">
        <f t="shared" si="2"/>
        <v>0.7170138889</v>
      </c>
      <c r="C6198" s="56">
        <f t="shared" si="3"/>
        <v>61950</v>
      </c>
      <c r="D6198" s="56">
        <v>2.596</v>
      </c>
    </row>
    <row r="6199" ht="15.75" customHeight="1">
      <c r="B6199" s="370">
        <f t="shared" si="2"/>
        <v>0.7171296296</v>
      </c>
      <c r="C6199" s="56">
        <f t="shared" si="3"/>
        <v>61960</v>
      </c>
      <c r="D6199" s="56">
        <v>2.7</v>
      </c>
    </row>
    <row r="6200" ht="15.75" customHeight="1">
      <c r="B6200" s="370">
        <f t="shared" si="2"/>
        <v>0.7172453704</v>
      </c>
      <c r="C6200" s="56">
        <f t="shared" si="3"/>
        <v>61970</v>
      </c>
      <c r="D6200" s="56">
        <v>2.819</v>
      </c>
    </row>
    <row r="6201" ht="15.75" customHeight="1">
      <c r="B6201" s="370">
        <f t="shared" si="2"/>
        <v>0.7173611111</v>
      </c>
      <c r="C6201" s="56">
        <f t="shared" si="3"/>
        <v>61980</v>
      </c>
      <c r="D6201" s="56">
        <v>2.817</v>
      </c>
    </row>
    <row r="6202" ht="15.75" customHeight="1">
      <c r="B6202" s="370">
        <f t="shared" si="2"/>
        <v>0.7174768519</v>
      </c>
      <c r="C6202" s="56">
        <f t="shared" si="3"/>
        <v>61990</v>
      </c>
      <c r="D6202" s="56">
        <v>2.756</v>
      </c>
    </row>
    <row r="6203" ht="15.75" customHeight="1">
      <c r="B6203" s="370">
        <f t="shared" si="2"/>
        <v>0.7175925926</v>
      </c>
      <c r="C6203" s="56">
        <f t="shared" si="3"/>
        <v>62000</v>
      </c>
      <c r="D6203" s="56">
        <v>3.028</v>
      </c>
    </row>
    <row r="6204" ht="15.75" customHeight="1">
      <c r="B6204" s="370">
        <f t="shared" si="2"/>
        <v>0.7177083333</v>
      </c>
      <c r="C6204" s="56">
        <f t="shared" si="3"/>
        <v>62010</v>
      </c>
      <c r="D6204" s="56">
        <v>3.104</v>
      </c>
    </row>
    <row r="6205" ht="15.75" customHeight="1">
      <c r="B6205" s="370">
        <f t="shared" si="2"/>
        <v>0.7178240741</v>
      </c>
      <c r="C6205" s="56">
        <f t="shared" si="3"/>
        <v>62020</v>
      </c>
      <c r="D6205" s="56">
        <v>3.236</v>
      </c>
    </row>
    <row r="6206" ht="15.75" customHeight="1">
      <c r="B6206" s="370">
        <f t="shared" si="2"/>
        <v>0.7179398148</v>
      </c>
      <c r="C6206" s="56">
        <f t="shared" si="3"/>
        <v>62030</v>
      </c>
      <c r="D6206" s="56">
        <v>3.191</v>
      </c>
    </row>
    <row r="6207" ht="15.75" customHeight="1">
      <c r="B6207" s="370">
        <f t="shared" si="2"/>
        <v>0.7180555556</v>
      </c>
      <c r="C6207" s="56">
        <f t="shared" si="3"/>
        <v>62040</v>
      </c>
      <c r="D6207" s="56">
        <v>2.85</v>
      </c>
    </row>
    <row r="6208" ht="15.75" customHeight="1">
      <c r="B6208" s="370">
        <f t="shared" si="2"/>
        <v>0.7181712963</v>
      </c>
      <c r="C6208" s="56">
        <f t="shared" si="3"/>
        <v>62050</v>
      </c>
      <c r="D6208" s="56">
        <v>2.547</v>
      </c>
    </row>
    <row r="6209" ht="15.75" customHeight="1">
      <c r="B6209" s="370">
        <f t="shared" si="2"/>
        <v>0.718287037</v>
      </c>
      <c r="C6209" s="56">
        <f t="shared" si="3"/>
        <v>62060</v>
      </c>
      <c r="D6209" s="56">
        <v>2.183</v>
      </c>
    </row>
    <row r="6210" ht="15.75" customHeight="1">
      <c r="B6210" s="370">
        <f t="shared" si="2"/>
        <v>0.7184027778</v>
      </c>
      <c r="C6210" s="56">
        <f t="shared" si="3"/>
        <v>62070</v>
      </c>
      <c r="D6210" s="56">
        <v>2.098</v>
      </c>
    </row>
    <row r="6211" ht="15.75" customHeight="1">
      <c r="B6211" s="370">
        <f t="shared" si="2"/>
        <v>0.7185185185</v>
      </c>
      <c r="C6211" s="56">
        <f t="shared" si="3"/>
        <v>62080</v>
      </c>
      <c r="D6211" s="56">
        <v>2.784</v>
      </c>
    </row>
    <row r="6212" ht="15.75" customHeight="1">
      <c r="B6212" s="370">
        <f t="shared" si="2"/>
        <v>0.7186342593</v>
      </c>
      <c r="C6212" s="56">
        <f t="shared" si="3"/>
        <v>62090</v>
      </c>
      <c r="D6212" s="56">
        <v>3.422</v>
      </c>
    </row>
    <row r="6213" ht="15.75" customHeight="1">
      <c r="B6213" s="370">
        <f t="shared" si="2"/>
        <v>0.71875</v>
      </c>
      <c r="C6213" s="56">
        <f t="shared" si="3"/>
        <v>62100</v>
      </c>
      <c r="D6213" s="56">
        <v>3.516</v>
      </c>
    </row>
    <row r="6214" ht="15.75" customHeight="1">
      <c r="B6214" s="370">
        <f t="shared" si="2"/>
        <v>0.7188657407</v>
      </c>
      <c r="C6214" s="56">
        <f t="shared" si="3"/>
        <v>62110</v>
      </c>
      <c r="D6214" s="56">
        <v>3.498</v>
      </c>
    </row>
    <row r="6215" ht="15.75" customHeight="1">
      <c r="B6215" s="370">
        <f t="shared" si="2"/>
        <v>0.7189814815</v>
      </c>
      <c r="C6215" s="56">
        <f t="shared" si="3"/>
        <v>62120</v>
      </c>
      <c r="D6215" s="56">
        <v>3.418</v>
      </c>
    </row>
    <row r="6216" ht="15.75" customHeight="1">
      <c r="B6216" s="370">
        <f t="shared" si="2"/>
        <v>0.7190972222</v>
      </c>
      <c r="C6216" s="56">
        <f t="shared" si="3"/>
        <v>62130</v>
      </c>
      <c r="D6216" s="56">
        <v>2.846</v>
      </c>
    </row>
    <row r="6217" ht="15.75" customHeight="1">
      <c r="B6217" s="370">
        <f t="shared" si="2"/>
        <v>0.719212963</v>
      </c>
      <c r="C6217" s="56">
        <f t="shared" si="3"/>
        <v>62140</v>
      </c>
      <c r="D6217" s="56">
        <v>2.16</v>
      </c>
    </row>
    <row r="6218" ht="15.75" customHeight="1">
      <c r="B6218" s="370">
        <f t="shared" si="2"/>
        <v>0.7193287037</v>
      </c>
      <c r="C6218" s="56">
        <f t="shared" si="3"/>
        <v>62150</v>
      </c>
      <c r="D6218" s="56">
        <v>2.479</v>
      </c>
    </row>
    <row r="6219" ht="15.75" customHeight="1">
      <c r="B6219" s="370">
        <f t="shared" si="2"/>
        <v>0.7194444444</v>
      </c>
      <c r="C6219" s="56">
        <f t="shared" si="3"/>
        <v>62160</v>
      </c>
      <c r="D6219" s="56">
        <v>2.642</v>
      </c>
    </row>
    <row r="6220" ht="15.75" customHeight="1">
      <c r="B6220" s="370">
        <f t="shared" si="2"/>
        <v>0.7195601852</v>
      </c>
      <c r="C6220" s="56">
        <f t="shared" si="3"/>
        <v>62170</v>
      </c>
      <c r="D6220" s="56">
        <v>2.835</v>
      </c>
    </row>
    <row r="6221" ht="15.75" customHeight="1">
      <c r="B6221" s="370">
        <f t="shared" si="2"/>
        <v>0.7196759259</v>
      </c>
      <c r="C6221" s="56">
        <f t="shared" si="3"/>
        <v>62180</v>
      </c>
      <c r="D6221" s="56">
        <v>2.93</v>
      </c>
    </row>
    <row r="6222" ht="15.75" customHeight="1">
      <c r="B6222" s="370">
        <f t="shared" si="2"/>
        <v>0.7197916667</v>
      </c>
      <c r="C6222" s="56">
        <f t="shared" si="3"/>
        <v>62190</v>
      </c>
      <c r="D6222" s="56">
        <v>2.978</v>
      </c>
    </row>
    <row r="6223" ht="15.75" customHeight="1">
      <c r="B6223" s="370">
        <f t="shared" si="2"/>
        <v>0.7199074074</v>
      </c>
      <c r="C6223" s="56">
        <f t="shared" si="3"/>
        <v>62200</v>
      </c>
      <c r="D6223" s="56">
        <v>2.856</v>
      </c>
    </row>
    <row r="6224" ht="15.75" customHeight="1">
      <c r="B6224" s="370">
        <f t="shared" si="2"/>
        <v>0.7200231481</v>
      </c>
      <c r="C6224" s="56">
        <f t="shared" si="3"/>
        <v>62210</v>
      </c>
      <c r="D6224" s="56">
        <v>2.97</v>
      </c>
    </row>
    <row r="6225" ht="15.75" customHeight="1">
      <c r="B6225" s="370">
        <f t="shared" si="2"/>
        <v>0.7201388889</v>
      </c>
      <c r="C6225" s="56">
        <f t="shared" si="3"/>
        <v>62220</v>
      </c>
      <c r="D6225" s="56">
        <v>3.052</v>
      </c>
    </row>
    <row r="6226" ht="15.75" customHeight="1">
      <c r="B6226" s="370">
        <f t="shared" si="2"/>
        <v>0.7202546296</v>
      </c>
      <c r="C6226" s="56">
        <f t="shared" si="3"/>
        <v>62230</v>
      </c>
      <c r="D6226" s="56">
        <v>3.108</v>
      </c>
    </row>
    <row r="6227" ht="15.75" customHeight="1">
      <c r="B6227" s="370">
        <f t="shared" si="2"/>
        <v>0.7203703704</v>
      </c>
      <c r="C6227" s="56">
        <f t="shared" si="3"/>
        <v>62240</v>
      </c>
      <c r="D6227" s="56">
        <v>2.871</v>
      </c>
    </row>
    <row r="6228" ht="15.75" customHeight="1">
      <c r="B6228" s="370">
        <f t="shared" si="2"/>
        <v>0.7204861111</v>
      </c>
      <c r="C6228" s="56">
        <f t="shared" si="3"/>
        <v>62250</v>
      </c>
      <c r="D6228" s="56">
        <v>2.649</v>
      </c>
    </row>
    <row r="6229" ht="15.75" customHeight="1">
      <c r="B6229" s="370">
        <f t="shared" si="2"/>
        <v>0.7206018519</v>
      </c>
      <c r="C6229" s="56">
        <f t="shared" si="3"/>
        <v>62260</v>
      </c>
      <c r="D6229" s="56">
        <v>2.402</v>
      </c>
    </row>
    <row r="6230" ht="15.75" customHeight="1">
      <c r="B6230" s="370">
        <f t="shared" si="2"/>
        <v>0.7207175926</v>
      </c>
      <c r="C6230" s="56">
        <f t="shared" si="3"/>
        <v>62270</v>
      </c>
      <c r="D6230" s="56">
        <v>2.078</v>
      </c>
    </row>
    <row r="6231" ht="15.75" customHeight="1">
      <c r="B6231" s="370">
        <f t="shared" si="2"/>
        <v>0.7208333333</v>
      </c>
      <c r="C6231" s="56">
        <f t="shared" si="3"/>
        <v>62280</v>
      </c>
      <c r="D6231" s="56">
        <v>2.644</v>
      </c>
    </row>
    <row r="6232" ht="15.75" customHeight="1">
      <c r="B6232" s="370">
        <f t="shared" si="2"/>
        <v>0.7209490741</v>
      </c>
      <c r="C6232" s="56">
        <f t="shared" si="3"/>
        <v>62290</v>
      </c>
      <c r="D6232" s="56">
        <v>3.372</v>
      </c>
    </row>
    <row r="6233" ht="15.75" customHeight="1">
      <c r="B6233" s="370">
        <f t="shared" si="2"/>
        <v>0.7210648148</v>
      </c>
      <c r="C6233" s="56">
        <f t="shared" si="3"/>
        <v>62300</v>
      </c>
      <c r="D6233" s="56">
        <v>3.522</v>
      </c>
    </row>
    <row r="6234" ht="15.75" customHeight="1">
      <c r="B6234" s="370">
        <f t="shared" si="2"/>
        <v>0.7211805556</v>
      </c>
      <c r="C6234" s="56">
        <f t="shared" si="3"/>
        <v>62310</v>
      </c>
      <c r="D6234" s="56">
        <v>3.515</v>
      </c>
    </row>
    <row r="6235" ht="15.75" customHeight="1">
      <c r="B6235" s="370">
        <f t="shared" si="2"/>
        <v>0.7212962963</v>
      </c>
      <c r="C6235" s="56">
        <f t="shared" si="3"/>
        <v>62320</v>
      </c>
      <c r="D6235" s="56">
        <v>3.476</v>
      </c>
    </row>
    <row r="6236" ht="15.75" customHeight="1">
      <c r="B6236" s="370">
        <f t="shared" si="2"/>
        <v>0.721412037</v>
      </c>
      <c r="C6236" s="56">
        <f t="shared" si="3"/>
        <v>62330</v>
      </c>
      <c r="D6236" s="56">
        <v>2.987</v>
      </c>
    </row>
    <row r="6237" ht="15.75" customHeight="1">
      <c r="B6237" s="370">
        <f t="shared" si="2"/>
        <v>0.7215277778</v>
      </c>
      <c r="C6237" s="56">
        <f t="shared" si="3"/>
        <v>62340</v>
      </c>
      <c r="D6237" s="56">
        <v>2.038</v>
      </c>
    </row>
    <row r="6238" ht="15.75" customHeight="1">
      <c r="B6238" s="370">
        <f t="shared" si="2"/>
        <v>0.7216435185</v>
      </c>
      <c r="C6238" s="56">
        <f t="shared" si="3"/>
        <v>62350</v>
      </c>
      <c r="D6238" s="56">
        <v>2.322</v>
      </c>
    </row>
    <row r="6239" ht="15.75" customHeight="1">
      <c r="B6239" s="370">
        <f t="shared" si="2"/>
        <v>0.7217592593</v>
      </c>
      <c r="C6239" s="56">
        <f t="shared" si="3"/>
        <v>62360</v>
      </c>
      <c r="D6239" s="56">
        <v>2.552</v>
      </c>
    </row>
    <row r="6240" ht="15.75" customHeight="1">
      <c r="B6240" s="370">
        <f t="shared" si="2"/>
        <v>0.721875</v>
      </c>
      <c r="C6240" s="56">
        <f t="shared" si="3"/>
        <v>62370</v>
      </c>
      <c r="D6240" s="56">
        <v>2.814</v>
      </c>
    </row>
    <row r="6241" ht="15.75" customHeight="1">
      <c r="B6241" s="370">
        <f t="shared" si="2"/>
        <v>0.7219907407</v>
      </c>
      <c r="C6241" s="56">
        <f t="shared" si="3"/>
        <v>62380</v>
      </c>
      <c r="D6241" s="56">
        <v>3.006</v>
      </c>
    </row>
    <row r="6242" ht="15.75" customHeight="1">
      <c r="B6242" s="370">
        <f t="shared" si="2"/>
        <v>0.7221064815</v>
      </c>
      <c r="C6242" s="56">
        <f t="shared" si="3"/>
        <v>62390</v>
      </c>
      <c r="D6242" s="56">
        <v>3.098</v>
      </c>
    </row>
    <row r="6243" ht="15.75" customHeight="1">
      <c r="B6243" s="370">
        <f t="shared" si="2"/>
        <v>0.7222222222</v>
      </c>
      <c r="C6243" s="56">
        <f t="shared" si="3"/>
        <v>62400</v>
      </c>
      <c r="D6243" s="56">
        <v>3.002</v>
      </c>
    </row>
    <row r="6244" ht="15.75" customHeight="1">
      <c r="B6244" s="370">
        <f t="shared" si="2"/>
        <v>0.722337963</v>
      </c>
      <c r="C6244" s="56">
        <f t="shared" si="3"/>
        <v>62410</v>
      </c>
      <c r="D6244" s="56">
        <v>2.883</v>
      </c>
    </row>
    <row r="6245" ht="15.75" customHeight="1">
      <c r="B6245" s="370">
        <f t="shared" si="2"/>
        <v>0.7224537037</v>
      </c>
      <c r="C6245" s="56">
        <f t="shared" si="3"/>
        <v>62420</v>
      </c>
      <c r="D6245" s="56">
        <v>2.922</v>
      </c>
    </row>
    <row r="6246" ht="15.75" customHeight="1">
      <c r="B6246" s="370">
        <f t="shared" si="2"/>
        <v>0.7225694444</v>
      </c>
      <c r="C6246" s="56">
        <f t="shared" si="3"/>
        <v>62430</v>
      </c>
      <c r="D6246" s="56">
        <v>3.001</v>
      </c>
    </row>
    <row r="6247" ht="15.75" customHeight="1">
      <c r="B6247" s="370">
        <f t="shared" si="2"/>
        <v>0.7226851852</v>
      </c>
      <c r="C6247" s="56">
        <f t="shared" si="3"/>
        <v>62440</v>
      </c>
      <c r="D6247" s="56">
        <v>2.856</v>
      </c>
    </row>
    <row r="6248" ht="15.75" customHeight="1">
      <c r="B6248" s="370">
        <f t="shared" si="2"/>
        <v>0.7228009259</v>
      </c>
      <c r="C6248" s="56">
        <f t="shared" si="3"/>
        <v>62450</v>
      </c>
      <c r="D6248" s="56">
        <v>2.718</v>
      </c>
    </row>
    <row r="6249" ht="15.75" customHeight="1">
      <c r="B6249" s="370">
        <f t="shared" si="2"/>
        <v>0.7229166667</v>
      </c>
      <c r="C6249" s="56">
        <f t="shared" si="3"/>
        <v>62460</v>
      </c>
      <c r="D6249" s="56">
        <v>2.535</v>
      </c>
    </row>
    <row r="6250" ht="15.75" customHeight="1">
      <c r="B6250" s="370">
        <f t="shared" si="2"/>
        <v>0.7230324074</v>
      </c>
      <c r="C6250" s="56">
        <f t="shared" si="3"/>
        <v>62470</v>
      </c>
      <c r="D6250" s="56">
        <v>2.317</v>
      </c>
    </row>
    <row r="6251" ht="15.75" customHeight="1">
      <c r="B6251" s="370">
        <f t="shared" si="2"/>
        <v>0.7231481481</v>
      </c>
      <c r="C6251" s="56">
        <f t="shared" si="3"/>
        <v>62480</v>
      </c>
      <c r="D6251" s="56">
        <v>2.432</v>
      </c>
    </row>
    <row r="6252" ht="15.75" customHeight="1">
      <c r="B6252" s="370">
        <f t="shared" si="2"/>
        <v>0.7232638889</v>
      </c>
      <c r="C6252" s="56">
        <f t="shared" si="3"/>
        <v>62490</v>
      </c>
      <c r="D6252" s="56">
        <v>3.285</v>
      </c>
    </row>
    <row r="6253" ht="15.75" customHeight="1">
      <c r="B6253" s="370">
        <f t="shared" si="2"/>
        <v>0.7233796296</v>
      </c>
      <c r="C6253" s="56">
        <f t="shared" si="3"/>
        <v>62500</v>
      </c>
      <c r="D6253" s="56">
        <v>3.496</v>
      </c>
    </row>
    <row r="6254" ht="15.75" customHeight="1">
      <c r="B6254" s="370">
        <f t="shared" si="2"/>
        <v>0.7234953704</v>
      </c>
      <c r="C6254" s="56">
        <f t="shared" si="3"/>
        <v>62510</v>
      </c>
      <c r="D6254" s="56">
        <v>3.503</v>
      </c>
    </row>
    <row r="6255" ht="15.75" customHeight="1">
      <c r="B6255" s="370">
        <f t="shared" si="2"/>
        <v>0.7236111111</v>
      </c>
      <c r="C6255" s="56">
        <f t="shared" si="3"/>
        <v>62520</v>
      </c>
      <c r="D6255" s="56">
        <v>3.501</v>
      </c>
    </row>
    <row r="6256" ht="15.75" customHeight="1">
      <c r="B6256" s="370">
        <f t="shared" si="2"/>
        <v>0.7237268519</v>
      </c>
      <c r="C6256" s="56">
        <f t="shared" si="3"/>
        <v>62530</v>
      </c>
      <c r="D6256" s="56">
        <v>3.095</v>
      </c>
    </row>
    <row r="6257" ht="15.75" customHeight="1">
      <c r="B6257" s="370">
        <f t="shared" si="2"/>
        <v>0.7238425926</v>
      </c>
      <c r="C6257" s="56">
        <f t="shared" si="3"/>
        <v>62540</v>
      </c>
      <c r="D6257" s="56">
        <v>2.323</v>
      </c>
    </row>
    <row r="6258" ht="15.75" customHeight="1">
      <c r="B6258" s="370">
        <f t="shared" si="2"/>
        <v>0.7239583333</v>
      </c>
      <c r="C6258" s="56">
        <f t="shared" si="3"/>
        <v>62550</v>
      </c>
      <c r="D6258" s="56">
        <v>2.071</v>
      </c>
    </row>
    <row r="6259" ht="15.75" customHeight="1">
      <c r="B6259" s="370">
        <f t="shared" si="2"/>
        <v>0.7240740741</v>
      </c>
      <c r="C6259" s="56">
        <f t="shared" si="3"/>
        <v>62560</v>
      </c>
      <c r="D6259" s="56">
        <v>2.422</v>
      </c>
    </row>
    <row r="6260" ht="15.75" customHeight="1">
      <c r="B6260" s="370">
        <f t="shared" si="2"/>
        <v>0.7241898148</v>
      </c>
      <c r="C6260" s="56">
        <f t="shared" si="3"/>
        <v>62570</v>
      </c>
      <c r="D6260" s="56">
        <v>2.761</v>
      </c>
    </row>
    <row r="6261" ht="15.75" customHeight="1">
      <c r="B6261" s="370">
        <f t="shared" si="2"/>
        <v>0.7243055556</v>
      </c>
      <c r="C6261" s="56">
        <f t="shared" si="3"/>
        <v>62580</v>
      </c>
      <c r="D6261" s="56">
        <v>3.049</v>
      </c>
    </row>
    <row r="6262" ht="15.75" customHeight="1">
      <c r="B6262" s="370">
        <f t="shared" si="2"/>
        <v>0.7244212963</v>
      </c>
      <c r="C6262" s="56">
        <f t="shared" si="3"/>
        <v>62590</v>
      </c>
      <c r="D6262" s="56">
        <v>3.263</v>
      </c>
    </row>
    <row r="6263" ht="15.75" customHeight="1">
      <c r="B6263" s="370">
        <f t="shared" si="2"/>
        <v>0.724537037</v>
      </c>
      <c r="C6263" s="56">
        <f t="shared" si="3"/>
        <v>62600</v>
      </c>
      <c r="D6263" s="56">
        <v>3.153</v>
      </c>
    </row>
    <row r="6264" ht="15.75" customHeight="1">
      <c r="B6264" s="370">
        <f t="shared" si="2"/>
        <v>0.7246527778</v>
      </c>
      <c r="C6264" s="56">
        <f t="shared" si="3"/>
        <v>62610</v>
      </c>
      <c r="D6264" s="56">
        <v>3.077</v>
      </c>
    </row>
    <row r="6265" ht="15.75" customHeight="1">
      <c r="B6265" s="370">
        <f t="shared" si="2"/>
        <v>0.7247685185</v>
      </c>
      <c r="C6265" s="56">
        <f t="shared" si="3"/>
        <v>62620</v>
      </c>
      <c r="D6265" s="56">
        <v>2.779</v>
      </c>
    </row>
    <row r="6266" ht="15.75" customHeight="1">
      <c r="B6266" s="370">
        <f t="shared" si="2"/>
        <v>0.7248842593</v>
      </c>
      <c r="C6266" s="56">
        <f t="shared" si="3"/>
        <v>62630</v>
      </c>
      <c r="D6266" s="56">
        <v>2.857</v>
      </c>
    </row>
    <row r="6267" ht="15.75" customHeight="1">
      <c r="B6267" s="370">
        <f t="shared" si="2"/>
        <v>0.725</v>
      </c>
      <c r="C6267" s="56">
        <f t="shared" si="3"/>
        <v>62640</v>
      </c>
      <c r="D6267" s="56">
        <v>2.804</v>
      </c>
    </row>
    <row r="6268" ht="15.75" customHeight="1">
      <c r="B6268" s="370">
        <f t="shared" si="2"/>
        <v>0.7251157407</v>
      </c>
      <c r="C6268" s="56">
        <f t="shared" si="3"/>
        <v>62650</v>
      </c>
      <c r="D6268" s="56">
        <v>2.752</v>
      </c>
    </row>
    <row r="6269" ht="15.75" customHeight="1">
      <c r="B6269" s="370">
        <f t="shared" si="2"/>
        <v>0.7252314815</v>
      </c>
      <c r="C6269" s="56">
        <f t="shared" si="3"/>
        <v>62660</v>
      </c>
      <c r="D6269" s="56">
        <v>2.629</v>
      </c>
    </row>
    <row r="6270" ht="15.75" customHeight="1">
      <c r="B6270" s="370">
        <f t="shared" si="2"/>
        <v>0.7253472222</v>
      </c>
      <c r="C6270" s="56">
        <f t="shared" si="3"/>
        <v>62670</v>
      </c>
      <c r="D6270" s="56">
        <v>2.441</v>
      </c>
    </row>
    <row r="6271" ht="15.75" customHeight="1">
      <c r="B6271" s="370">
        <f t="shared" si="2"/>
        <v>0.725462963</v>
      </c>
      <c r="C6271" s="56">
        <f t="shared" si="3"/>
        <v>62680</v>
      </c>
      <c r="D6271" s="56">
        <v>2.259</v>
      </c>
    </row>
    <row r="6272" ht="15.75" customHeight="1">
      <c r="B6272" s="370">
        <f t="shared" si="2"/>
        <v>0.7255787037</v>
      </c>
      <c r="C6272" s="56">
        <f t="shared" si="3"/>
        <v>62690</v>
      </c>
      <c r="D6272" s="56">
        <v>3.148</v>
      </c>
    </row>
    <row r="6273" ht="15.75" customHeight="1">
      <c r="B6273" s="370">
        <f t="shared" si="2"/>
        <v>0.7256944444</v>
      </c>
      <c r="C6273" s="56">
        <f t="shared" si="3"/>
        <v>62700</v>
      </c>
      <c r="D6273" s="56">
        <v>3.434</v>
      </c>
    </row>
    <row r="6274" ht="15.75" customHeight="1">
      <c r="B6274" s="370">
        <f t="shared" si="2"/>
        <v>0.7258101852</v>
      </c>
      <c r="C6274" s="56">
        <f t="shared" si="3"/>
        <v>62710</v>
      </c>
      <c r="D6274" s="56">
        <v>3.469</v>
      </c>
    </row>
    <row r="6275" ht="15.75" customHeight="1">
      <c r="B6275" s="370">
        <f t="shared" si="2"/>
        <v>0.7259259259</v>
      </c>
      <c r="C6275" s="56">
        <f t="shared" si="3"/>
        <v>62720</v>
      </c>
      <c r="D6275" s="56">
        <v>3.499</v>
      </c>
    </row>
    <row r="6276" ht="15.75" customHeight="1">
      <c r="B6276" s="370">
        <f t="shared" si="2"/>
        <v>0.7260416667</v>
      </c>
      <c r="C6276" s="56">
        <f t="shared" si="3"/>
        <v>62730</v>
      </c>
      <c r="D6276" s="56">
        <v>3.184</v>
      </c>
    </row>
    <row r="6277" ht="15.75" customHeight="1">
      <c r="B6277" s="370">
        <f t="shared" si="2"/>
        <v>0.7261574074</v>
      </c>
      <c r="C6277" s="56">
        <f t="shared" si="3"/>
        <v>62740</v>
      </c>
      <c r="D6277" s="56">
        <v>2.498</v>
      </c>
    </row>
    <row r="6278" ht="15.75" customHeight="1">
      <c r="B6278" s="370">
        <f t="shared" si="2"/>
        <v>0.7262731481</v>
      </c>
      <c r="C6278" s="56">
        <f t="shared" si="3"/>
        <v>62750</v>
      </c>
      <c r="D6278" s="56">
        <v>1.958</v>
      </c>
    </row>
    <row r="6279" ht="15.75" customHeight="1">
      <c r="B6279" s="370">
        <f t="shared" si="2"/>
        <v>0.7263888889</v>
      </c>
      <c r="C6279" s="56">
        <f t="shared" si="3"/>
        <v>62760</v>
      </c>
      <c r="D6279" s="56">
        <v>2.257</v>
      </c>
    </row>
    <row r="6280" ht="15.75" customHeight="1">
      <c r="B6280" s="370">
        <f t="shared" si="2"/>
        <v>0.7265046296</v>
      </c>
      <c r="C6280" s="56">
        <f t="shared" si="3"/>
        <v>62770</v>
      </c>
      <c r="D6280" s="56">
        <v>2.668</v>
      </c>
    </row>
    <row r="6281" ht="15.75" customHeight="1">
      <c r="B6281" s="370">
        <f t="shared" si="2"/>
        <v>0.7266203704</v>
      </c>
      <c r="C6281" s="56">
        <f t="shared" si="3"/>
        <v>62780</v>
      </c>
      <c r="D6281" s="56">
        <v>3.054</v>
      </c>
    </row>
    <row r="6282" ht="15.75" customHeight="1">
      <c r="B6282" s="370">
        <f t="shared" si="2"/>
        <v>0.7267361111</v>
      </c>
      <c r="C6282" s="56">
        <f t="shared" si="3"/>
        <v>62790</v>
      </c>
      <c r="D6282" s="56">
        <v>3.356</v>
      </c>
    </row>
    <row r="6283" ht="15.75" customHeight="1">
      <c r="B6283" s="370">
        <f t="shared" si="2"/>
        <v>0.7268518519</v>
      </c>
      <c r="C6283" s="56">
        <f t="shared" si="3"/>
        <v>62800</v>
      </c>
      <c r="D6283" s="56">
        <v>3.282</v>
      </c>
    </row>
    <row r="6284" ht="15.75" customHeight="1">
      <c r="B6284" s="370">
        <f t="shared" si="2"/>
        <v>0.7269675926</v>
      </c>
      <c r="C6284" s="56">
        <f t="shared" si="3"/>
        <v>62810</v>
      </c>
      <c r="D6284" s="56">
        <v>3.18</v>
      </c>
    </row>
    <row r="6285" ht="15.75" customHeight="1">
      <c r="B6285" s="370">
        <f t="shared" si="2"/>
        <v>0.7270833333</v>
      </c>
      <c r="C6285" s="56">
        <f t="shared" si="3"/>
        <v>62820</v>
      </c>
      <c r="D6285" s="56">
        <v>2.978</v>
      </c>
    </row>
    <row r="6286" ht="15.75" customHeight="1">
      <c r="B6286" s="370">
        <f t="shared" si="2"/>
        <v>0.7271990741</v>
      </c>
      <c r="C6286" s="56">
        <f t="shared" si="3"/>
        <v>62830</v>
      </c>
      <c r="D6286" s="56">
        <v>2.615</v>
      </c>
    </row>
    <row r="6287" ht="15.75" customHeight="1">
      <c r="B6287" s="370">
        <f t="shared" si="2"/>
        <v>0.7273148148</v>
      </c>
      <c r="C6287" s="56">
        <f t="shared" si="3"/>
        <v>62840</v>
      </c>
      <c r="D6287" s="56">
        <v>2.718</v>
      </c>
    </row>
    <row r="6288" ht="15.75" customHeight="1">
      <c r="B6288" s="370">
        <f t="shared" si="2"/>
        <v>0.7274305556</v>
      </c>
      <c r="C6288" s="56">
        <f t="shared" si="3"/>
        <v>62850</v>
      </c>
      <c r="D6288" s="56">
        <v>2.75</v>
      </c>
    </row>
    <row r="6289" ht="15.75" customHeight="1">
      <c r="B6289" s="370">
        <f t="shared" si="2"/>
        <v>0.7275462963</v>
      </c>
      <c r="C6289" s="56">
        <f t="shared" si="3"/>
        <v>62860</v>
      </c>
      <c r="D6289" s="56">
        <v>2.694</v>
      </c>
    </row>
    <row r="6290" ht="15.75" customHeight="1">
      <c r="B6290" s="370">
        <f t="shared" si="2"/>
        <v>0.727662037</v>
      </c>
      <c r="C6290" s="56">
        <f t="shared" si="3"/>
        <v>62870</v>
      </c>
      <c r="D6290" s="56">
        <v>2.627</v>
      </c>
    </row>
    <row r="6291" ht="15.75" customHeight="1">
      <c r="B6291" s="370">
        <f t="shared" si="2"/>
        <v>0.7277777778</v>
      </c>
      <c r="C6291" s="56">
        <f t="shared" si="3"/>
        <v>62880</v>
      </c>
      <c r="D6291" s="56">
        <v>2.372</v>
      </c>
    </row>
    <row r="6292" ht="15.75" customHeight="1">
      <c r="B6292" s="370">
        <f t="shared" si="2"/>
        <v>0.7278935185</v>
      </c>
      <c r="C6292" s="56">
        <f t="shared" si="3"/>
        <v>62890</v>
      </c>
      <c r="D6292" s="56">
        <v>3.009</v>
      </c>
    </row>
    <row r="6293" ht="15.75" customHeight="1">
      <c r="B6293" s="370">
        <f t="shared" si="2"/>
        <v>0.7280092593</v>
      </c>
      <c r="C6293" s="56">
        <f t="shared" si="3"/>
        <v>62900</v>
      </c>
      <c r="D6293" s="56">
        <v>3.354</v>
      </c>
    </row>
    <row r="6294" ht="15.75" customHeight="1">
      <c r="B6294" s="370">
        <f t="shared" si="2"/>
        <v>0.728125</v>
      </c>
      <c r="C6294" s="56">
        <f t="shared" si="3"/>
        <v>62910</v>
      </c>
      <c r="D6294" s="56">
        <v>3.399</v>
      </c>
    </row>
    <row r="6295" ht="15.75" customHeight="1">
      <c r="B6295" s="370">
        <f t="shared" si="2"/>
        <v>0.7282407407</v>
      </c>
      <c r="C6295" s="56">
        <f t="shared" si="3"/>
        <v>62920</v>
      </c>
      <c r="D6295" s="56">
        <v>3.464</v>
      </c>
    </row>
    <row r="6296" ht="15.75" customHeight="1">
      <c r="B6296" s="370">
        <f t="shared" si="2"/>
        <v>0.7283564815</v>
      </c>
      <c r="C6296" s="56">
        <f t="shared" si="3"/>
        <v>62930</v>
      </c>
      <c r="D6296" s="56">
        <v>3.229</v>
      </c>
    </row>
    <row r="6297" ht="15.75" customHeight="1">
      <c r="B6297" s="370">
        <f t="shared" si="2"/>
        <v>0.7284722222</v>
      </c>
      <c r="C6297" s="56">
        <f t="shared" si="3"/>
        <v>62940</v>
      </c>
      <c r="D6297" s="56">
        <v>2.642</v>
      </c>
    </row>
    <row r="6298" ht="15.75" customHeight="1">
      <c r="B6298" s="370">
        <f t="shared" si="2"/>
        <v>0.728587963</v>
      </c>
      <c r="C6298" s="56">
        <f t="shared" si="3"/>
        <v>62950</v>
      </c>
      <c r="D6298" s="56">
        <v>2.084</v>
      </c>
    </row>
    <row r="6299" ht="15.75" customHeight="1">
      <c r="B6299" s="370">
        <f t="shared" si="2"/>
        <v>0.7287037037</v>
      </c>
      <c r="C6299" s="56">
        <f t="shared" si="3"/>
        <v>62960</v>
      </c>
      <c r="D6299" s="56">
        <v>2.083</v>
      </c>
    </row>
    <row r="6300" ht="15.75" customHeight="1">
      <c r="B6300" s="370">
        <f t="shared" si="2"/>
        <v>0.7288194444</v>
      </c>
      <c r="C6300" s="56">
        <f t="shared" si="3"/>
        <v>62970</v>
      </c>
      <c r="D6300" s="56">
        <v>2.527</v>
      </c>
    </row>
    <row r="6301" ht="15.75" customHeight="1">
      <c r="B6301" s="370">
        <f t="shared" si="2"/>
        <v>0.7289351852</v>
      </c>
      <c r="C6301" s="56">
        <f t="shared" si="3"/>
        <v>62980</v>
      </c>
      <c r="D6301" s="56">
        <v>3.023</v>
      </c>
    </row>
    <row r="6302" ht="15.75" customHeight="1">
      <c r="B6302" s="370">
        <f t="shared" si="2"/>
        <v>0.7290509259</v>
      </c>
      <c r="C6302" s="56">
        <f t="shared" si="3"/>
        <v>62990</v>
      </c>
      <c r="D6302" s="56">
        <v>3.419</v>
      </c>
    </row>
    <row r="6303" ht="15.75" customHeight="1">
      <c r="B6303" s="370">
        <f t="shared" si="2"/>
        <v>0.7291666667</v>
      </c>
      <c r="C6303" s="56">
        <f t="shared" si="3"/>
        <v>63000</v>
      </c>
      <c r="D6303" s="56">
        <v>3.379</v>
      </c>
    </row>
    <row r="6304" ht="15.75" customHeight="1">
      <c r="B6304" s="370">
        <f t="shared" si="2"/>
        <v>0.7292824074</v>
      </c>
      <c r="C6304" s="56">
        <f t="shared" si="3"/>
        <v>63010</v>
      </c>
      <c r="D6304" s="56">
        <v>3.331</v>
      </c>
    </row>
    <row r="6305" ht="15.75" customHeight="1">
      <c r="B6305" s="370">
        <f t="shared" si="2"/>
        <v>0.7293981481</v>
      </c>
      <c r="C6305" s="56">
        <f t="shared" si="3"/>
        <v>63020</v>
      </c>
      <c r="D6305" s="56">
        <v>3.143</v>
      </c>
    </row>
    <row r="6306" ht="15.75" customHeight="1">
      <c r="B6306" s="370">
        <f t="shared" si="2"/>
        <v>0.7295138889</v>
      </c>
      <c r="C6306" s="56">
        <f t="shared" si="3"/>
        <v>63030</v>
      </c>
      <c r="D6306" s="56">
        <v>2.479</v>
      </c>
    </row>
    <row r="6307" ht="15.75" customHeight="1">
      <c r="B6307" s="370">
        <f t="shared" si="2"/>
        <v>0.7296296296</v>
      </c>
      <c r="C6307" s="56">
        <f t="shared" si="3"/>
        <v>63040</v>
      </c>
      <c r="D6307" s="56">
        <v>2.598</v>
      </c>
    </row>
    <row r="6308" ht="15.75" customHeight="1">
      <c r="B6308" s="370">
        <f t="shared" si="2"/>
        <v>0.7297453704</v>
      </c>
      <c r="C6308" s="56">
        <f t="shared" si="3"/>
        <v>63050</v>
      </c>
      <c r="D6308" s="56">
        <v>2.714</v>
      </c>
    </row>
    <row r="6309" ht="15.75" customHeight="1">
      <c r="B6309" s="370">
        <f t="shared" si="2"/>
        <v>0.7298611111</v>
      </c>
      <c r="C6309" s="56">
        <f t="shared" si="3"/>
        <v>63060</v>
      </c>
      <c r="D6309" s="56">
        <v>2.72</v>
      </c>
    </row>
    <row r="6310" ht="15.75" customHeight="1">
      <c r="B6310" s="370">
        <f t="shared" si="2"/>
        <v>0.7299768519</v>
      </c>
      <c r="C6310" s="56">
        <f t="shared" si="3"/>
        <v>63070</v>
      </c>
      <c r="D6310" s="56">
        <v>2.73</v>
      </c>
    </row>
    <row r="6311" ht="15.75" customHeight="1">
      <c r="B6311" s="370">
        <f t="shared" si="2"/>
        <v>0.7300925926</v>
      </c>
      <c r="C6311" s="56">
        <f t="shared" si="3"/>
        <v>63080</v>
      </c>
      <c r="D6311" s="56">
        <v>2.593</v>
      </c>
    </row>
    <row r="6312" ht="15.75" customHeight="1">
      <c r="B6312" s="370">
        <f t="shared" si="2"/>
        <v>0.7302083333</v>
      </c>
      <c r="C6312" s="56">
        <f t="shared" si="3"/>
        <v>63090</v>
      </c>
      <c r="D6312" s="56">
        <v>2.796</v>
      </c>
    </row>
    <row r="6313" ht="15.75" customHeight="1">
      <c r="B6313" s="370">
        <f t="shared" si="2"/>
        <v>0.7303240741</v>
      </c>
      <c r="C6313" s="56">
        <f t="shared" si="3"/>
        <v>63100</v>
      </c>
      <c r="D6313" s="56">
        <v>3.239</v>
      </c>
    </row>
    <row r="6314" ht="15.75" customHeight="1">
      <c r="B6314" s="370">
        <f t="shared" si="2"/>
        <v>0.7304398148</v>
      </c>
      <c r="C6314" s="56">
        <f t="shared" si="3"/>
        <v>63110</v>
      </c>
      <c r="D6314" s="56">
        <v>0.054</v>
      </c>
    </row>
    <row r="6315" ht="15.75" customHeight="1">
      <c r="B6315" s="370">
        <f t="shared" si="2"/>
        <v>0.7305555556</v>
      </c>
      <c r="C6315" s="56">
        <f t="shared" si="3"/>
        <v>63120</v>
      </c>
      <c r="D6315" s="56">
        <v>0.0</v>
      </c>
    </row>
    <row r="6316" ht="15.75" customHeight="1">
      <c r="B6316" s="370">
        <f t="shared" si="2"/>
        <v>0.7306712963</v>
      </c>
      <c r="C6316" s="56">
        <f t="shared" si="3"/>
        <v>63130</v>
      </c>
      <c r="D6316" s="56">
        <v>0.0</v>
      </c>
    </row>
    <row r="6317" ht="15.75" customHeight="1">
      <c r="B6317" s="370">
        <f t="shared" si="2"/>
        <v>0.730787037</v>
      </c>
      <c r="C6317" s="56">
        <f t="shared" si="3"/>
        <v>63140</v>
      </c>
      <c r="D6317" s="56">
        <v>0.0</v>
      </c>
    </row>
    <row r="6318" ht="15.75" customHeight="1">
      <c r="B6318" s="370">
        <f t="shared" si="2"/>
        <v>0.7309027778</v>
      </c>
      <c r="C6318" s="56">
        <f t="shared" si="3"/>
        <v>63150</v>
      </c>
      <c r="D6318" s="56">
        <v>0.0</v>
      </c>
    </row>
    <row r="6319" ht="15.75" customHeight="1">
      <c r="B6319" s="370">
        <f t="shared" si="2"/>
        <v>0.7310185185</v>
      </c>
      <c r="C6319" s="56">
        <f t="shared" si="3"/>
        <v>63160</v>
      </c>
      <c r="D6319" s="56">
        <v>0.0</v>
      </c>
    </row>
    <row r="6320" ht="15.75" customHeight="1">
      <c r="B6320" s="370">
        <f t="shared" si="2"/>
        <v>0.7311342593</v>
      </c>
      <c r="C6320" s="56">
        <f t="shared" si="3"/>
        <v>63170</v>
      </c>
      <c r="D6320" s="56">
        <v>0.0</v>
      </c>
    </row>
    <row r="6321" ht="15.75" customHeight="1">
      <c r="B6321" s="370">
        <f t="shared" si="2"/>
        <v>0.73125</v>
      </c>
      <c r="C6321" s="56">
        <f t="shared" si="3"/>
        <v>63180</v>
      </c>
      <c r="D6321" s="56">
        <v>0.0</v>
      </c>
    </row>
    <row r="6322" ht="15.75" customHeight="1">
      <c r="B6322" s="370">
        <f t="shared" si="2"/>
        <v>0.7313657407</v>
      </c>
      <c r="C6322" s="56">
        <f t="shared" si="3"/>
        <v>63190</v>
      </c>
      <c r="D6322" s="56">
        <v>0.0</v>
      </c>
    </row>
    <row r="6323" ht="15.75" customHeight="1">
      <c r="B6323" s="370">
        <f t="shared" si="2"/>
        <v>0.7314814815</v>
      </c>
      <c r="C6323" s="56">
        <f t="shared" si="3"/>
        <v>63200</v>
      </c>
      <c r="D6323" s="56">
        <v>0.0</v>
      </c>
    </row>
    <row r="6324" ht="15.75" customHeight="1">
      <c r="B6324" s="370">
        <f t="shared" si="2"/>
        <v>0.7315972222</v>
      </c>
      <c r="C6324" s="56">
        <f t="shared" si="3"/>
        <v>63210</v>
      </c>
      <c r="D6324" s="56">
        <v>0.0</v>
      </c>
    </row>
    <row r="6325" ht="15.75" customHeight="1">
      <c r="B6325" s="370">
        <f t="shared" si="2"/>
        <v>0.731712963</v>
      </c>
      <c r="C6325" s="56">
        <f t="shared" si="3"/>
        <v>63220</v>
      </c>
      <c r="D6325" s="56">
        <v>0.0</v>
      </c>
    </row>
    <row r="6326" ht="15.75" customHeight="1">
      <c r="B6326" s="370">
        <f t="shared" si="2"/>
        <v>0.7318287037</v>
      </c>
      <c r="C6326" s="56">
        <f t="shared" si="3"/>
        <v>63230</v>
      </c>
      <c r="D6326" s="56">
        <v>0.0</v>
      </c>
    </row>
    <row r="6327" ht="15.75" customHeight="1">
      <c r="B6327" s="370">
        <f t="shared" si="2"/>
        <v>0.7319444444</v>
      </c>
      <c r="C6327" s="56">
        <f t="shared" si="3"/>
        <v>63240</v>
      </c>
      <c r="D6327" s="56">
        <v>0.0</v>
      </c>
    </row>
    <row r="6328" ht="15.75" customHeight="1">
      <c r="B6328" s="370">
        <f t="shared" si="2"/>
        <v>0.7320601852</v>
      </c>
      <c r="C6328" s="56">
        <f t="shared" si="3"/>
        <v>63250</v>
      </c>
      <c r="D6328" s="56">
        <v>0.0</v>
      </c>
    </row>
    <row r="6329" ht="15.75" customHeight="1">
      <c r="B6329" s="370">
        <f t="shared" si="2"/>
        <v>0.7321759259</v>
      </c>
      <c r="C6329" s="56">
        <f t="shared" si="3"/>
        <v>63260</v>
      </c>
      <c r="D6329" s="56">
        <v>0.0</v>
      </c>
    </row>
    <row r="6330" ht="15.75" customHeight="1">
      <c r="B6330" s="370">
        <f t="shared" si="2"/>
        <v>0.7322916667</v>
      </c>
      <c r="C6330" s="56">
        <f t="shared" si="3"/>
        <v>63270</v>
      </c>
      <c r="D6330" s="56">
        <v>0.0</v>
      </c>
    </row>
    <row r="6331" ht="15.75" customHeight="1">
      <c r="B6331" s="370">
        <f t="shared" si="2"/>
        <v>0.7324074074</v>
      </c>
      <c r="C6331" s="56">
        <f t="shared" si="3"/>
        <v>63280</v>
      </c>
      <c r="D6331" s="56">
        <v>0.0</v>
      </c>
    </row>
    <row r="6332" ht="15.75" customHeight="1">
      <c r="B6332" s="370">
        <f t="shared" si="2"/>
        <v>0.7325231481</v>
      </c>
      <c r="C6332" s="56">
        <f t="shared" si="3"/>
        <v>63290</v>
      </c>
      <c r="D6332" s="56">
        <v>0.0</v>
      </c>
    </row>
    <row r="6333" ht="15.75" customHeight="1">
      <c r="B6333" s="370">
        <f t="shared" si="2"/>
        <v>0.7326388889</v>
      </c>
      <c r="C6333" s="56">
        <f t="shared" si="3"/>
        <v>63300</v>
      </c>
      <c r="D6333" s="56">
        <v>0.0</v>
      </c>
    </row>
    <row r="6334" ht="15.75" customHeight="1">
      <c r="B6334" s="370">
        <f t="shared" si="2"/>
        <v>0.7327546296</v>
      </c>
      <c r="C6334" s="56">
        <f t="shared" si="3"/>
        <v>63310</v>
      </c>
      <c r="D6334" s="56">
        <v>0.0</v>
      </c>
    </row>
    <row r="6335" ht="15.75" customHeight="1">
      <c r="B6335" s="370">
        <f t="shared" si="2"/>
        <v>0.7328703704</v>
      </c>
      <c r="C6335" s="56">
        <f t="shared" si="3"/>
        <v>63320</v>
      </c>
      <c r="D6335" s="56">
        <v>0.0</v>
      </c>
    </row>
    <row r="6336" ht="15.75" customHeight="1">
      <c r="B6336" s="370">
        <f t="shared" si="2"/>
        <v>0.7329861111</v>
      </c>
      <c r="C6336" s="56">
        <f t="shared" si="3"/>
        <v>63330</v>
      </c>
      <c r="D6336" s="56">
        <v>0.0</v>
      </c>
    </row>
    <row r="6337" ht="15.75" customHeight="1">
      <c r="B6337" s="370">
        <f t="shared" si="2"/>
        <v>0.7331018519</v>
      </c>
      <c r="C6337" s="56">
        <f t="shared" si="3"/>
        <v>63340</v>
      </c>
      <c r="D6337" s="56">
        <v>0.0</v>
      </c>
    </row>
    <row r="6338" ht="15.75" customHeight="1">
      <c r="B6338" s="370">
        <f t="shared" si="2"/>
        <v>0.7332175926</v>
      </c>
      <c r="C6338" s="56">
        <f t="shared" si="3"/>
        <v>63350</v>
      </c>
      <c r="D6338" s="56">
        <v>0.0</v>
      </c>
    </row>
    <row r="6339" ht="15.75" customHeight="1">
      <c r="B6339" s="370">
        <f t="shared" si="2"/>
        <v>0.7333333333</v>
      </c>
      <c r="C6339" s="56">
        <f t="shared" si="3"/>
        <v>63360</v>
      </c>
      <c r="D6339" s="56">
        <v>0.0</v>
      </c>
    </row>
    <row r="6340" ht="15.75" customHeight="1">
      <c r="B6340" s="370">
        <f t="shared" si="2"/>
        <v>0.7334490741</v>
      </c>
      <c r="C6340" s="56">
        <f t="shared" si="3"/>
        <v>63370</v>
      </c>
      <c r="D6340" s="56">
        <v>0.0</v>
      </c>
    </row>
    <row r="6341" ht="15.75" customHeight="1">
      <c r="B6341" s="370">
        <f t="shared" si="2"/>
        <v>0.7335648148</v>
      </c>
      <c r="C6341" s="56">
        <f t="shared" si="3"/>
        <v>63380</v>
      </c>
      <c r="D6341" s="56">
        <v>0.0</v>
      </c>
    </row>
    <row r="6342" ht="15.75" customHeight="1">
      <c r="B6342" s="370">
        <f t="shared" si="2"/>
        <v>0.7336805556</v>
      </c>
      <c r="C6342" s="56">
        <f t="shared" si="3"/>
        <v>63390</v>
      </c>
      <c r="D6342" s="56">
        <v>0.0</v>
      </c>
    </row>
    <row r="6343" ht="15.75" customHeight="1">
      <c r="B6343" s="370">
        <f t="shared" si="2"/>
        <v>0.7337962963</v>
      </c>
      <c r="C6343" s="56">
        <f t="shared" si="3"/>
        <v>63400</v>
      </c>
      <c r="D6343" s="56">
        <v>0.0</v>
      </c>
    </row>
    <row r="6344" ht="15.75" customHeight="1">
      <c r="B6344" s="370">
        <f t="shared" si="2"/>
        <v>0.733912037</v>
      </c>
      <c r="C6344" s="56">
        <f t="shared" si="3"/>
        <v>63410</v>
      </c>
      <c r="D6344" s="56">
        <v>0.0</v>
      </c>
    </row>
    <row r="6345" ht="15.75" customHeight="1">
      <c r="B6345" s="370">
        <f t="shared" si="2"/>
        <v>0.7340277778</v>
      </c>
      <c r="C6345" s="56">
        <f t="shared" si="3"/>
        <v>63420</v>
      </c>
      <c r="D6345" s="56">
        <v>0.0</v>
      </c>
    </row>
    <row r="6346" ht="15.75" customHeight="1">
      <c r="B6346" s="370">
        <f t="shared" si="2"/>
        <v>0.7341435185</v>
      </c>
      <c r="C6346" s="56">
        <f t="shared" si="3"/>
        <v>63430</v>
      </c>
      <c r="D6346" s="56">
        <v>0.0</v>
      </c>
    </row>
    <row r="6347" ht="15.75" customHeight="1">
      <c r="B6347" s="370">
        <f t="shared" si="2"/>
        <v>0.7342592593</v>
      </c>
      <c r="C6347" s="56">
        <f t="shared" si="3"/>
        <v>63440</v>
      </c>
      <c r="D6347" s="56">
        <v>0.0</v>
      </c>
    </row>
    <row r="6348" ht="15.75" customHeight="1">
      <c r="B6348" s="370">
        <f t="shared" si="2"/>
        <v>0.734375</v>
      </c>
      <c r="C6348" s="56">
        <f t="shared" si="3"/>
        <v>63450</v>
      </c>
      <c r="D6348" s="56">
        <v>0.0</v>
      </c>
    </row>
    <row r="6349" ht="15.75" customHeight="1">
      <c r="B6349" s="370">
        <f t="shared" si="2"/>
        <v>0.7344907407</v>
      </c>
      <c r="C6349" s="56">
        <f t="shared" si="3"/>
        <v>63460</v>
      </c>
      <c r="D6349" s="56">
        <v>0.0</v>
      </c>
    </row>
    <row r="6350" ht="15.75" customHeight="1">
      <c r="B6350" s="370">
        <f t="shared" si="2"/>
        <v>0.7346064815</v>
      </c>
      <c r="C6350" s="56">
        <f t="shared" si="3"/>
        <v>63470</v>
      </c>
      <c r="D6350" s="56">
        <v>0.0</v>
      </c>
    </row>
    <row r="6351" ht="15.75" customHeight="1">
      <c r="B6351" s="370">
        <f t="shared" si="2"/>
        <v>0.7347222222</v>
      </c>
      <c r="C6351" s="56">
        <f t="shared" si="3"/>
        <v>63480</v>
      </c>
      <c r="D6351" s="56">
        <v>0.0</v>
      </c>
    </row>
    <row r="6352" ht="15.75" customHeight="1">
      <c r="B6352" s="370">
        <f t="shared" si="2"/>
        <v>0.734837963</v>
      </c>
      <c r="C6352" s="56">
        <f t="shared" si="3"/>
        <v>63490</v>
      </c>
      <c r="D6352" s="56">
        <v>0.0</v>
      </c>
    </row>
    <row r="6353" ht="15.75" customHeight="1">
      <c r="B6353" s="370">
        <f t="shared" si="2"/>
        <v>0.7349537037</v>
      </c>
      <c r="C6353" s="56">
        <f t="shared" si="3"/>
        <v>63500</v>
      </c>
      <c r="D6353" s="56">
        <v>0.0</v>
      </c>
    </row>
    <row r="6354" ht="15.75" customHeight="1">
      <c r="B6354" s="370">
        <f t="shared" si="2"/>
        <v>0.7350694444</v>
      </c>
      <c r="C6354" s="56">
        <f t="shared" si="3"/>
        <v>63510</v>
      </c>
      <c r="D6354" s="56">
        <v>0.0</v>
      </c>
    </row>
    <row r="6355" ht="15.75" customHeight="1">
      <c r="B6355" s="370">
        <f t="shared" si="2"/>
        <v>0.7351851852</v>
      </c>
      <c r="C6355" s="56">
        <f t="shared" si="3"/>
        <v>63520</v>
      </c>
      <c r="D6355" s="56">
        <v>0.0</v>
      </c>
    </row>
    <row r="6356" ht="15.75" customHeight="1">
      <c r="B6356" s="370">
        <f t="shared" si="2"/>
        <v>0.7353009259</v>
      </c>
      <c r="C6356" s="56">
        <f t="shared" si="3"/>
        <v>63530</v>
      </c>
      <c r="D6356" s="56">
        <v>0.0</v>
      </c>
    </row>
    <row r="6357" ht="15.75" customHeight="1">
      <c r="B6357" s="370">
        <f t="shared" si="2"/>
        <v>0.7354166667</v>
      </c>
      <c r="C6357" s="56">
        <f t="shared" si="3"/>
        <v>63540</v>
      </c>
      <c r="D6357" s="56">
        <v>0.0</v>
      </c>
    </row>
    <row r="6358" ht="15.75" customHeight="1">
      <c r="B6358" s="370">
        <f t="shared" si="2"/>
        <v>0.7355324074</v>
      </c>
      <c r="C6358" s="56">
        <f t="shared" si="3"/>
        <v>63550</v>
      </c>
      <c r="D6358" s="56">
        <v>0.0</v>
      </c>
    </row>
    <row r="6359" ht="15.75" customHeight="1">
      <c r="B6359" s="370">
        <f t="shared" si="2"/>
        <v>0.7356481481</v>
      </c>
      <c r="C6359" s="56">
        <f t="shared" si="3"/>
        <v>63560</v>
      </c>
      <c r="D6359" s="56">
        <v>0.0</v>
      </c>
    </row>
    <row r="6360" ht="15.75" customHeight="1">
      <c r="B6360" s="370">
        <f t="shared" si="2"/>
        <v>0.7357638889</v>
      </c>
      <c r="C6360" s="56">
        <f t="shared" si="3"/>
        <v>63570</v>
      </c>
      <c r="D6360" s="56">
        <v>0.0</v>
      </c>
    </row>
    <row r="6361" ht="15.75" customHeight="1">
      <c r="B6361" s="370">
        <f t="shared" si="2"/>
        <v>0.7358796296</v>
      </c>
      <c r="C6361" s="56">
        <f t="shared" si="3"/>
        <v>63580</v>
      </c>
      <c r="D6361" s="56">
        <v>0.0</v>
      </c>
    </row>
    <row r="6362" ht="15.75" customHeight="1">
      <c r="B6362" s="370">
        <f t="shared" si="2"/>
        <v>0.7359953704</v>
      </c>
      <c r="C6362" s="56">
        <f t="shared" si="3"/>
        <v>63590</v>
      </c>
      <c r="D6362" s="56">
        <v>0.0</v>
      </c>
    </row>
    <row r="6363" ht="15.75" customHeight="1">
      <c r="B6363" s="370">
        <f t="shared" si="2"/>
        <v>0.7361111111</v>
      </c>
      <c r="C6363" s="56">
        <f t="shared" si="3"/>
        <v>63600</v>
      </c>
      <c r="D6363" s="56">
        <v>0.0</v>
      </c>
    </row>
    <row r="6364" ht="15.75" customHeight="1">
      <c r="B6364" s="370">
        <f t="shared" si="2"/>
        <v>0.7362268519</v>
      </c>
      <c r="C6364" s="56">
        <f t="shared" si="3"/>
        <v>63610</v>
      </c>
      <c r="D6364" s="56">
        <v>0.0</v>
      </c>
    </row>
    <row r="6365" ht="15.75" customHeight="1">
      <c r="B6365" s="370">
        <f t="shared" si="2"/>
        <v>0.7363425926</v>
      </c>
      <c r="C6365" s="56">
        <f t="shared" si="3"/>
        <v>63620</v>
      </c>
      <c r="D6365" s="56">
        <v>0.0</v>
      </c>
    </row>
    <row r="6366" ht="15.75" customHeight="1">
      <c r="B6366" s="370">
        <f t="shared" si="2"/>
        <v>0.7364583333</v>
      </c>
      <c r="C6366" s="56">
        <f t="shared" si="3"/>
        <v>63630</v>
      </c>
      <c r="D6366" s="56">
        <v>0.0</v>
      </c>
    </row>
    <row r="6367" ht="15.75" customHeight="1">
      <c r="B6367" s="370">
        <f t="shared" si="2"/>
        <v>0.7365740741</v>
      </c>
      <c r="C6367" s="56">
        <f t="shared" si="3"/>
        <v>63640</v>
      </c>
      <c r="D6367" s="56">
        <v>0.0</v>
      </c>
    </row>
    <row r="6368" ht="15.75" customHeight="1">
      <c r="B6368" s="370">
        <f t="shared" si="2"/>
        <v>0.7366898148</v>
      </c>
      <c r="C6368" s="56">
        <f t="shared" si="3"/>
        <v>63650</v>
      </c>
      <c r="D6368" s="56">
        <v>0.0</v>
      </c>
    </row>
    <row r="6369" ht="15.75" customHeight="1">
      <c r="B6369" s="370">
        <f t="shared" si="2"/>
        <v>0.7368055556</v>
      </c>
      <c r="C6369" s="56">
        <f t="shared" si="3"/>
        <v>63660</v>
      </c>
      <c r="D6369" s="56">
        <v>0.0</v>
      </c>
    </row>
    <row r="6370" ht="15.75" customHeight="1">
      <c r="B6370" s="370">
        <f t="shared" si="2"/>
        <v>0.7369212963</v>
      </c>
      <c r="C6370" s="56">
        <f t="shared" si="3"/>
        <v>63670</v>
      </c>
      <c r="D6370" s="56">
        <v>0.0</v>
      </c>
    </row>
    <row r="6371" ht="15.75" customHeight="1">
      <c r="B6371" s="370">
        <f t="shared" si="2"/>
        <v>0.737037037</v>
      </c>
      <c r="C6371" s="56">
        <f t="shared" si="3"/>
        <v>63680</v>
      </c>
      <c r="D6371" s="56">
        <v>0.0</v>
      </c>
    </row>
    <row r="6372" ht="15.75" customHeight="1">
      <c r="B6372" s="370">
        <f t="shared" si="2"/>
        <v>0.7371527778</v>
      </c>
      <c r="C6372" s="56">
        <f t="shared" si="3"/>
        <v>63690</v>
      </c>
      <c r="D6372" s="56">
        <v>0.0</v>
      </c>
    </row>
    <row r="6373" ht="15.75" customHeight="1">
      <c r="B6373" s="370">
        <f t="shared" si="2"/>
        <v>0.7372685185</v>
      </c>
      <c r="C6373" s="56">
        <f t="shared" si="3"/>
        <v>63700</v>
      </c>
      <c r="D6373" s="56">
        <v>0.0</v>
      </c>
    </row>
    <row r="6374" ht="15.75" customHeight="1">
      <c r="B6374" s="370">
        <f t="shared" si="2"/>
        <v>0.7373842593</v>
      </c>
      <c r="C6374" s="56">
        <f t="shared" si="3"/>
        <v>63710</v>
      </c>
      <c r="D6374" s="56">
        <v>0.0</v>
      </c>
    </row>
    <row r="6375" ht="15.75" customHeight="1">
      <c r="B6375" s="370">
        <f t="shared" si="2"/>
        <v>0.7375</v>
      </c>
      <c r="C6375" s="56">
        <f t="shared" si="3"/>
        <v>63720</v>
      </c>
      <c r="D6375" s="56">
        <v>0.0</v>
      </c>
    </row>
    <row r="6376" ht="15.75" customHeight="1">
      <c r="B6376" s="370">
        <f t="shared" si="2"/>
        <v>0.7376157407</v>
      </c>
      <c r="C6376" s="56">
        <f t="shared" si="3"/>
        <v>63730</v>
      </c>
      <c r="D6376" s="56">
        <v>0.0</v>
      </c>
    </row>
    <row r="6377" ht="15.75" customHeight="1">
      <c r="B6377" s="370">
        <f t="shared" si="2"/>
        <v>0.7377314815</v>
      </c>
      <c r="C6377" s="56">
        <f t="shared" si="3"/>
        <v>63740</v>
      </c>
      <c r="D6377" s="56">
        <v>0.0</v>
      </c>
    </row>
    <row r="6378" ht="15.75" customHeight="1">
      <c r="B6378" s="370">
        <f t="shared" si="2"/>
        <v>0.7378472222</v>
      </c>
      <c r="C6378" s="56">
        <f t="shared" si="3"/>
        <v>63750</v>
      </c>
      <c r="D6378" s="56">
        <v>0.0</v>
      </c>
    </row>
    <row r="6379" ht="15.75" customHeight="1">
      <c r="B6379" s="370">
        <f t="shared" si="2"/>
        <v>0.737962963</v>
      </c>
      <c r="C6379" s="56">
        <f t="shared" si="3"/>
        <v>63760</v>
      </c>
      <c r="D6379" s="56">
        <v>0.0</v>
      </c>
    </row>
    <row r="6380" ht="15.75" customHeight="1">
      <c r="B6380" s="370">
        <f t="shared" si="2"/>
        <v>0.7380787037</v>
      </c>
      <c r="C6380" s="56">
        <f t="shared" si="3"/>
        <v>63770</v>
      </c>
      <c r="D6380" s="56">
        <v>0.0</v>
      </c>
    </row>
    <row r="6381" ht="15.75" customHeight="1">
      <c r="B6381" s="370">
        <f t="shared" si="2"/>
        <v>0.7381944444</v>
      </c>
      <c r="C6381" s="56">
        <f t="shared" si="3"/>
        <v>63780</v>
      </c>
      <c r="D6381" s="56">
        <v>0.0</v>
      </c>
    </row>
    <row r="6382" ht="15.75" customHeight="1">
      <c r="B6382" s="370">
        <f t="shared" si="2"/>
        <v>0.7383101852</v>
      </c>
      <c r="C6382" s="56">
        <f t="shared" si="3"/>
        <v>63790</v>
      </c>
      <c r="D6382" s="56">
        <v>0.0</v>
      </c>
    </row>
    <row r="6383" ht="15.75" customHeight="1">
      <c r="B6383" s="370">
        <f t="shared" si="2"/>
        <v>0.7384259259</v>
      </c>
      <c r="C6383" s="56">
        <f t="shared" si="3"/>
        <v>63800</v>
      </c>
      <c r="D6383" s="56">
        <v>0.0</v>
      </c>
    </row>
    <row r="6384" ht="15.75" customHeight="1">
      <c r="B6384" s="370">
        <f t="shared" si="2"/>
        <v>0.7385416667</v>
      </c>
      <c r="C6384" s="56">
        <f t="shared" si="3"/>
        <v>63810</v>
      </c>
      <c r="D6384" s="56">
        <v>0.0</v>
      </c>
    </row>
    <row r="6385" ht="15.75" customHeight="1">
      <c r="B6385" s="370">
        <f t="shared" si="2"/>
        <v>0.7386574074</v>
      </c>
      <c r="C6385" s="56">
        <f t="shared" si="3"/>
        <v>63820</v>
      </c>
      <c r="D6385" s="56">
        <v>0.0</v>
      </c>
    </row>
    <row r="6386" ht="15.75" customHeight="1">
      <c r="B6386" s="370">
        <f t="shared" si="2"/>
        <v>0.7387731481</v>
      </c>
      <c r="C6386" s="56">
        <f t="shared" si="3"/>
        <v>63830</v>
      </c>
      <c r="D6386" s="56">
        <v>0.0</v>
      </c>
    </row>
    <row r="6387" ht="15.75" customHeight="1">
      <c r="B6387" s="370">
        <f t="shared" si="2"/>
        <v>0.7388888889</v>
      </c>
      <c r="C6387" s="56">
        <f t="shared" si="3"/>
        <v>63840</v>
      </c>
      <c r="D6387" s="56">
        <v>0.0</v>
      </c>
    </row>
    <row r="6388" ht="15.75" customHeight="1">
      <c r="B6388" s="370">
        <f t="shared" si="2"/>
        <v>0.7390046296</v>
      </c>
      <c r="C6388" s="56">
        <f t="shared" si="3"/>
        <v>63850</v>
      </c>
      <c r="D6388" s="56">
        <v>0.0</v>
      </c>
    </row>
    <row r="6389" ht="15.75" customHeight="1">
      <c r="B6389" s="370">
        <f t="shared" si="2"/>
        <v>0.7391203704</v>
      </c>
      <c r="C6389" s="56">
        <f t="shared" si="3"/>
        <v>63860</v>
      </c>
      <c r="D6389" s="56">
        <v>0.0</v>
      </c>
    </row>
    <row r="6390" ht="15.75" customHeight="1">
      <c r="B6390" s="370">
        <f t="shared" si="2"/>
        <v>0.7392361111</v>
      </c>
      <c r="C6390" s="56">
        <f t="shared" si="3"/>
        <v>63870</v>
      </c>
      <c r="D6390" s="56">
        <v>0.0</v>
      </c>
    </row>
    <row r="6391" ht="15.75" customHeight="1">
      <c r="B6391" s="370">
        <f t="shared" si="2"/>
        <v>0.7393518519</v>
      </c>
      <c r="C6391" s="56">
        <f t="shared" si="3"/>
        <v>63880</v>
      </c>
      <c r="D6391" s="56">
        <v>0.0</v>
      </c>
    </row>
    <row r="6392" ht="15.75" customHeight="1">
      <c r="B6392" s="370">
        <f t="shared" si="2"/>
        <v>0.7394675926</v>
      </c>
      <c r="C6392" s="56">
        <f t="shared" si="3"/>
        <v>63890</v>
      </c>
      <c r="D6392" s="56">
        <v>0.0</v>
      </c>
    </row>
    <row r="6393" ht="15.75" customHeight="1">
      <c r="B6393" s="370">
        <f t="shared" si="2"/>
        <v>0.7395833333</v>
      </c>
      <c r="C6393" s="56">
        <f t="shared" si="3"/>
        <v>63900</v>
      </c>
      <c r="D6393" s="56">
        <v>0.0</v>
      </c>
    </row>
    <row r="6394" ht="15.75" customHeight="1">
      <c r="B6394" s="370">
        <f t="shared" si="2"/>
        <v>0.7396990741</v>
      </c>
      <c r="C6394" s="56">
        <f t="shared" si="3"/>
        <v>63910</v>
      </c>
      <c r="D6394" s="56">
        <v>0.0</v>
      </c>
    </row>
    <row r="6395" ht="15.75" customHeight="1">
      <c r="B6395" s="370">
        <f t="shared" si="2"/>
        <v>0.7398148148</v>
      </c>
      <c r="C6395" s="56">
        <f t="shared" si="3"/>
        <v>63920</v>
      </c>
      <c r="D6395" s="56">
        <v>0.0</v>
      </c>
    </row>
    <row r="6396" ht="15.75" customHeight="1">
      <c r="B6396" s="370">
        <f t="shared" si="2"/>
        <v>0.7399305556</v>
      </c>
      <c r="C6396" s="56">
        <f t="shared" si="3"/>
        <v>63930</v>
      </c>
      <c r="D6396" s="56">
        <v>0.0</v>
      </c>
    </row>
    <row r="6397" ht="15.75" customHeight="1">
      <c r="B6397" s="370">
        <f t="shared" si="2"/>
        <v>0.7400462963</v>
      </c>
      <c r="C6397" s="56">
        <f t="shared" si="3"/>
        <v>63940</v>
      </c>
      <c r="D6397" s="56">
        <v>0.0</v>
      </c>
    </row>
    <row r="6398" ht="15.75" customHeight="1">
      <c r="B6398" s="370">
        <f t="shared" si="2"/>
        <v>0.740162037</v>
      </c>
      <c r="C6398" s="56">
        <f t="shared" si="3"/>
        <v>63950</v>
      </c>
      <c r="D6398" s="56">
        <v>0.0</v>
      </c>
    </row>
    <row r="6399" ht="15.75" customHeight="1">
      <c r="B6399" s="370">
        <f t="shared" si="2"/>
        <v>0.7402777778</v>
      </c>
      <c r="C6399" s="56">
        <f t="shared" si="3"/>
        <v>63960</v>
      </c>
      <c r="D6399" s="56">
        <v>0.0</v>
      </c>
    </row>
    <row r="6400" ht="15.75" customHeight="1">
      <c r="B6400" s="370">
        <f t="shared" si="2"/>
        <v>0.7403935185</v>
      </c>
      <c r="C6400" s="56">
        <f t="shared" si="3"/>
        <v>63970</v>
      </c>
      <c r="D6400" s="56">
        <v>0.0</v>
      </c>
    </row>
    <row r="6401" ht="15.75" customHeight="1">
      <c r="B6401" s="370">
        <f t="shared" si="2"/>
        <v>0.7405092593</v>
      </c>
      <c r="C6401" s="56">
        <f t="shared" si="3"/>
        <v>63980</v>
      </c>
      <c r="D6401" s="56">
        <v>0.0</v>
      </c>
    </row>
    <row r="6402" ht="15.75" customHeight="1">
      <c r="B6402" s="370">
        <f t="shared" si="2"/>
        <v>0.740625</v>
      </c>
      <c r="C6402" s="56">
        <f t="shared" si="3"/>
        <v>63990</v>
      </c>
      <c r="D6402" s="56">
        <v>0.0</v>
      </c>
    </row>
    <row r="6403" ht="15.75" customHeight="1">
      <c r="B6403" s="370">
        <f t="shared" si="2"/>
        <v>0.7407407407</v>
      </c>
      <c r="C6403" s="56">
        <f t="shared" si="3"/>
        <v>64000</v>
      </c>
      <c r="D6403" s="56">
        <v>0.0</v>
      </c>
    </row>
    <row r="6404" ht="15.75" customHeight="1">
      <c r="B6404" s="370">
        <f t="shared" si="2"/>
        <v>0.7408564815</v>
      </c>
      <c r="C6404" s="56">
        <f t="shared" si="3"/>
        <v>64010</v>
      </c>
      <c r="D6404" s="56">
        <v>0.0</v>
      </c>
    </row>
    <row r="6405" ht="15.75" customHeight="1">
      <c r="B6405" s="370">
        <f t="shared" si="2"/>
        <v>0.7409722222</v>
      </c>
      <c r="C6405" s="56">
        <f t="shared" si="3"/>
        <v>64020</v>
      </c>
      <c r="D6405" s="56">
        <v>0.0</v>
      </c>
    </row>
    <row r="6406" ht="15.75" customHeight="1">
      <c r="B6406" s="370">
        <f t="shared" si="2"/>
        <v>0.741087963</v>
      </c>
      <c r="C6406" s="56">
        <f t="shared" si="3"/>
        <v>64030</v>
      </c>
      <c r="D6406" s="56">
        <v>0.0</v>
      </c>
    </row>
    <row r="6407" ht="15.75" customHeight="1">
      <c r="B6407" s="370">
        <f t="shared" si="2"/>
        <v>0.7412037037</v>
      </c>
      <c r="C6407" s="56">
        <f t="shared" si="3"/>
        <v>64040</v>
      </c>
      <c r="D6407" s="56">
        <v>0.0</v>
      </c>
    </row>
    <row r="6408" ht="15.75" customHeight="1">
      <c r="B6408" s="370">
        <f t="shared" si="2"/>
        <v>0.7413194444</v>
      </c>
      <c r="C6408" s="56">
        <f t="shared" si="3"/>
        <v>64050</v>
      </c>
      <c r="D6408" s="56">
        <v>0.0</v>
      </c>
    </row>
    <row r="6409" ht="15.75" customHeight="1">
      <c r="B6409" s="370">
        <f t="shared" si="2"/>
        <v>0.7414351852</v>
      </c>
      <c r="C6409" s="56">
        <f t="shared" si="3"/>
        <v>64060</v>
      </c>
      <c r="D6409" s="56">
        <v>0.0</v>
      </c>
    </row>
    <row r="6410" ht="15.75" customHeight="1">
      <c r="B6410" s="370">
        <f t="shared" si="2"/>
        <v>0.7415509259</v>
      </c>
      <c r="C6410" s="56">
        <f t="shared" si="3"/>
        <v>64070</v>
      </c>
      <c r="D6410" s="56">
        <v>0.0</v>
      </c>
    </row>
    <row r="6411" ht="15.75" customHeight="1">
      <c r="B6411" s="370">
        <f t="shared" si="2"/>
        <v>0.7416666667</v>
      </c>
      <c r="C6411" s="56">
        <f t="shared" si="3"/>
        <v>64080</v>
      </c>
      <c r="D6411" s="56">
        <v>0.0</v>
      </c>
    </row>
    <row r="6412" ht="15.75" customHeight="1">
      <c r="B6412" s="370">
        <f t="shared" si="2"/>
        <v>0.7417824074</v>
      </c>
      <c r="C6412" s="56">
        <f t="shared" si="3"/>
        <v>64090</v>
      </c>
      <c r="D6412" s="56">
        <v>0.0</v>
      </c>
    </row>
    <row r="6413" ht="15.75" customHeight="1">
      <c r="B6413" s="370">
        <f t="shared" si="2"/>
        <v>0.7418981481</v>
      </c>
      <c r="C6413" s="56">
        <f t="shared" si="3"/>
        <v>64100</v>
      </c>
      <c r="D6413" s="56">
        <v>0.0</v>
      </c>
    </row>
    <row r="6414" ht="15.75" customHeight="1">
      <c r="B6414" s="370">
        <f t="shared" si="2"/>
        <v>0.7420138889</v>
      </c>
      <c r="C6414" s="56">
        <f t="shared" si="3"/>
        <v>64110</v>
      </c>
      <c r="D6414" s="56">
        <v>0.0</v>
      </c>
    </row>
    <row r="6415" ht="15.75" customHeight="1">
      <c r="B6415" s="370">
        <f t="shared" si="2"/>
        <v>0.7421296296</v>
      </c>
      <c r="C6415" s="56">
        <f t="shared" si="3"/>
        <v>64120</v>
      </c>
      <c r="D6415" s="56">
        <v>0.0</v>
      </c>
    </row>
    <row r="6416" ht="15.75" customHeight="1">
      <c r="B6416" s="370">
        <f t="shared" si="2"/>
        <v>0.7422453704</v>
      </c>
      <c r="C6416" s="56">
        <f t="shared" si="3"/>
        <v>64130</v>
      </c>
      <c r="D6416" s="56">
        <v>0.0</v>
      </c>
    </row>
    <row r="6417" ht="15.75" customHeight="1">
      <c r="B6417" s="370">
        <f t="shared" si="2"/>
        <v>0.7423611111</v>
      </c>
      <c r="C6417" s="56">
        <f t="shared" si="3"/>
        <v>64140</v>
      </c>
      <c r="D6417" s="56">
        <v>0.0</v>
      </c>
    </row>
    <row r="6418" ht="15.75" customHeight="1">
      <c r="B6418" s="370">
        <f t="shared" si="2"/>
        <v>0.7424768519</v>
      </c>
      <c r="C6418" s="56">
        <f t="shared" si="3"/>
        <v>64150</v>
      </c>
      <c r="D6418" s="56">
        <v>0.0</v>
      </c>
    </row>
    <row r="6419" ht="15.75" customHeight="1">
      <c r="B6419" s="370">
        <f t="shared" si="2"/>
        <v>0.7425925926</v>
      </c>
      <c r="C6419" s="56">
        <f t="shared" si="3"/>
        <v>64160</v>
      </c>
      <c r="D6419" s="56">
        <v>0.0</v>
      </c>
    </row>
    <row r="6420" ht="15.75" customHeight="1">
      <c r="B6420" s="370">
        <f t="shared" si="2"/>
        <v>0.7427083333</v>
      </c>
      <c r="C6420" s="56">
        <f t="shared" si="3"/>
        <v>64170</v>
      </c>
      <c r="D6420" s="56">
        <v>0.0</v>
      </c>
    </row>
    <row r="6421" ht="15.75" customHeight="1">
      <c r="B6421" s="370">
        <f t="shared" si="2"/>
        <v>0.7428240741</v>
      </c>
      <c r="C6421" s="56">
        <f t="shared" si="3"/>
        <v>64180</v>
      </c>
      <c r="D6421" s="56">
        <v>0.0</v>
      </c>
    </row>
    <row r="6422" ht="15.75" customHeight="1">
      <c r="B6422" s="370">
        <f t="shared" si="2"/>
        <v>0.7429398148</v>
      </c>
      <c r="C6422" s="56">
        <f t="shared" si="3"/>
        <v>64190</v>
      </c>
      <c r="D6422" s="56">
        <v>0.0</v>
      </c>
    </row>
    <row r="6423" ht="15.75" customHeight="1">
      <c r="B6423" s="370">
        <f t="shared" si="2"/>
        <v>0.7430555556</v>
      </c>
      <c r="C6423" s="56">
        <f t="shared" si="3"/>
        <v>64200</v>
      </c>
      <c r="D6423" s="56">
        <v>0.0</v>
      </c>
    </row>
    <row r="6424" ht="15.75" customHeight="1">
      <c r="B6424" s="370">
        <f t="shared" si="2"/>
        <v>0.7431712963</v>
      </c>
      <c r="C6424" s="56">
        <f t="shared" si="3"/>
        <v>64210</v>
      </c>
      <c r="D6424" s="56">
        <v>0.0</v>
      </c>
    </row>
    <row r="6425" ht="15.75" customHeight="1">
      <c r="B6425" s="370">
        <f t="shared" si="2"/>
        <v>0.743287037</v>
      </c>
      <c r="C6425" s="56">
        <f t="shared" si="3"/>
        <v>64220</v>
      </c>
      <c r="D6425" s="56">
        <v>0.0</v>
      </c>
    </row>
    <row r="6426" ht="15.75" customHeight="1">
      <c r="B6426" s="370">
        <f t="shared" si="2"/>
        <v>0.7434027778</v>
      </c>
      <c r="C6426" s="56">
        <f t="shared" si="3"/>
        <v>64230</v>
      </c>
      <c r="D6426" s="56">
        <v>0.0</v>
      </c>
    </row>
    <row r="6427" ht="15.75" customHeight="1">
      <c r="B6427" s="370">
        <f t="shared" si="2"/>
        <v>0.7435185185</v>
      </c>
      <c r="C6427" s="56">
        <f t="shared" si="3"/>
        <v>64240</v>
      </c>
      <c r="D6427" s="56">
        <v>0.0</v>
      </c>
    </row>
    <row r="6428" ht="15.75" customHeight="1">
      <c r="B6428" s="370">
        <f t="shared" si="2"/>
        <v>0.7436342593</v>
      </c>
      <c r="C6428" s="56">
        <f t="shared" si="3"/>
        <v>64250</v>
      </c>
      <c r="D6428" s="56">
        <v>0.0</v>
      </c>
    </row>
    <row r="6429" ht="15.75" customHeight="1">
      <c r="B6429" s="370">
        <f t="shared" si="2"/>
        <v>0.74375</v>
      </c>
      <c r="C6429" s="56">
        <f t="shared" si="3"/>
        <v>64260</v>
      </c>
      <c r="D6429" s="56">
        <v>0.0</v>
      </c>
    </row>
    <row r="6430" ht="15.75" customHeight="1">
      <c r="B6430" s="370">
        <f t="shared" si="2"/>
        <v>0.7438657407</v>
      </c>
      <c r="C6430" s="56">
        <f t="shared" si="3"/>
        <v>64270</v>
      </c>
      <c r="D6430" s="56">
        <v>0.0</v>
      </c>
    </row>
    <row r="6431" ht="15.75" customHeight="1">
      <c r="B6431" s="370">
        <f t="shared" si="2"/>
        <v>0.7439814815</v>
      </c>
      <c r="C6431" s="56">
        <f t="shared" si="3"/>
        <v>64280</v>
      </c>
      <c r="D6431" s="56">
        <v>0.0</v>
      </c>
    </row>
    <row r="6432" ht="15.75" customHeight="1">
      <c r="B6432" s="370">
        <f t="shared" si="2"/>
        <v>0.7440972222</v>
      </c>
      <c r="C6432" s="56">
        <f t="shared" si="3"/>
        <v>64290</v>
      </c>
      <c r="D6432" s="56">
        <v>0.0</v>
      </c>
    </row>
    <row r="6433" ht="15.75" customHeight="1">
      <c r="B6433" s="370">
        <f t="shared" si="2"/>
        <v>0.744212963</v>
      </c>
      <c r="C6433" s="56">
        <f t="shared" si="3"/>
        <v>64300</v>
      </c>
      <c r="D6433" s="56">
        <v>0.0</v>
      </c>
    </row>
    <row r="6434" ht="15.75" customHeight="1">
      <c r="B6434" s="370">
        <f t="shared" si="2"/>
        <v>0.7443287037</v>
      </c>
      <c r="C6434" s="56">
        <f t="shared" si="3"/>
        <v>64310</v>
      </c>
      <c r="D6434" s="56">
        <v>0.0</v>
      </c>
    </row>
    <row r="6435" ht="15.75" customHeight="1">
      <c r="B6435" s="370">
        <f t="shared" si="2"/>
        <v>0.7444444444</v>
      </c>
      <c r="C6435" s="56">
        <f t="shared" si="3"/>
        <v>64320</v>
      </c>
      <c r="D6435" s="56">
        <v>0.0</v>
      </c>
    </row>
    <row r="6436" ht="15.75" customHeight="1">
      <c r="B6436" s="370">
        <f t="shared" si="2"/>
        <v>0.7445601852</v>
      </c>
      <c r="C6436" s="56">
        <f t="shared" si="3"/>
        <v>64330</v>
      </c>
      <c r="D6436" s="56">
        <v>0.0</v>
      </c>
    </row>
    <row r="6437" ht="15.75" customHeight="1">
      <c r="B6437" s="370">
        <f t="shared" si="2"/>
        <v>0.7446759259</v>
      </c>
      <c r="C6437" s="56">
        <f t="shared" si="3"/>
        <v>64340</v>
      </c>
      <c r="D6437" s="56">
        <v>0.0</v>
      </c>
    </row>
    <row r="6438" ht="15.75" customHeight="1">
      <c r="B6438" s="370">
        <f t="shared" si="2"/>
        <v>0.7447916667</v>
      </c>
      <c r="C6438" s="56">
        <f t="shared" si="3"/>
        <v>64350</v>
      </c>
      <c r="D6438" s="56">
        <v>0.0</v>
      </c>
    </row>
    <row r="6439" ht="15.75" customHeight="1">
      <c r="B6439" s="370">
        <f t="shared" si="2"/>
        <v>0.7449074074</v>
      </c>
      <c r="C6439" s="56">
        <f t="shared" si="3"/>
        <v>64360</v>
      </c>
      <c r="D6439" s="56">
        <v>0.0</v>
      </c>
    </row>
    <row r="6440" ht="15.75" customHeight="1">
      <c r="B6440" s="370">
        <f t="shared" si="2"/>
        <v>0.7450231481</v>
      </c>
      <c r="C6440" s="56">
        <f t="shared" si="3"/>
        <v>64370</v>
      </c>
      <c r="D6440" s="56">
        <v>0.0</v>
      </c>
    </row>
    <row r="6441" ht="15.75" customHeight="1">
      <c r="B6441" s="370">
        <f t="shared" si="2"/>
        <v>0.7451388889</v>
      </c>
      <c r="C6441" s="56">
        <f t="shared" si="3"/>
        <v>64380</v>
      </c>
      <c r="D6441" s="56">
        <v>0.0</v>
      </c>
    </row>
    <row r="6442" ht="15.75" customHeight="1">
      <c r="B6442" s="370">
        <f t="shared" si="2"/>
        <v>0.7452546296</v>
      </c>
      <c r="C6442" s="56">
        <f t="shared" si="3"/>
        <v>64390</v>
      </c>
      <c r="D6442" s="56">
        <v>0.0</v>
      </c>
    </row>
    <row r="6443" ht="15.75" customHeight="1">
      <c r="B6443" s="370">
        <f t="shared" si="2"/>
        <v>0.7453703704</v>
      </c>
      <c r="C6443" s="56">
        <f t="shared" si="3"/>
        <v>64400</v>
      </c>
      <c r="D6443" s="56">
        <v>0.0</v>
      </c>
    </row>
    <row r="6444" ht="15.75" customHeight="1">
      <c r="B6444" s="370">
        <f t="shared" si="2"/>
        <v>0.7454861111</v>
      </c>
      <c r="C6444" s="56">
        <f t="shared" si="3"/>
        <v>64410</v>
      </c>
      <c r="D6444" s="56">
        <v>0.0</v>
      </c>
    </row>
    <row r="6445" ht="15.75" customHeight="1">
      <c r="B6445" s="370">
        <f t="shared" si="2"/>
        <v>0.7456018519</v>
      </c>
      <c r="C6445" s="56">
        <f t="shared" si="3"/>
        <v>64420</v>
      </c>
      <c r="D6445" s="56">
        <v>0.0</v>
      </c>
    </row>
    <row r="6446" ht="15.75" customHeight="1">
      <c r="B6446" s="370">
        <f t="shared" si="2"/>
        <v>0.7457175926</v>
      </c>
      <c r="C6446" s="56">
        <f t="shared" si="3"/>
        <v>64430</v>
      </c>
      <c r="D6446" s="56">
        <v>0.0</v>
      </c>
    </row>
    <row r="6447" ht="15.75" customHeight="1">
      <c r="B6447" s="370">
        <f t="shared" si="2"/>
        <v>0.7458333333</v>
      </c>
      <c r="C6447" s="56">
        <f t="shared" si="3"/>
        <v>64440</v>
      </c>
      <c r="D6447" s="56">
        <v>0.0</v>
      </c>
    </row>
    <row r="6448" ht="15.75" customHeight="1">
      <c r="B6448" s="370">
        <f t="shared" si="2"/>
        <v>0.7459490741</v>
      </c>
      <c r="C6448" s="56">
        <f t="shared" si="3"/>
        <v>64450</v>
      </c>
      <c r="D6448" s="56">
        <v>0.0</v>
      </c>
    </row>
    <row r="6449" ht="15.75" customHeight="1">
      <c r="B6449" s="370">
        <f t="shared" si="2"/>
        <v>0.7460648148</v>
      </c>
      <c r="C6449" s="56">
        <f t="shared" si="3"/>
        <v>64460</v>
      </c>
      <c r="D6449" s="56">
        <v>0.0</v>
      </c>
    </row>
    <row r="6450" ht="15.75" customHeight="1">
      <c r="B6450" s="370">
        <f t="shared" si="2"/>
        <v>0.7461805556</v>
      </c>
      <c r="C6450" s="56">
        <f t="shared" si="3"/>
        <v>64470</v>
      </c>
      <c r="D6450" s="56">
        <v>0.0</v>
      </c>
    </row>
    <row r="6451" ht="15.75" customHeight="1">
      <c r="B6451" s="370">
        <f t="shared" si="2"/>
        <v>0.7462962963</v>
      </c>
      <c r="C6451" s="56">
        <f t="shared" si="3"/>
        <v>64480</v>
      </c>
      <c r="D6451" s="56">
        <v>0.0</v>
      </c>
    </row>
    <row r="6452" ht="15.75" customHeight="1">
      <c r="B6452" s="370">
        <f t="shared" si="2"/>
        <v>0.746412037</v>
      </c>
      <c r="C6452" s="56">
        <f t="shared" si="3"/>
        <v>64490</v>
      </c>
      <c r="D6452" s="56">
        <v>0.0</v>
      </c>
    </row>
    <row r="6453" ht="15.75" customHeight="1">
      <c r="B6453" s="370">
        <f t="shared" si="2"/>
        <v>0.7465277778</v>
      </c>
      <c r="C6453" s="56">
        <f t="shared" si="3"/>
        <v>64500</v>
      </c>
      <c r="D6453" s="56">
        <v>0.0</v>
      </c>
    </row>
    <row r="6454" ht="15.75" customHeight="1">
      <c r="B6454" s="370">
        <f t="shared" si="2"/>
        <v>0.7466435185</v>
      </c>
      <c r="C6454" s="56">
        <f t="shared" si="3"/>
        <v>64510</v>
      </c>
      <c r="D6454" s="56">
        <v>0.0</v>
      </c>
    </row>
    <row r="6455" ht="15.75" customHeight="1">
      <c r="B6455" s="370">
        <f t="shared" si="2"/>
        <v>0.7467592593</v>
      </c>
      <c r="C6455" s="56">
        <f t="shared" si="3"/>
        <v>64520</v>
      </c>
      <c r="D6455" s="56">
        <v>0.0</v>
      </c>
    </row>
    <row r="6456" ht="15.75" customHeight="1">
      <c r="B6456" s="370">
        <f t="shared" si="2"/>
        <v>0.746875</v>
      </c>
      <c r="C6456" s="56">
        <f t="shared" si="3"/>
        <v>64530</v>
      </c>
      <c r="D6456" s="56">
        <v>0.0</v>
      </c>
    </row>
    <row r="6457" ht="15.75" customHeight="1">
      <c r="B6457" s="370">
        <f t="shared" si="2"/>
        <v>0.7469907407</v>
      </c>
      <c r="C6457" s="56">
        <f t="shared" si="3"/>
        <v>64540</v>
      </c>
      <c r="D6457" s="56">
        <v>0.0</v>
      </c>
    </row>
    <row r="6458" ht="15.75" customHeight="1">
      <c r="B6458" s="370">
        <f t="shared" si="2"/>
        <v>0.7471064815</v>
      </c>
      <c r="C6458" s="56">
        <f t="shared" si="3"/>
        <v>64550</v>
      </c>
      <c r="D6458" s="56">
        <v>0.0</v>
      </c>
    </row>
    <row r="6459" ht="15.75" customHeight="1">
      <c r="B6459" s="370">
        <f t="shared" si="2"/>
        <v>0.7472222222</v>
      </c>
      <c r="C6459" s="56">
        <f t="shared" si="3"/>
        <v>64560</v>
      </c>
      <c r="D6459" s="56">
        <v>0.0</v>
      </c>
    </row>
    <row r="6460" ht="15.75" customHeight="1">
      <c r="B6460" s="370">
        <f t="shared" si="2"/>
        <v>0.747337963</v>
      </c>
      <c r="C6460" s="56">
        <f t="shared" si="3"/>
        <v>64570</v>
      </c>
      <c r="D6460" s="56">
        <v>0.0</v>
      </c>
    </row>
    <row r="6461" ht="15.75" customHeight="1">
      <c r="B6461" s="370">
        <f t="shared" si="2"/>
        <v>0.7474537037</v>
      </c>
      <c r="C6461" s="56">
        <f t="shared" si="3"/>
        <v>64580</v>
      </c>
      <c r="D6461" s="56">
        <v>0.0</v>
      </c>
    </row>
    <row r="6462" ht="15.75" customHeight="1">
      <c r="B6462" s="370">
        <f t="shared" si="2"/>
        <v>0.7475694444</v>
      </c>
      <c r="C6462" s="56">
        <f t="shared" si="3"/>
        <v>64590</v>
      </c>
      <c r="D6462" s="56">
        <v>0.0</v>
      </c>
    </row>
    <row r="6463" ht="15.75" customHeight="1">
      <c r="B6463" s="370">
        <f t="shared" si="2"/>
        <v>0.7476851852</v>
      </c>
      <c r="C6463" s="56">
        <f t="shared" si="3"/>
        <v>64600</v>
      </c>
      <c r="D6463" s="56">
        <v>0.0</v>
      </c>
    </row>
    <row r="6464" ht="15.75" customHeight="1">
      <c r="B6464" s="370">
        <f t="shared" si="2"/>
        <v>0.7478009259</v>
      </c>
      <c r="C6464" s="56">
        <f t="shared" si="3"/>
        <v>64610</v>
      </c>
      <c r="D6464" s="56">
        <v>0.0</v>
      </c>
    </row>
    <row r="6465" ht="15.75" customHeight="1">
      <c r="B6465" s="370">
        <f t="shared" si="2"/>
        <v>0.7479166667</v>
      </c>
      <c r="C6465" s="56">
        <f t="shared" si="3"/>
        <v>64620</v>
      </c>
      <c r="D6465" s="56">
        <v>0.0</v>
      </c>
    </row>
    <row r="6466" ht="15.75" customHeight="1">
      <c r="B6466" s="370">
        <f t="shared" si="2"/>
        <v>0.7480324074</v>
      </c>
      <c r="C6466" s="56">
        <f t="shared" si="3"/>
        <v>64630</v>
      </c>
      <c r="D6466" s="56">
        <v>0.0</v>
      </c>
    </row>
    <row r="6467" ht="15.75" customHeight="1">
      <c r="B6467" s="370">
        <f t="shared" si="2"/>
        <v>0.7481481481</v>
      </c>
      <c r="C6467" s="56">
        <f t="shared" si="3"/>
        <v>64640</v>
      </c>
      <c r="D6467" s="56">
        <v>0.0</v>
      </c>
    </row>
    <row r="6468" ht="15.75" customHeight="1">
      <c r="B6468" s="370">
        <f t="shared" si="2"/>
        <v>0.7482638889</v>
      </c>
      <c r="C6468" s="56">
        <f t="shared" si="3"/>
        <v>64650</v>
      </c>
      <c r="D6468" s="56">
        <v>0.0</v>
      </c>
    </row>
    <row r="6469" ht="15.75" customHeight="1">
      <c r="B6469" s="370">
        <f t="shared" si="2"/>
        <v>0.7483796296</v>
      </c>
      <c r="C6469" s="56">
        <f t="shared" si="3"/>
        <v>64660</v>
      </c>
      <c r="D6469" s="56">
        <v>0.0</v>
      </c>
    </row>
    <row r="6470" ht="15.75" customHeight="1">
      <c r="B6470" s="370">
        <f t="shared" si="2"/>
        <v>0.7484953704</v>
      </c>
      <c r="C6470" s="56">
        <f t="shared" si="3"/>
        <v>64670</v>
      </c>
      <c r="D6470" s="56">
        <v>0.0</v>
      </c>
    </row>
    <row r="6471" ht="15.75" customHeight="1">
      <c r="B6471" s="370">
        <f t="shared" si="2"/>
        <v>0.7486111111</v>
      </c>
      <c r="C6471" s="56">
        <f t="shared" si="3"/>
        <v>64680</v>
      </c>
      <c r="D6471" s="56">
        <v>0.0</v>
      </c>
    </row>
    <row r="6472" ht="15.75" customHeight="1">
      <c r="B6472" s="370">
        <f t="shared" si="2"/>
        <v>0.7487268519</v>
      </c>
      <c r="C6472" s="56">
        <f t="shared" si="3"/>
        <v>64690</v>
      </c>
      <c r="D6472" s="56">
        <v>0.0</v>
      </c>
    </row>
    <row r="6473" ht="15.75" customHeight="1">
      <c r="B6473" s="370">
        <f t="shared" si="2"/>
        <v>0.7488425926</v>
      </c>
      <c r="C6473" s="56">
        <f t="shared" si="3"/>
        <v>64700</v>
      </c>
      <c r="D6473" s="56">
        <v>0.0</v>
      </c>
    </row>
    <row r="6474" ht="15.75" customHeight="1">
      <c r="B6474" s="370">
        <f t="shared" si="2"/>
        <v>0.7489583333</v>
      </c>
      <c r="C6474" s="56">
        <f t="shared" si="3"/>
        <v>64710</v>
      </c>
      <c r="D6474" s="56">
        <v>0.0</v>
      </c>
    </row>
    <row r="6475" ht="15.75" customHeight="1">
      <c r="B6475" s="370">
        <f t="shared" si="2"/>
        <v>0.7490740741</v>
      </c>
      <c r="C6475" s="56">
        <f t="shared" si="3"/>
        <v>64720</v>
      </c>
      <c r="D6475" s="56">
        <v>0.0</v>
      </c>
    </row>
    <row r="6476" ht="15.75" customHeight="1">
      <c r="B6476" s="370">
        <f t="shared" si="2"/>
        <v>0.7491898148</v>
      </c>
      <c r="C6476" s="56">
        <f t="shared" si="3"/>
        <v>64730</v>
      </c>
      <c r="D6476" s="56">
        <v>0.0</v>
      </c>
    </row>
    <row r="6477" ht="15.75" customHeight="1">
      <c r="B6477" s="370">
        <f t="shared" si="2"/>
        <v>0.7493055556</v>
      </c>
      <c r="C6477" s="56">
        <f t="shared" si="3"/>
        <v>64740</v>
      </c>
      <c r="D6477" s="56">
        <v>0.0</v>
      </c>
    </row>
    <row r="6478" ht="15.75" customHeight="1">
      <c r="B6478" s="370">
        <f t="shared" si="2"/>
        <v>0.7494212963</v>
      </c>
      <c r="C6478" s="56">
        <f t="shared" si="3"/>
        <v>64750</v>
      </c>
      <c r="D6478" s="56">
        <v>0.0</v>
      </c>
    </row>
    <row r="6479" ht="15.75" customHeight="1">
      <c r="B6479" s="370">
        <f t="shared" si="2"/>
        <v>0.749537037</v>
      </c>
      <c r="C6479" s="56">
        <f t="shared" si="3"/>
        <v>64760</v>
      </c>
      <c r="D6479" s="56">
        <v>0.0</v>
      </c>
    </row>
    <row r="6480" ht="15.75" customHeight="1">
      <c r="B6480" s="370">
        <f t="shared" si="2"/>
        <v>0.7496527778</v>
      </c>
      <c r="C6480" s="56">
        <f t="shared" si="3"/>
        <v>64770</v>
      </c>
      <c r="D6480" s="56">
        <v>0.0</v>
      </c>
    </row>
    <row r="6481" ht="15.75" customHeight="1">
      <c r="B6481" s="370">
        <f t="shared" si="2"/>
        <v>0.7497685185</v>
      </c>
      <c r="C6481" s="56">
        <f t="shared" si="3"/>
        <v>64780</v>
      </c>
      <c r="D6481" s="56">
        <v>0.0</v>
      </c>
    </row>
    <row r="6482" ht="15.75" customHeight="1">
      <c r="B6482" s="370">
        <f t="shared" si="2"/>
        <v>0.7498842593</v>
      </c>
      <c r="C6482" s="56">
        <f t="shared" si="3"/>
        <v>64790</v>
      </c>
      <c r="D6482" s="56">
        <v>0.0</v>
      </c>
    </row>
    <row r="6483" ht="15.75" customHeight="1">
      <c r="B6483" s="370">
        <f t="shared" si="2"/>
        <v>0.75</v>
      </c>
      <c r="C6483" s="56">
        <f t="shared" si="3"/>
        <v>64800</v>
      </c>
      <c r="D6483" s="56">
        <v>0.0</v>
      </c>
    </row>
    <row r="6484" ht="15.75" customHeight="1">
      <c r="B6484" s="370">
        <f t="shared" si="2"/>
        <v>0.7501157407</v>
      </c>
      <c r="C6484" s="56">
        <f t="shared" si="3"/>
        <v>64810</v>
      </c>
      <c r="D6484" s="56">
        <v>0.0</v>
      </c>
    </row>
    <row r="6485" ht="15.75" customHeight="1">
      <c r="B6485" s="370">
        <f t="shared" si="2"/>
        <v>0.7502314815</v>
      </c>
      <c r="C6485" s="56">
        <f t="shared" si="3"/>
        <v>64820</v>
      </c>
      <c r="D6485" s="56">
        <v>0.0</v>
      </c>
    </row>
    <row r="6486" ht="15.75" customHeight="1">
      <c r="B6486" s="370">
        <f t="shared" si="2"/>
        <v>0.7503472222</v>
      </c>
      <c r="C6486" s="56">
        <f t="shared" si="3"/>
        <v>64830</v>
      </c>
      <c r="D6486" s="56">
        <v>0.0</v>
      </c>
    </row>
    <row r="6487" ht="15.75" customHeight="1">
      <c r="B6487" s="370">
        <f t="shared" si="2"/>
        <v>0.750462963</v>
      </c>
      <c r="C6487" s="56">
        <f t="shared" si="3"/>
        <v>64840</v>
      </c>
      <c r="D6487" s="56">
        <v>0.0</v>
      </c>
    </row>
    <row r="6488" ht="15.75" customHeight="1">
      <c r="B6488" s="370">
        <f t="shared" si="2"/>
        <v>0.7505787037</v>
      </c>
      <c r="C6488" s="56">
        <f t="shared" si="3"/>
        <v>64850</v>
      </c>
      <c r="D6488" s="56">
        <v>0.0</v>
      </c>
    </row>
    <row r="6489" ht="15.75" customHeight="1">
      <c r="B6489" s="370">
        <f t="shared" si="2"/>
        <v>0.7506944444</v>
      </c>
      <c r="C6489" s="56">
        <f t="shared" si="3"/>
        <v>64860</v>
      </c>
      <c r="D6489" s="56">
        <v>0.0</v>
      </c>
    </row>
    <row r="6490" ht="15.75" customHeight="1">
      <c r="B6490" s="370">
        <f t="shared" si="2"/>
        <v>0.7508101852</v>
      </c>
      <c r="C6490" s="56">
        <f t="shared" si="3"/>
        <v>64870</v>
      </c>
      <c r="D6490" s="56">
        <v>0.0</v>
      </c>
    </row>
    <row r="6491" ht="15.75" customHeight="1">
      <c r="B6491" s="370">
        <f t="shared" si="2"/>
        <v>0.7509259259</v>
      </c>
      <c r="C6491" s="56">
        <f t="shared" si="3"/>
        <v>64880</v>
      </c>
      <c r="D6491" s="56">
        <v>0.0</v>
      </c>
    </row>
    <row r="6492" ht="15.75" customHeight="1">
      <c r="B6492" s="370">
        <f t="shared" si="2"/>
        <v>0.7510416667</v>
      </c>
      <c r="C6492" s="56">
        <f t="shared" si="3"/>
        <v>64890</v>
      </c>
      <c r="D6492" s="56">
        <v>0.0</v>
      </c>
    </row>
    <row r="6493" ht="15.75" customHeight="1">
      <c r="B6493" s="370">
        <f t="shared" si="2"/>
        <v>0.7511574074</v>
      </c>
      <c r="C6493" s="56">
        <f t="shared" si="3"/>
        <v>64900</v>
      </c>
      <c r="D6493" s="56">
        <v>0.0</v>
      </c>
    </row>
    <row r="6494" ht="15.75" customHeight="1">
      <c r="B6494" s="370">
        <f t="shared" si="2"/>
        <v>0.7512731481</v>
      </c>
      <c r="C6494" s="56">
        <f t="shared" si="3"/>
        <v>64910</v>
      </c>
      <c r="D6494" s="56">
        <v>0.0</v>
      </c>
    </row>
    <row r="6495" ht="15.75" customHeight="1">
      <c r="B6495" s="370">
        <f t="shared" si="2"/>
        <v>0.7513888889</v>
      </c>
      <c r="C6495" s="56">
        <f t="shared" si="3"/>
        <v>64920</v>
      </c>
      <c r="D6495" s="56">
        <v>0.0</v>
      </c>
    </row>
    <row r="6496" ht="15.75" customHeight="1">
      <c r="B6496" s="370">
        <f t="shared" si="2"/>
        <v>0.7515046296</v>
      </c>
      <c r="C6496" s="56">
        <f t="shared" si="3"/>
        <v>64930</v>
      </c>
      <c r="D6496" s="56">
        <v>0.0</v>
      </c>
    </row>
    <row r="6497" ht="15.75" customHeight="1">
      <c r="B6497" s="370">
        <f t="shared" si="2"/>
        <v>0.7516203704</v>
      </c>
      <c r="C6497" s="56">
        <f t="shared" si="3"/>
        <v>64940</v>
      </c>
      <c r="D6497" s="56">
        <v>0.0</v>
      </c>
    </row>
    <row r="6498" ht="15.75" customHeight="1">
      <c r="B6498" s="370">
        <f t="shared" si="2"/>
        <v>0.7517361111</v>
      </c>
      <c r="C6498" s="56">
        <f t="shared" si="3"/>
        <v>64950</v>
      </c>
      <c r="D6498" s="56">
        <v>0.0</v>
      </c>
    </row>
    <row r="6499" ht="15.75" customHeight="1">
      <c r="B6499" s="370">
        <f t="shared" si="2"/>
        <v>0.7518518519</v>
      </c>
      <c r="C6499" s="56">
        <f t="shared" si="3"/>
        <v>64960</v>
      </c>
      <c r="D6499" s="56">
        <v>0.0</v>
      </c>
    </row>
    <row r="6500" ht="15.75" customHeight="1">
      <c r="B6500" s="370">
        <f t="shared" si="2"/>
        <v>0.7519675926</v>
      </c>
      <c r="C6500" s="56">
        <f t="shared" si="3"/>
        <v>64970</v>
      </c>
      <c r="D6500" s="56">
        <v>0.0</v>
      </c>
    </row>
    <row r="6501" ht="15.75" customHeight="1">
      <c r="B6501" s="370">
        <f t="shared" si="2"/>
        <v>0.7520833333</v>
      </c>
      <c r="C6501" s="56">
        <f t="shared" si="3"/>
        <v>64980</v>
      </c>
      <c r="D6501" s="56">
        <v>0.0</v>
      </c>
    </row>
    <row r="6502" ht="15.75" customHeight="1">
      <c r="B6502" s="370">
        <f t="shared" si="2"/>
        <v>0.7521990741</v>
      </c>
      <c r="C6502" s="56">
        <f t="shared" si="3"/>
        <v>64990</v>
      </c>
      <c r="D6502" s="56">
        <v>0.0</v>
      </c>
    </row>
    <row r="6503" ht="15.75" customHeight="1">
      <c r="B6503" s="370">
        <f t="shared" si="2"/>
        <v>0.7523148148</v>
      </c>
      <c r="C6503" s="56">
        <f t="shared" si="3"/>
        <v>65000</v>
      </c>
      <c r="D6503" s="56">
        <v>0.0</v>
      </c>
    </row>
    <row r="6504" ht="15.75" customHeight="1">
      <c r="B6504" s="370">
        <f t="shared" si="2"/>
        <v>0.7524305556</v>
      </c>
      <c r="C6504" s="56">
        <f t="shared" si="3"/>
        <v>65010</v>
      </c>
      <c r="D6504" s="56">
        <v>0.0</v>
      </c>
    </row>
    <row r="6505" ht="15.75" customHeight="1">
      <c r="B6505" s="370">
        <f t="shared" si="2"/>
        <v>0.7525462963</v>
      </c>
      <c r="C6505" s="56">
        <f t="shared" si="3"/>
        <v>65020</v>
      </c>
      <c r="D6505" s="56">
        <v>0.0</v>
      </c>
    </row>
    <row r="6506" ht="15.75" customHeight="1">
      <c r="B6506" s="370">
        <f t="shared" si="2"/>
        <v>0.752662037</v>
      </c>
      <c r="C6506" s="56">
        <f t="shared" si="3"/>
        <v>65030</v>
      </c>
      <c r="D6506" s="56">
        <v>0.0</v>
      </c>
    </row>
    <row r="6507" ht="15.75" customHeight="1">
      <c r="B6507" s="370">
        <f t="shared" si="2"/>
        <v>0.7527777778</v>
      </c>
      <c r="C6507" s="56">
        <f t="shared" si="3"/>
        <v>65040</v>
      </c>
      <c r="D6507" s="56">
        <v>0.0</v>
      </c>
    </row>
    <row r="6508" ht="15.75" customHeight="1">
      <c r="B6508" s="370">
        <f t="shared" si="2"/>
        <v>0.7528935185</v>
      </c>
      <c r="C6508" s="56">
        <f t="shared" si="3"/>
        <v>65050</v>
      </c>
      <c r="D6508" s="56">
        <v>0.0</v>
      </c>
    </row>
    <row r="6509" ht="15.75" customHeight="1">
      <c r="B6509" s="370">
        <f t="shared" si="2"/>
        <v>0.7530092593</v>
      </c>
      <c r="C6509" s="56">
        <f t="shared" si="3"/>
        <v>65060</v>
      </c>
      <c r="D6509" s="56">
        <v>0.0</v>
      </c>
    </row>
    <row r="6510" ht="15.75" customHeight="1">
      <c r="B6510" s="370">
        <f t="shared" si="2"/>
        <v>0.753125</v>
      </c>
      <c r="C6510" s="56">
        <f t="shared" si="3"/>
        <v>65070</v>
      </c>
      <c r="D6510" s="56">
        <v>0.0</v>
      </c>
    </row>
    <row r="6511" ht="15.75" customHeight="1">
      <c r="B6511" s="370">
        <f t="shared" si="2"/>
        <v>0.7532407407</v>
      </c>
      <c r="C6511" s="56">
        <f t="shared" si="3"/>
        <v>65080</v>
      </c>
      <c r="D6511" s="56">
        <v>0.0</v>
      </c>
    </row>
    <row r="6512" ht="15.75" customHeight="1">
      <c r="B6512" s="370">
        <f t="shared" si="2"/>
        <v>0.7533564815</v>
      </c>
      <c r="C6512" s="56">
        <f t="shared" si="3"/>
        <v>65090</v>
      </c>
      <c r="D6512" s="56">
        <v>0.0</v>
      </c>
    </row>
    <row r="6513" ht="15.75" customHeight="1">
      <c r="B6513" s="370">
        <f t="shared" si="2"/>
        <v>0.7534722222</v>
      </c>
      <c r="C6513" s="56">
        <f t="shared" si="3"/>
        <v>65100</v>
      </c>
      <c r="D6513" s="56">
        <v>0.0</v>
      </c>
    </row>
    <row r="6514" ht="15.75" customHeight="1">
      <c r="B6514" s="370">
        <f t="shared" si="2"/>
        <v>0.753587963</v>
      </c>
      <c r="C6514" s="56">
        <f t="shared" si="3"/>
        <v>65110</v>
      </c>
      <c r="D6514" s="56">
        <v>0.0</v>
      </c>
    </row>
    <row r="6515" ht="15.75" customHeight="1">
      <c r="B6515" s="370">
        <f t="shared" si="2"/>
        <v>0.7537037037</v>
      </c>
      <c r="C6515" s="56">
        <f t="shared" si="3"/>
        <v>65120</v>
      </c>
      <c r="D6515" s="56">
        <v>0.0</v>
      </c>
    </row>
    <row r="6516" ht="15.75" customHeight="1">
      <c r="B6516" s="370">
        <f t="shared" si="2"/>
        <v>0.7538194444</v>
      </c>
      <c r="C6516" s="56">
        <f t="shared" si="3"/>
        <v>65130</v>
      </c>
      <c r="D6516" s="56">
        <v>0.0</v>
      </c>
    </row>
    <row r="6517" ht="15.75" customHeight="1">
      <c r="B6517" s="370">
        <f t="shared" si="2"/>
        <v>0.7539351852</v>
      </c>
      <c r="C6517" s="56">
        <f t="shared" si="3"/>
        <v>65140</v>
      </c>
      <c r="D6517" s="56">
        <v>0.0</v>
      </c>
    </row>
    <row r="6518" ht="15.75" customHeight="1">
      <c r="B6518" s="370">
        <f t="shared" si="2"/>
        <v>0.7540509259</v>
      </c>
      <c r="C6518" s="56">
        <f t="shared" si="3"/>
        <v>65150</v>
      </c>
      <c r="D6518" s="56">
        <v>0.0</v>
      </c>
    </row>
    <row r="6519" ht="15.75" customHeight="1">
      <c r="B6519" s="370">
        <f t="shared" si="2"/>
        <v>0.7541666667</v>
      </c>
      <c r="C6519" s="56">
        <f t="shared" si="3"/>
        <v>65160</v>
      </c>
      <c r="D6519" s="56">
        <v>0.0</v>
      </c>
    </row>
    <row r="6520" ht="15.75" customHeight="1">
      <c r="B6520" s="370">
        <f t="shared" si="2"/>
        <v>0.7542824074</v>
      </c>
      <c r="C6520" s="56">
        <f t="shared" si="3"/>
        <v>65170</v>
      </c>
      <c r="D6520" s="56">
        <v>0.0</v>
      </c>
    </row>
    <row r="6521" ht="15.75" customHeight="1">
      <c r="B6521" s="370">
        <f t="shared" si="2"/>
        <v>0.7543981481</v>
      </c>
      <c r="C6521" s="56">
        <f t="shared" si="3"/>
        <v>65180</v>
      </c>
      <c r="D6521" s="56">
        <v>2.999</v>
      </c>
    </row>
    <row r="6522" ht="15.75" customHeight="1">
      <c r="B6522" s="370">
        <f t="shared" si="2"/>
        <v>0.7545138889</v>
      </c>
      <c r="C6522" s="56">
        <f t="shared" si="3"/>
        <v>65190</v>
      </c>
      <c r="D6522" s="56">
        <v>3.142</v>
      </c>
    </row>
    <row r="6523" ht="15.75" customHeight="1">
      <c r="B6523" s="370">
        <f t="shared" si="2"/>
        <v>0.7546296296</v>
      </c>
      <c r="C6523" s="56">
        <f t="shared" si="3"/>
        <v>65200</v>
      </c>
      <c r="D6523" s="56">
        <v>2.937</v>
      </c>
    </row>
    <row r="6524" ht="15.75" customHeight="1">
      <c r="B6524" s="370">
        <f t="shared" si="2"/>
        <v>0.7547453704</v>
      </c>
      <c r="C6524" s="56">
        <f t="shared" si="3"/>
        <v>65210</v>
      </c>
      <c r="D6524" s="56">
        <v>2.934</v>
      </c>
    </row>
    <row r="6525" ht="15.75" customHeight="1">
      <c r="B6525" s="370">
        <f t="shared" si="2"/>
        <v>0.7548611111</v>
      </c>
      <c r="C6525" s="56">
        <f t="shared" si="3"/>
        <v>65220</v>
      </c>
      <c r="D6525" s="56">
        <v>2.835</v>
      </c>
    </row>
    <row r="6526" ht="15.75" customHeight="1">
      <c r="B6526" s="370">
        <f t="shared" si="2"/>
        <v>0.7549768519</v>
      </c>
      <c r="C6526" s="56">
        <f t="shared" si="3"/>
        <v>65230</v>
      </c>
      <c r="D6526" s="56">
        <v>2.988</v>
      </c>
    </row>
    <row r="6527" ht="15.75" customHeight="1">
      <c r="B6527" s="370">
        <f t="shared" si="2"/>
        <v>0.7550925926</v>
      </c>
      <c r="C6527" s="56">
        <f t="shared" si="3"/>
        <v>65240</v>
      </c>
      <c r="D6527" s="56">
        <v>2.854</v>
      </c>
    </row>
    <row r="6528" ht="15.75" customHeight="1">
      <c r="B6528" s="370">
        <f t="shared" si="2"/>
        <v>0.7552083333</v>
      </c>
      <c r="C6528" s="56">
        <f t="shared" si="3"/>
        <v>65250</v>
      </c>
      <c r="D6528" s="56">
        <v>2.724</v>
      </c>
    </row>
    <row r="6529" ht="15.75" customHeight="1">
      <c r="B6529" s="370">
        <f t="shared" si="2"/>
        <v>0.7553240741</v>
      </c>
      <c r="C6529" s="56">
        <f t="shared" si="3"/>
        <v>65260</v>
      </c>
      <c r="D6529" s="56">
        <v>2.543</v>
      </c>
    </row>
    <row r="6530" ht="15.75" customHeight="1">
      <c r="B6530" s="370">
        <f t="shared" si="2"/>
        <v>0.7554398148</v>
      </c>
      <c r="C6530" s="56">
        <f t="shared" si="3"/>
        <v>65270</v>
      </c>
      <c r="D6530" s="56">
        <v>2.326</v>
      </c>
    </row>
    <row r="6531" ht="15.75" customHeight="1">
      <c r="B6531" s="370">
        <f t="shared" si="2"/>
        <v>0.7555555556</v>
      </c>
      <c r="C6531" s="56">
        <f t="shared" si="3"/>
        <v>65280</v>
      </c>
      <c r="D6531" s="56">
        <v>2.449</v>
      </c>
    </row>
    <row r="6532" ht="15.75" customHeight="1">
      <c r="B6532" s="370">
        <f t="shared" si="2"/>
        <v>0.7556712963</v>
      </c>
      <c r="C6532" s="56">
        <f t="shared" si="3"/>
        <v>65290</v>
      </c>
      <c r="D6532" s="56">
        <v>3.28</v>
      </c>
    </row>
    <row r="6533" ht="15.75" customHeight="1">
      <c r="B6533" s="370">
        <f t="shared" si="2"/>
        <v>0.755787037</v>
      </c>
      <c r="C6533" s="56">
        <f t="shared" si="3"/>
        <v>65300</v>
      </c>
      <c r="D6533" s="56">
        <v>3.49</v>
      </c>
    </row>
    <row r="6534" ht="15.75" customHeight="1">
      <c r="B6534" s="370">
        <f t="shared" si="2"/>
        <v>0.7559027778</v>
      </c>
      <c r="C6534" s="56">
        <f t="shared" si="3"/>
        <v>65310</v>
      </c>
      <c r="D6534" s="56">
        <v>3.504</v>
      </c>
    </row>
    <row r="6535" ht="15.75" customHeight="1">
      <c r="B6535" s="370">
        <f t="shared" si="2"/>
        <v>0.7560185185</v>
      </c>
      <c r="C6535" s="56">
        <f t="shared" si="3"/>
        <v>65320</v>
      </c>
      <c r="D6535" s="56">
        <v>3.502</v>
      </c>
    </row>
    <row r="6536" ht="15.75" customHeight="1">
      <c r="B6536" s="370">
        <f t="shared" si="2"/>
        <v>0.7561342593</v>
      </c>
      <c r="C6536" s="56">
        <f t="shared" si="3"/>
        <v>65330</v>
      </c>
      <c r="D6536" s="56">
        <v>3.11</v>
      </c>
    </row>
    <row r="6537" ht="15.75" customHeight="1">
      <c r="B6537" s="370">
        <f t="shared" si="2"/>
        <v>0.75625</v>
      </c>
      <c r="C6537" s="56">
        <f t="shared" si="3"/>
        <v>65340</v>
      </c>
      <c r="D6537" s="56">
        <v>2.26</v>
      </c>
    </row>
    <row r="6538" ht="15.75" customHeight="1">
      <c r="B6538" s="370">
        <f t="shared" si="2"/>
        <v>0.7563657407</v>
      </c>
      <c r="C6538" s="56">
        <f t="shared" si="3"/>
        <v>65350</v>
      </c>
      <c r="D6538" s="56">
        <v>2.123</v>
      </c>
    </row>
    <row r="6539" ht="15.75" customHeight="1">
      <c r="B6539" s="370">
        <f t="shared" si="2"/>
        <v>0.7564814815</v>
      </c>
      <c r="C6539" s="56">
        <f t="shared" si="3"/>
        <v>65360</v>
      </c>
      <c r="D6539" s="56">
        <v>2.395</v>
      </c>
    </row>
    <row r="6540" ht="15.75" customHeight="1">
      <c r="B6540" s="370">
        <f t="shared" si="2"/>
        <v>0.7565972222</v>
      </c>
      <c r="C6540" s="56">
        <f t="shared" si="3"/>
        <v>65370</v>
      </c>
      <c r="D6540" s="56">
        <v>2.753</v>
      </c>
    </row>
    <row r="6541" ht="15.75" customHeight="1">
      <c r="B6541" s="370">
        <f t="shared" si="2"/>
        <v>0.756712963</v>
      </c>
      <c r="C6541" s="56">
        <f t="shared" si="3"/>
        <v>65380</v>
      </c>
      <c r="D6541" s="56">
        <v>3.05</v>
      </c>
    </row>
    <row r="6542" ht="15.75" customHeight="1">
      <c r="B6542" s="370">
        <f t="shared" si="2"/>
        <v>0.7568287037</v>
      </c>
      <c r="C6542" s="56">
        <f t="shared" si="3"/>
        <v>65390</v>
      </c>
      <c r="D6542" s="56">
        <v>3.254</v>
      </c>
    </row>
    <row r="6543" ht="15.75" customHeight="1">
      <c r="B6543" s="370">
        <f t="shared" si="2"/>
        <v>0.7569444444</v>
      </c>
      <c r="C6543" s="56">
        <f t="shared" si="3"/>
        <v>65400</v>
      </c>
      <c r="D6543" s="56">
        <v>3.166</v>
      </c>
    </row>
    <row r="6544" ht="15.75" customHeight="1">
      <c r="B6544" s="370">
        <f t="shared" si="2"/>
        <v>0.7570601852</v>
      </c>
      <c r="C6544" s="56">
        <f t="shared" si="3"/>
        <v>65410</v>
      </c>
      <c r="D6544" s="56">
        <v>3.073</v>
      </c>
    </row>
    <row r="6545" ht="15.75" customHeight="1">
      <c r="B6545" s="370">
        <f t="shared" si="2"/>
        <v>0.7571759259</v>
      </c>
      <c r="C6545" s="56">
        <f t="shared" si="3"/>
        <v>65420</v>
      </c>
      <c r="D6545" s="56">
        <v>2.816</v>
      </c>
    </row>
    <row r="6546" ht="15.75" customHeight="1">
      <c r="B6546" s="370">
        <f t="shared" si="2"/>
        <v>0.7572916667</v>
      </c>
      <c r="C6546" s="56">
        <f t="shared" si="3"/>
        <v>65430</v>
      </c>
      <c r="D6546" s="56">
        <v>2.838</v>
      </c>
    </row>
    <row r="6547" ht="15.75" customHeight="1">
      <c r="B6547" s="370">
        <f t="shared" si="2"/>
        <v>0.7574074074</v>
      </c>
      <c r="C6547" s="56">
        <f t="shared" si="3"/>
        <v>65440</v>
      </c>
      <c r="D6547" s="56">
        <v>2.8</v>
      </c>
    </row>
    <row r="6548" ht="15.75" customHeight="1">
      <c r="B6548" s="370">
        <f t="shared" si="2"/>
        <v>0.7575231481</v>
      </c>
      <c r="C6548" s="56">
        <f t="shared" si="3"/>
        <v>65450</v>
      </c>
      <c r="D6548" s="56">
        <v>2.754</v>
      </c>
    </row>
    <row r="6549" ht="15.75" customHeight="1">
      <c r="B6549" s="370">
        <f t="shared" si="2"/>
        <v>0.7576388889</v>
      </c>
      <c r="C6549" s="56">
        <f t="shared" si="3"/>
        <v>65460</v>
      </c>
      <c r="D6549" s="56">
        <v>2.637</v>
      </c>
    </row>
    <row r="6550" ht="15.75" customHeight="1">
      <c r="B6550" s="370">
        <f t="shared" si="2"/>
        <v>0.7577546296</v>
      </c>
      <c r="C6550" s="56">
        <f t="shared" si="3"/>
        <v>65470</v>
      </c>
      <c r="D6550" s="56">
        <v>2.5</v>
      </c>
    </row>
    <row r="6551" ht="15.75" customHeight="1">
      <c r="B6551" s="370">
        <f t="shared" si="2"/>
        <v>0.7578703704</v>
      </c>
      <c r="C6551" s="56">
        <f t="shared" si="3"/>
        <v>65480</v>
      </c>
      <c r="D6551" s="56">
        <v>2.224</v>
      </c>
    </row>
    <row r="6552" ht="15.75" customHeight="1">
      <c r="B6552" s="370">
        <f t="shared" si="2"/>
        <v>0.7579861111</v>
      </c>
      <c r="C6552" s="56">
        <f t="shared" si="3"/>
        <v>65490</v>
      </c>
      <c r="D6552" s="56">
        <v>3.154</v>
      </c>
    </row>
    <row r="6553" ht="15.75" customHeight="1">
      <c r="B6553" s="370">
        <f t="shared" si="2"/>
        <v>0.7581018519</v>
      </c>
      <c r="C6553" s="56">
        <f t="shared" si="3"/>
        <v>65500</v>
      </c>
      <c r="D6553" s="56">
        <v>3.435</v>
      </c>
    </row>
    <row r="6554" ht="15.75" customHeight="1">
      <c r="B6554" s="370">
        <f t="shared" si="2"/>
        <v>0.7582175926</v>
      </c>
      <c r="C6554" s="56">
        <f t="shared" si="3"/>
        <v>65510</v>
      </c>
      <c r="D6554" s="56">
        <v>3.459</v>
      </c>
    </row>
    <row r="6555" ht="15.75" customHeight="1">
      <c r="B6555" s="370">
        <f t="shared" si="2"/>
        <v>0.7583333333</v>
      </c>
      <c r="C6555" s="56">
        <f t="shared" si="3"/>
        <v>65520</v>
      </c>
      <c r="D6555" s="56">
        <v>3.495</v>
      </c>
    </row>
    <row r="6556" ht="15.75" customHeight="1">
      <c r="B6556" s="370">
        <f t="shared" si="2"/>
        <v>0.7584490741</v>
      </c>
      <c r="C6556" s="56">
        <f t="shared" si="3"/>
        <v>65530</v>
      </c>
      <c r="D6556" s="56">
        <v>3.191</v>
      </c>
    </row>
    <row r="6557" ht="15.75" customHeight="1">
      <c r="B6557" s="370">
        <f t="shared" si="2"/>
        <v>0.7585648148</v>
      </c>
      <c r="C6557" s="56">
        <f t="shared" si="3"/>
        <v>65540</v>
      </c>
      <c r="D6557" s="56">
        <v>2.51</v>
      </c>
    </row>
    <row r="6558" ht="15.75" customHeight="1">
      <c r="B6558" s="370">
        <f t="shared" si="2"/>
        <v>0.7586805556</v>
      </c>
      <c r="C6558" s="56">
        <f t="shared" si="3"/>
        <v>65550</v>
      </c>
      <c r="D6558" s="56">
        <v>1.953</v>
      </c>
    </row>
    <row r="6559" ht="15.75" customHeight="1">
      <c r="B6559" s="370">
        <f t="shared" si="2"/>
        <v>0.7587962963</v>
      </c>
      <c r="C6559" s="56">
        <f t="shared" si="3"/>
        <v>65560</v>
      </c>
      <c r="D6559" s="56">
        <v>2.254</v>
      </c>
    </row>
    <row r="6560" ht="15.75" customHeight="1">
      <c r="B6560" s="370">
        <f t="shared" si="2"/>
        <v>0.758912037</v>
      </c>
      <c r="C6560" s="56">
        <f t="shared" si="3"/>
        <v>65570</v>
      </c>
      <c r="D6560" s="56">
        <v>2.661</v>
      </c>
    </row>
    <row r="6561" ht="15.75" customHeight="1">
      <c r="B6561" s="370">
        <f t="shared" si="2"/>
        <v>0.7590277778</v>
      </c>
      <c r="C6561" s="56">
        <f t="shared" si="3"/>
        <v>65580</v>
      </c>
      <c r="D6561" s="56">
        <v>3.053</v>
      </c>
    </row>
    <row r="6562" ht="15.75" customHeight="1">
      <c r="B6562" s="370">
        <f t="shared" si="2"/>
        <v>0.7591435185</v>
      </c>
      <c r="C6562" s="56">
        <f t="shared" si="3"/>
        <v>65590</v>
      </c>
      <c r="D6562" s="56">
        <v>3.362</v>
      </c>
    </row>
    <row r="6563" ht="15.75" customHeight="1">
      <c r="B6563" s="370">
        <f t="shared" si="2"/>
        <v>0.7592592593</v>
      </c>
      <c r="C6563" s="56">
        <f t="shared" si="3"/>
        <v>65600</v>
      </c>
      <c r="D6563" s="56">
        <v>3.295</v>
      </c>
    </row>
    <row r="6564" ht="15.75" customHeight="1">
      <c r="B6564" s="370">
        <f t="shared" si="2"/>
        <v>0.759375</v>
      </c>
      <c r="C6564" s="56">
        <f t="shared" si="3"/>
        <v>65610</v>
      </c>
      <c r="D6564" s="56">
        <v>3.223</v>
      </c>
    </row>
    <row r="6565" ht="15.75" customHeight="1">
      <c r="B6565" s="370">
        <f t="shared" si="2"/>
        <v>0.7594907407</v>
      </c>
      <c r="C6565" s="56">
        <f t="shared" si="3"/>
        <v>65620</v>
      </c>
      <c r="D6565" s="56">
        <v>2.925</v>
      </c>
    </row>
    <row r="6566" ht="15.75" customHeight="1">
      <c r="B6566" s="370">
        <f t="shared" si="2"/>
        <v>0.7596064815</v>
      </c>
      <c r="C6566" s="56">
        <f t="shared" si="3"/>
        <v>65630</v>
      </c>
      <c r="D6566" s="56">
        <v>2.666</v>
      </c>
    </row>
    <row r="6567" ht="15.75" customHeight="1">
      <c r="B6567" s="370">
        <f t="shared" si="2"/>
        <v>0.7597222222</v>
      </c>
      <c r="C6567" s="56">
        <f t="shared" si="3"/>
        <v>65640</v>
      </c>
      <c r="D6567" s="56">
        <v>2.711</v>
      </c>
    </row>
    <row r="6568" ht="15.75" customHeight="1">
      <c r="B6568" s="370">
        <f t="shared" si="2"/>
        <v>0.759837963</v>
      </c>
      <c r="C6568" s="56">
        <f t="shared" si="3"/>
        <v>65650</v>
      </c>
      <c r="D6568" s="56">
        <v>2.748</v>
      </c>
    </row>
    <row r="6569" ht="15.75" customHeight="1">
      <c r="B6569" s="370">
        <f t="shared" si="2"/>
        <v>0.7599537037</v>
      </c>
      <c r="C6569" s="56">
        <f t="shared" si="3"/>
        <v>65660</v>
      </c>
      <c r="D6569" s="56">
        <v>2.696</v>
      </c>
    </row>
    <row r="6570" ht="15.75" customHeight="1">
      <c r="B6570" s="370">
        <f t="shared" si="2"/>
        <v>0.7600694444</v>
      </c>
      <c r="C6570" s="56">
        <f t="shared" si="3"/>
        <v>65670</v>
      </c>
      <c r="D6570" s="56">
        <v>2.613</v>
      </c>
    </row>
    <row r="6571" ht="15.75" customHeight="1">
      <c r="B6571" s="370">
        <f t="shared" si="2"/>
        <v>0.7601851852</v>
      </c>
      <c r="C6571" s="56">
        <f t="shared" si="3"/>
        <v>65680</v>
      </c>
      <c r="D6571" s="56">
        <v>2.418</v>
      </c>
    </row>
    <row r="6572" ht="15.75" customHeight="1">
      <c r="B6572" s="370">
        <f t="shared" si="2"/>
        <v>0.7603009259</v>
      </c>
      <c r="C6572" s="56">
        <f t="shared" si="3"/>
        <v>65690</v>
      </c>
      <c r="D6572" s="56">
        <v>2.956</v>
      </c>
    </row>
    <row r="6573" ht="15.75" customHeight="1">
      <c r="B6573" s="370">
        <f t="shared" si="2"/>
        <v>0.7604166667</v>
      </c>
      <c r="C6573" s="56">
        <f t="shared" si="3"/>
        <v>65700</v>
      </c>
      <c r="D6573" s="56">
        <v>3.342</v>
      </c>
    </row>
    <row r="6574" ht="15.75" customHeight="1">
      <c r="B6574" s="370">
        <f t="shared" si="2"/>
        <v>0.7605324074</v>
      </c>
      <c r="C6574" s="56">
        <f t="shared" si="3"/>
        <v>65710</v>
      </c>
      <c r="D6574" s="56">
        <v>3.391</v>
      </c>
    </row>
    <row r="6575" ht="15.75" customHeight="1">
      <c r="B6575" s="370">
        <f t="shared" si="2"/>
        <v>0.7606481481</v>
      </c>
      <c r="C6575" s="56">
        <f t="shared" si="3"/>
        <v>65720</v>
      </c>
      <c r="D6575" s="56">
        <v>3.459</v>
      </c>
    </row>
    <row r="6576" ht="15.75" customHeight="1">
      <c r="B6576" s="370">
        <f t="shared" si="2"/>
        <v>0.7607638889</v>
      </c>
      <c r="C6576" s="56">
        <f t="shared" si="3"/>
        <v>65730</v>
      </c>
      <c r="D6576" s="56">
        <v>3.232</v>
      </c>
    </row>
    <row r="6577" ht="15.75" customHeight="1">
      <c r="B6577" s="370">
        <f t="shared" si="2"/>
        <v>0.7608796296</v>
      </c>
      <c r="C6577" s="56">
        <f t="shared" si="3"/>
        <v>65740</v>
      </c>
      <c r="D6577" s="56">
        <v>2.65</v>
      </c>
    </row>
    <row r="6578" ht="15.75" customHeight="1">
      <c r="B6578" s="370">
        <f t="shared" si="2"/>
        <v>0.7609953704</v>
      </c>
      <c r="C6578" s="56">
        <f t="shared" si="3"/>
        <v>65750</v>
      </c>
      <c r="D6578" s="56">
        <v>2.171</v>
      </c>
    </row>
    <row r="6579" ht="15.75" customHeight="1">
      <c r="B6579" s="370">
        <f t="shared" si="2"/>
        <v>0.7611111111</v>
      </c>
      <c r="C6579" s="56">
        <f t="shared" si="3"/>
        <v>65760</v>
      </c>
      <c r="D6579" s="56">
        <v>2.028</v>
      </c>
    </row>
    <row r="6580" ht="15.75" customHeight="1">
      <c r="B6580" s="370">
        <f t="shared" si="2"/>
        <v>0.7612268519</v>
      </c>
      <c r="C6580" s="56">
        <f t="shared" si="3"/>
        <v>65770</v>
      </c>
      <c r="D6580" s="56">
        <v>2.533</v>
      </c>
    </row>
    <row r="6581" ht="15.75" customHeight="1">
      <c r="B6581" s="370">
        <f t="shared" si="2"/>
        <v>0.7613425926</v>
      </c>
      <c r="C6581" s="56">
        <f t="shared" si="3"/>
        <v>65780</v>
      </c>
      <c r="D6581" s="56">
        <v>3.019</v>
      </c>
    </row>
    <row r="6582" ht="15.75" customHeight="1">
      <c r="B6582" s="370">
        <f t="shared" si="2"/>
        <v>0.7614583333</v>
      </c>
      <c r="C6582" s="56">
        <f t="shared" si="3"/>
        <v>65790</v>
      </c>
      <c r="D6582" s="56">
        <v>3.42</v>
      </c>
    </row>
    <row r="6583" ht="15.75" customHeight="1">
      <c r="B6583" s="370">
        <f t="shared" si="2"/>
        <v>0.7615740741</v>
      </c>
      <c r="C6583" s="56">
        <f t="shared" si="3"/>
        <v>65800</v>
      </c>
      <c r="D6583" s="56">
        <v>3.391</v>
      </c>
    </row>
    <row r="6584" ht="15.75" customHeight="1">
      <c r="B6584" s="370">
        <f t="shared" si="2"/>
        <v>0.7616898148</v>
      </c>
      <c r="C6584" s="56">
        <f t="shared" si="3"/>
        <v>65810</v>
      </c>
      <c r="D6584" s="56">
        <v>3.321</v>
      </c>
    </row>
    <row r="6585" ht="15.75" customHeight="1">
      <c r="B6585" s="370">
        <f t="shared" si="2"/>
        <v>0.7618055556</v>
      </c>
      <c r="C6585" s="56">
        <f t="shared" si="3"/>
        <v>65820</v>
      </c>
      <c r="D6585" s="56">
        <v>3.153</v>
      </c>
    </row>
    <row r="6586" ht="15.75" customHeight="1">
      <c r="B6586" s="370">
        <f t="shared" si="2"/>
        <v>0.7619212963</v>
      </c>
      <c r="C6586" s="56">
        <f t="shared" si="3"/>
        <v>65830</v>
      </c>
      <c r="D6586" s="56">
        <v>2.427</v>
      </c>
    </row>
    <row r="6587" ht="15.75" customHeight="1">
      <c r="B6587" s="370">
        <f t="shared" si="2"/>
        <v>0.762037037</v>
      </c>
      <c r="C6587" s="56">
        <f t="shared" si="3"/>
        <v>65840</v>
      </c>
      <c r="D6587" s="56">
        <v>2.587</v>
      </c>
    </row>
    <row r="6588" ht="15.75" customHeight="1">
      <c r="B6588" s="370">
        <f t="shared" si="2"/>
        <v>0.7621527778</v>
      </c>
      <c r="C6588" s="56">
        <f t="shared" si="3"/>
        <v>65850</v>
      </c>
      <c r="D6588" s="56">
        <v>2.71</v>
      </c>
    </row>
    <row r="6589" ht="15.75" customHeight="1">
      <c r="B6589" s="370">
        <f t="shared" si="2"/>
        <v>0.7622685185</v>
      </c>
      <c r="C6589" s="56">
        <f t="shared" si="3"/>
        <v>65860</v>
      </c>
      <c r="D6589" s="56">
        <v>2.72</v>
      </c>
    </row>
    <row r="6590" ht="15.75" customHeight="1">
      <c r="B6590" s="370">
        <f t="shared" si="2"/>
        <v>0.7623842593</v>
      </c>
      <c r="C6590" s="56">
        <f t="shared" si="3"/>
        <v>65870</v>
      </c>
      <c r="D6590" s="56">
        <v>2.736</v>
      </c>
    </row>
    <row r="6591" ht="15.75" customHeight="1">
      <c r="B6591" s="370">
        <f t="shared" si="2"/>
        <v>0.7625</v>
      </c>
      <c r="C6591" s="56">
        <f t="shared" si="3"/>
        <v>65880</v>
      </c>
      <c r="D6591" s="56">
        <v>2.607</v>
      </c>
    </row>
    <row r="6592" ht="15.75" customHeight="1">
      <c r="B6592" s="370">
        <f t="shared" si="2"/>
        <v>0.7626157407</v>
      </c>
      <c r="C6592" s="56">
        <f t="shared" si="3"/>
        <v>65890</v>
      </c>
      <c r="D6592" s="56">
        <v>2.819</v>
      </c>
    </row>
    <row r="6593" ht="15.75" customHeight="1">
      <c r="B6593" s="370">
        <f t="shared" si="2"/>
        <v>0.7627314815</v>
      </c>
      <c r="C6593" s="56">
        <f t="shared" si="3"/>
        <v>65900</v>
      </c>
      <c r="D6593" s="56">
        <v>3.228</v>
      </c>
    </row>
    <row r="6594" ht="15.75" customHeight="1">
      <c r="B6594" s="370">
        <f t="shared" si="2"/>
        <v>0.7628472222</v>
      </c>
      <c r="C6594" s="56">
        <f t="shared" si="3"/>
        <v>65910</v>
      </c>
      <c r="D6594" s="56">
        <v>3.298</v>
      </c>
    </row>
    <row r="6595" ht="15.75" customHeight="1">
      <c r="B6595" s="370">
        <f t="shared" si="2"/>
        <v>0.762962963</v>
      </c>
      <c r="C6595" s="56">
        <f t="shared" si="3"/>
        <v>65920</v>
      </c>
      <c r="D6595" s="56">
        <v>3.39</v>
      </c>
    </row>
    <row r="6596" ht="15.75" customHeight="1">
      <c r="B6596" s="370">
        <f t="shared" si="2"/>
        <v>0.7630787037</v>
      </c>
      <c r="C6596" s="56">
        <f t="shared" si="3"/>
        <v>65930</v>
      </c>
      <c r="D6596" s="56">
        <v>3.239</v>
      </c>
    </row>
    <row r="6597" ht="15.75" customHeight="1">
      <c r="B6597" s="370">
        <f t="shared" si="2"/>
        <v>0.7631944444</v>
      </c>
      <c r="C6597" s="56">
        <f t="shared" si="3"/>
        <v>65940</v>
      </c>
      <c r="D6597" s="56">
        <v>2.76</v>
      </c>
    </row>
    <row r="6598" ht="15.75" customHeight="1">
      <c r="B6598" s="370">
        <f t="shared" si="2"/>
        <v>0.7633101852</v>
      </c>
      <c r="C6598" s="56">
        <f t="shared" si="3"/>
        <v>65950</v>
      </c>
      <c r="D6598" s="56">
        <v>2.299</v>
      </c>
    </row>
    <row r="6599" ht="15.75" customHeight="1">
      <c r="B6599" s="370">
        <f t="shared" si="2"/>
        <v>0.7634259259</v>
      </c>
      <c r="C6599" s="56">
        <f t="shared" si="3"/>
        <v>65960</v>
      </c>
      <c r="D6599" s="56">
        <v>1.98</v>
      </c>
    </row>
    <row r="6600" ht="15.75" customHeight="1">
      <c r="B6600" s="370">
        <f t="shared" si="2"/>
        <v>0.7635416667</v>
      </c>
      <c r="C6600" s="56">
        <f t="shared" si="3"/>
        <v>65970</v>
      </c>
      <c r="D6600" s="56">
        <v>2.323</v>
      </c>
    </row>
    <row r="6601" ht="15.75" customHeight="1">
      <c r="B6601" s="370">
        <f t="shared" si="2"/>
        <v>0.7636574074</v>
      </c>
      <c r="C6601" s="56">
        <f t="shared" si="3"/>
        <v>65980</v>
      </c>
      <c r="D6601" s="56">
        <v>2.948</v>
      </c>
    </row>
    <row r="6602" ht="15.75" customHeight="1">
      <c r="B6602" s="370">
        <f t="shared" si="2"/>
        <v>0.7637731481</v>
      </c>
      <c r="C6602" s="56">
        <f t="shared" si="3"/>
        <v>65990</v>
      </c>
      <c r="D6602" s="56">
        <v>3.443</v>
      </c>
    </row>
    <row r="6603" ht="15.75" customHeight="1">
      <c r="B6603" s="370">
        <f t="shared" si="2"/>
        <v>0.7638888889</v>
      </c>
      <c r="C6603" s="56">
        <f t="shared" si="3"/>
        <v>66000</v>
      </c>
      <c r="D6603" s="56">
        <v>3.469</v>
      </c>
    </row>
    <row r="6604" ht="15.75" customHeight="1">
      <c r="B6604" s="370">
        <f t="shared" si="2"/>
        <v>0.7640046296</v>
      </c>
      <c r="C6604" s="56">
        <f t="shared" si="3"/>
        <v>66010</v>
      </c>
      <c r="D6604" s="56">
        <v>3.423</v>
      </c>
    </row>
    <row r="6605" ht="15.75" customHeight="1">
      <c r="B6605" s="370">
        <f t="shared" si="2"/>
        <v>0.7641203704</v>
      </c>
      <c r="C6605" s="56">
        <f t="shared" si="3"/>
        <v>66020</v>
      </c>
      <c r="D6605" s="56">
        <v>3.288</v>
      </c>
    </row>
    <row r="6606" ht="15.75" customHeight="1">
      <c r="B6606" s="370">
        <f t="shared" si="2"/>
        <v>0.7642361111</v>
      </c>
      <c r="C6606" s="56">
        <f t="shared" si="3"/>
        <v>66030</v>
      </c>
      <c r="D6606" s="56">
        <v>2.587</v>
      </c>
    </row>
    <row r="6607" ht="15.75" customHeight="1">
      <c r="B6607" s="370">
        <f t="shared" si="2"/>
        <v>0.7643518519</v>
      </c>
      <c r="C6607" s="56">
        <f t="shared" si="3"/>
        <v>66040</v>
      </c>
      <c r="D6607" s="56">
        <v>2.417</v>
      </c>
    </row>
    <row r="6608" ht="15.75" customHeight="1">
      <c r="B6608" s="370">
        <f t="shared" si="2"/>
        <v>0.7644675926</v>
      </c>
      <c r="C6608" s="56">
        <f t="shared" si="3"/>
        <v>66050</v>
      </c>
      <c r="D6608" s="56">
        <v>2.635</v>
      </c>
    </row>
    <row r="6609" ht="15.75" customHeight="1">
      <c r="B6609" s="370">
        <f t="shared" si="2"/>
        <v>0.7645833333</v>
      </c>
      <c r="C6609" s="56">
        <f t="shared" si="3"/>
        <v>66060</v>
      </c>
      <c r="D6609" s="56">
        <v>2.713</v>
      </c>
    </row>
    <row r="6610" ht="15.75" customHeight="1">
      <c r="B6610" s="370">
        <f t="shared" si="2"/>
        <v>0.7646990741</v>
      </c>
      <c r="C6610" s="56">
        <f t="shared" si="3"/>
        <v>66070</v>
      </c>
      <c r="D6610" s="56">
        <v>2.802</v>
      </c>
    </row>
    <row r="6611" ht="15.75" customHeight="1">
      <c r="B6611" s="370">
        <f t="shared" si="2"/>
        <v>0.7648148148</v>
      </c>
      <c r="C6611" s="56">
        <f t="shared" si="3"/>
        <v>66080</v>
      </c>
      <c r="D6611" s="56">
        <v>2.764</v>
      </c>
    </row>
    <row r="6612" ht="15.75" customHeight="1">
      <c r="B6612" s="370">
        <f t="shared" si="2"/>
        <v>0.7649305556</v>
      </c>
      <c r="C6612" s="56">
        <f t="shared" si="3"/>
        <v>66090</v>
      </c>
      <c r="D6612" s="56">
        <v>2.684</v>
      </c>
    </row>
    <row r="6613" ht="15.75" customHeight="1">
      <c r="B6613" s="370">
        <f t="shared" si="2"/>
        <v>0.7650462963</v>
      </c>
      <c r="C6613" s="56">
        <f t="shared" si="3"/>
        <v>66100</v>
      </c>
      <c r="D6613" s="56">
        <v>3.089</v>
      </c>
    </row>
    <row r="6614" ht="15.75" customHeight="1">
      <c r="B6614" s="370">
        <f t="shared" si="2"/>
        <v>0.765162037</v>
      </c>
      <c r="C6614" s="56">
        <f t="shared" si="3"/>
        <v>66110</v>
      </c>
      <c r="D6614" s="56">
        <v>3.14</v>
      </c>
    </row>
    <row r="6615" ht="15.75" customHeight="1">
      <c r="B6615" s="370">
        <f t="shared" si="2"/>
        <v>0.7652777778</v>
      </c>
      <c r="C6615" s="56">
        <f t="shared" si="3"/>
        <v>66120</v>
      </c>
      <c r="D6615" s="56">
        <v>3.281</v>
      </c>
    </row>
    <row r="6616" ht="15.75" customHeight="1">
      <c r="B6616" s="370">
        <f t="shared" si="2"/>
        <v>0.7653935185</v>
      </c>
      <c r="C6616" s="56">
        <f t="shared" si="3"/>
        <v>66130</v>
      </c>
      <c r="D6616" s="56">
        <v>3.211</v>
      </c>
    </row>
    <row r="6617" ht="15.75" customHeight="1">
      <c r="B6617" s="370">
        <f t="shared" si="2"/>
        <v>0.7655092593</v>
      </c>
      <c r="C6617" s="56">
        <f t="shared" si="3"/>
        <v>66140</v>
      </c>
      <c r="D6617" s="56">
        <v>2.83</v>
      </c>
    </row>
    <row r="6618" ht="15.75" customHeight="1">
      <c r="B6618" s="370">
        <f t="shared" si="2"/>
        <v>0.765625</v>
      </c>
      <c r="C6618" s="56">
        <f t="shared" si="3"/>
        <v>66150</v>
      </c>
      <c r="D6618" s="56">
        <v>2.498</v>
      </c>
    </row>
    <row r="6619" ht="15.75" customHeight="1">
      <c r="B6619" s="370">
        <f t="shared" si="2"/>
        <v>0.7657407407</v>
      </c>
      <c r="C6619" s="56">
        <f t="shared" si="3"/>
        <v>66160</v>
      </c>
      <c r="D6619" s="56">
        <v>2.159</v>
      </c>
    </row>
    <row r="6620" ht="15.75" customHeight="1">
      <c r="B6620" s="370">
        <f t="shared" si="2"/>
        <v>0.7658564815</v>
      </c>
      <c r="C6620" s="56">
        <f t="shared" si="3"/>
        <v>66170</v>
      </c>
      <c r="D6620" s="56">
        <v>2.178</v>
      </c>
    </row>
    <row r="6621" ht="15.75" customHeight="1">
      <c r="B6621" s="370">
        <f t="shared" si="2"/>
        <v>0.7659722222</v>
      </c>
      <c r="C6621" s="56">
        <f t="shared" si="3"/>
        <v>66180</v>
      </c>
      <c r="D6621" s="56">
        <v>2.846</v>
      </c>
    </row>
    <row r="6622" ht="15.75" customHeight="1">
      <c r="B6622" s="370">
        <f t="shared" si="2"/>
        <v>0.766087963</v>
      </c>
      <c r="C6622" s="56">
        <f t="shared" si="3"/>
        <v>66190</v>
      </c>
      <c r="D6622" s="56">
        <v>3.44</v>
      </c>
    </row>
    <row r="6623" ht="15.75" customHeight="1">
      <c r="B6623" s="370">
        <f t="shared" si="2"/>
        <v>0.7662037037</v>
      </c>
      <c r="C6623" s="56">
        <f t="shared" si="3"/>
        <v>66200</v>
      </c>
      <c r="D6623" s="56">
        <v>3.509</v>
      </c>
    </row>
    <row r="6624" ht="15.75" customHeight="1">
      <c r="B6624" s="370">
        <f t="shared" si="2"/>
        <v>0.7663194444</v>
      </c>
      <c r="C6624" s="56">
        <f t="shared" si="3"/>
        <v>66210</v>
      </c>
      <c r="D6624" s="56">
        <v>3.482</v>
      </c>
    </row>
    <row r="6625" ht="15.75" customHeight="1">
      <c r="B6625" s="370">
        <f t="shared" si="2"/>
        <v>0.7664351852</v>
      </c>
      <c r="C6625" s="56">
        <f t="shared" si="3"/>
        <v>66220</v>
      </c>
      <c r="D6625" s="56">
        <v>3.383</v>
      </c>
    </row>
    <row r="6626" ht="15.75" customHeight="1">
      <c r="B6626" s="370">
        <f t="shared" si="2"/>
        <v>0.7665509259</v>
      </c>
      <c r="C6626" s="56">
        <f t="shared" si="3"/>
        <v>66230</v>
      </c>
      <c r="D6626" s="56">
        <v>2.715</v>
      </c>
    </row>
    <row r="6627" ht="15.75" customHeight="1">
      <c r="B6627" s="370">
        <f t="shared" si="2"/>
        <v>0.7666666667</v>
      </c>
      <c r="C6627" s="56">
        <f t="shared" si="3"/>
        <v>66240</v>
      </c>
      <c r="D6627" s="56">
        <v>2.241</v>
      </c>
    </row>
    <row r="6628" ht="15.75" customHeight="1">
      <c r="B6628" s="370">
        <f t="shared" si="2"/>
        <v>0.7667824074</v>
      </c>
      <c r="C6628" s="56">
        <f t="shared" si="3"/>
        <v>66250</v>
      </c>
      <c r="D6628" s="56">
        <v>2.526</v>
      </c>
    </row>
    <row r="6629" ht="15.75" customHeight="1">
      <c r="B6629" s="370">
        <f t="shared" si="2"/>
        <v>0.7668981481</v>
      </c>
      <c r="C6629" s="56">
        <f t="shared" si="3"/>
        <v>66260</v>
      </c>
      <c r="D6629" s="56">
        <v>2.667</v>
      </c>
    </row>
    <row r="6630" ht="15.75" customHeight="1">
      <c r="B6630" s="370">
        <f t="shared" si="2"/>
        <v>0.7670138889</v>
      </c>
      <c r="C6630" s="56">
        <f t="shared" si="3"/>
        <v>66270</v>
      </c>
      <c r="D6630" s="56">
        <v>2.832</v>
      </c>
    </row>
    <row r="6631" ht="15.75" customHeight="1">
      <c r="B6631" s="370">
        <f t="shared" si="2"/>
        <v>0.7671296296</v>
      </c>
      <c r="C6631" s="56">
        <f t="shared" si="3"/>
        <v>66280</v>
      </c>
      <c r="D6631" s="56">
        <v>2.875</v>
      </c>
    </row>
    <row r="6632" ht="15.75" customHeight="1">
      <c r="B6632" s="370">
        <f t="shared" si="2"/>
        <v>0.7672453704</v>
      </c>
      <c r="C6632" s="56">
        <f t="shared" si="3"/>
        <v>66290</v>
      </c>
      <c r="D6632" s="56">
        <v>2.91</v>
      </c>
    </row>
    <row r="6633" ht="15.75" customHeight="1">
      <c r="B6633" s="370">
        <f t="shared" si="2"/>
        <v>0.7673611111</v>
      </c>
      <c r="C6633" s="56">
        <f t="shared" si="3"/>
        <v>66300</v>
      </c>
      <c r="D6633" s="56">
        <v>2.871</v>
      </c>
    </row>
    <row r="6634" ht="15.75" customHeight="1">
      <c r="B6634" s="370">
        <f t="shared" si="2"/>
        <v>0.7674768519</v>
      </c>
      <c r="C6634" s="56">
        <f t="shared" si="3"/>
        <v>66310</v>
      </c>
      <c r="D6634" s="56">
        <v>3.029</v>
      </c>
    </row>
    <row r="6635" ht="15.75" customHeight="1">
      <c r="B6635" s="370">
        <f t="shared" si="2"/>
        <v>0.7675925926</v>
      </c>
      <c r="C6635" s="56">
        <f t="shared" si="3"/>
        <v>66320</v>
      </c>
      <c r="D6635" s="56">
        <v>3.148</v>
      </c>
    </row>
    <row r="6636" ht="15.75" customHeight="1">
      <c r="B6636" s="370">
        <f t="shared" si="2"/>
        <v>0.7677083333</v>
      </c>
      <c r="C6636" s="56">
        <f t="shared" si="3"/>
        <v>66330</v>
      </c>
      <c r="D6636" s="56">
        <v>3.148</v>
      </c>
    </row>
    <row r="6637" ht="15.75" customHeight="1">
      <c r="B6637" s="370">
        <f t="shared" si="2"/>
        <v>0.7678240741</v>
      </c>
      <c r="C6637" s="56">
        <f t="shared" si="3"/>
        <v>66340</v>
      </c>
      <c r="D6637" s="56">
        <v>2.866</v>
      </c>
    </row>
    <row r="6638" ht="15.75" customHeight="1">
      <c r="B6638" s="370">
        <f t="shared" si="2"/>
        <v>0.7679398148</v>
      </c>
      <c r="C6638" s="56">
        <f t="shared" si="3"/>
        <v>66350</v>
      </c>
      <c r="D6638" s="56">
        <v>2.616</v>
      </c>
    </row>
    <row r="6639" ht="15.75" customHeight="1">
      <c r="B6639" s="370">
        <f t="shared" si="2"/>
        <v>0.7680555556</v>
      </c>
      <c r="C6639" s="56">
        <f t="shared" si="3"/>
        <v>66360</v>
      </c>
      <c r="D6639" s="56">
        <v>2.344</v>
      </c>
    </row>
    <row r="6640" ht="15.75" customHeight="1">
      <c r="B6640" s="370">
        <f t="shared" si="2"/>
        <v>0.7681712963</v>
      </c>
      <c r="C6640" s="56">
        <f t="shared" si="3"/>
        <v>66370</v>
      </c>
      <c r="D6640" s="56">
        <v>2.009</v>
      </c>
    </row>
    <row r="6641" ht="15.75" customHeight="1">
      <c r="B6641" s="370">
        <f t="shared" si="2"/>
        <v>0.768287037</v>
      </c>
      <c r="C6641" s="56">
        <f t="shared" si="3"/>
        <v>66380</v>
      </c>
      <c r="D6641" s="56">
        <v>2.707</v>
      </c>
    </row>
    <row r="6642" ht="15.75" customHeight="1">
      <c r="B6642" s="370">
        <f t="shared" si="2"/>
        <v>0.7684027778</v>
      </c>
      <c r="C6642" s="56">
        <f t="shared" si="3"/>
        <v>66390</v>
      </c>
      <c r="D6642" s="56">
        <v>3.399</v>
      </c>
    </row>
    <row r="6643" ht="15.75" customHeight="1">
      <c r="B6643" s="370">
        <f t="shared" si="2"/>
        <v>0.7685185185</v>
      </c>
      <c r="C6643" s="56">
        <f t="shared" si="3"/>
        <v>66400</v>
      </c>
      <c r="D6643" s="56">
        <v>3.521</v>
      </c>
    </row>
    <row r="6644" ht="15.75" customHeight="1">
      <c r="B6644" s="370">
        <f t="shared" si="2"/>
        <v>0.7686342593</v>
      </c>
      <c r="C6644" s="56">
        <f t="shared" si="3"/>
        <v>66410</v>
      </c>
      <c r="D6644" s="56">
        <v>3.509</v>
      </c>
    </row>
    <row r="6645" ht="15.75" customHeight="1">
      <c r="B6645" s="370">
        <f t="shared" si="2"/>
        <v>0.76875</v>
      </c>
      <c r="C6645" s="56">
        <f t="shared" si="3"/>
        <v>66420</v>
      </c>
      <c r="D6645" s="56">
        <v>3.46</v>
      </c>
    </row>
    <row r="6646" ht="15.75" customHeight="1">
      <c r="B6646" s="370">
        <f t="shared" si="2"/>
        <v>0.7688657407</v>
      </c>
      <c r="C6646" s="56">
        <f t="shared" si="3"/>
        <v>66430</v>
      </c>
      <c r="D6646" s="56">
        <v>2.934</v>
      </c>
    </row>
    <row r="6647" ht="15.75" customHeight="1">
      <c r="B6647" s="370">
        <f t="shared" si="2"/>
        <v>0.7689814815</v>
      </c>
      <c r="C6647" s="56">
        <f t="shared" si="3"/>
        <v>66440</v>
      </c>
      <c r="D6647" s="56">
        <v>2.03</v>
      </c>
    </row>
    <row r="6648" ht="15.75" customHeight="1">
      <c r="B6648" s="370">
        <f t="shared" si="2"/>
        <v>0.7690972222</v>
      </c>
      <c r="C6648" s="56">
        <f t="shared" si="3"/>
        <v>66450</v>
      </c>
      <c r="D6648" s="56">
        <v>2.386</v>
      </c>
    </row>
    <row r="6649" ht="15.75" customHeight="1">
      <c r="B6649" s="370">
        <f t="shared" si="2"/>
        <v>0.769212963</v>
      </c>
      <c r="C6649" s="56">
        <f t="shared" si="3"/>
        <v>66460</v>
      </c>
      <c r="D6649" s="56">
        <v>2.592</v>
      </c>
    </row>
    <row r="6650" ht="15.75" customHeight="1">
      <c r="B6650" s="370">
        <f t="shared" si="2"/>
        <v>0.7693287037</v>
      </c>
      <c r="C6650" s="56">
        <f t="shared" si="3"/>
        <v>66470</v>
      </c>
      <c r="D6650" s="56">
        <v>2.828</v>
      </c>
    </row>
    <row r="6651" ht="15.75" customHeight="1">
      <c r="B6651" s="370">
        <f t="shared" si="2"/>
        <v>0.7694444444</v>
      </c>
      <c r="C6651" s="56">
        <f t="shared" si="3"/>
        <v>66480</v>
      </c>
      <c r="D6651" s="56">
        <v>2.981</v>
      </c>
    </row>
    <row r="6652" ht="15.75" customHeight="1">
      <c r="B6652" s="370">
        <f t="shared" si="2"/>
        <v>0.7695601852</v>
      </c>
      <c r="C6652" s="56">
        <f t="shared" si="3"/>
        <v>66490</v>
      </c>
      <c r="D6652" s="56">
        <v>3.083</v>
      </c>
    </row>
    <row r="6653" ht="15.75" customHeight="1">
      <c r="B6653" s="370">
        <f t="shared" si="2"/>
        <v>0.7696759259</v>
      </c>
      <c r="C6653" s="56">
        <f t="shared" si="3"/>
        <v>66500</v>
      </c>
      <c r="D6653" s="56">
        <v>2.938</v>
      </c>
    </row>
    <row r="6654" ht="15.75" customHeight="1">
      <c r="B6654" s="370">
        <f t="shared" si="2"/>
        <v>0.7697916667</v>
      </c>
      <c r="C6654" s="56">
        <f t="shared" si="3"/>
        <v>66510</v>
      </c>
      <c r="D6654" s="56">
        <v>2.871</v>
      </c>
    </row>
    <row r="6655" ht="15.75" customHeight="1">
      <c r="B6655" s="370">
        <f t="shared" si="2"/>
        <v>0.7699074074</v>
      </c>
      <c r="C6655" s="56">
        <f t="shared" si="3"/>
        <v>66520</v>
      </c>
      <c r="D6655" s="56">
        <v>2.992</v>
      </c>
    </row>
    <row r="6656" ht="15.75" customHeight="1">
      <c r="B6656" s="370">
        <f t="shared" si="2"/>
        <v>0.7700231481</v>
      </c>
      <c r="C6656" s="56">
        <f t="shared" si="3"/>
        <v>66530</v>
      </c>
      <c r="D6656" s="56">
        <v>3.049</v>
      </c>
    </row>
    <row r="6657" ht="15.75" customHeight="1">
      <c r="B6657" s="370">
        <f t="shared" si="2"/>
        <v>0.7701388889</v>
      </c>
      <c r="C6657" s="56">
        <f t="shared" si="3"/>
        <v>66540</v>
      </c>
      <c r="D6657" s="56">
        <v>2.866</v>
      </c>
    </row>
    <row r="6658" ht="15.75" customHeight="1">
      <c r="B6658" s="370">
        <f t="shared" si="2"/>
        <v>0.7702546296</v>
      </c>
      <c r="C6658" s="56">
        <f t="shared" si="3"/>
        <v>66550</v>
      </c>
      <c r="D6658" s="56">
        <v>2.696</v>
      </c>
    </row>
    <row r="6659" ht="15.75" customHeight="1">
      <c r="B6659" s="370">
        <f t="shared" si="2"/>
        <v>0.7703703704</v>
      </c>
      <c r="C6659" s="56">
        <f t="shared" si="3"/>
        <v>66560</v>
      </c>
      <c r="D6659" s="56">
        <v>2.462</v>
      </c>
    </row>
    <row r="6660" ht="15.75" customHeight="1">
      <c r="B6660" s="370">
        <f t="shared" si="2"/>
        <v>0.7704861111</v>
      </c>
      <c r="C6660" s="56">
        <f t="shared" si="3"/>
        <v>66570</v>
      </c>
      <c r="D6660" s="56">
        <v>2.242</v>
      </c>
    </row>
    <row r="6661" ht="15.75" customHeight="1">
      <c r="B6661" s="370">
        <f t="shared" si="2"/>
        <v>0.7706018519</v>
      </c>
      <c r="C6661" s="56">
        <f t="shared" si="3"/>
        <v>66580</v>
      </c>
      <c r="D6661" s="56">
        <v>2.475</v>
      </c>
    </row>
    <row r="6662" ht="15.75" customHeight="1">
      <c r="B6662" s="370">
        <f t="shared" si="2"/>
        <v>0.7707175926</v>
      </c>
      <c r="C6662" s="56">
        <f t="shared" si="3"/>
        <v>66590</v>
      </c>
      <c r="D6662" s="56">
        <v>3.317</v>
      </c>
    </row>
    <row r="6663" ht="15.75" customHeight="1">
      <c r="B6663" s="370">
        <f t="shared" si="2"/>
        <v>0.7708333333</v>
      </c>
      <c r="C6663" s="56">
        <f t="shared" si="3"/>
        <v>66600</v>
      </c>
      <c r="D6663" s="56">
        <v>3.508</v>
      </c>
    </row>
    <row r="6664" ht="15.75" customHeight="1">
      <c r="B6664" s="370">
        <f t="shared" si="2"/>
        <v>0.7709490741</v>
      </c>
      <c r="C6664" s="56">
        <f t="shared" si="3"/>
        <v>66610</v>
      </c>
      <c r="D6664" s="56">
        <v>3.513</v>
      </c>
    </row>
    <row r="6665" ht="15.75" customHeight="1">
      <c r="B6665" s="370">
        <f t="shared" si="2"/>
        <v>0.7710648148</v>
      </c>
      <c r="C6665" s="56">
        <f t="shared" si="3"/>
        <v>66620</v>
      </c>
      <c r="D6665" s="56">
        <v>3.498</v>
      </c>
    </row>
    <row r="6666" ht="15.75" customHeight="1">
      <c r="B6666" s="370">
        <f t="shared" si="2"/>
        <v>0.7711805556</v>
      </c>
      <c r="C6666" s="56">
        <f t="shared" si="3"/>
        <v>66630</v>
      </c>
      <c r="D6666" s="56">
        <v>3.067</v>
      </c>
    </row>
    <row r="6667" ht="15.75" customHeight="1">
      <c r="B6667" s="370">
        <f t="shared" si="2"/>
        <v>0.7712962963</v>
      </c>
      <c r="C6667" s="56">
        <f t="shared" si="3"/>
        <v>66640</v>
      </c>
      <c r="D6667" s="56">
        <v>2.243</v>
      </c>
    </row>
    <row r="6668" ht="15.75" customHeight="1">
      <c r="B6668" s="370">
        <f t="shared" si="2"/>
        <v>0.771412037</v>
      </c>
      <c r="C6668" s="56">
        <f t="shared" si="3"/>
        <v>66650</v>
      </c>
      <c r="D6668" s="56">
        <v>2.191</v>
      </c>
    </row>
    <row r="6669" ht="15.75" customHeight="1">
      <c r="B6669" s="370">
        <f t="shared" si="2"/>
        <v>0.7715277778</v>
      </c>
      <c r="C6669" s="56">
        <f t="shared" si="3"/>
        <v>66660</v>
      </c>
      <c r="D6669" s="56">
        <v>2.478</v>
      </c>
    </row>
    <row r="6670" ht="15.75" customHeight="1">
      <c r="B6670" s="370">
        <f t="shared" si="2"/>
        <v>0.7716435185</v>
      </c>
      <c r="C6670" s="56">
        <f t="shared" si="3"/>
        <v>66670</v>
      </c>
      <c r="D6670" s="56">
        <v>2.786</v>
      </c>
    </row>
    <row r="6671" ht="15.75" customHeight="1">
      <c r="B6671" s="370">
        <f t="shared" si="2"/>
        <v>0.7717592593</v>
      </c>
      <c r="C6671" s="56">
        <f t="shared" si="3"/>
        <v>66680</v>
      </c>
      <c r="D6671" s="56">
        <v>3.037</v>
      </c>
    </row>
    <row r="6672" ht="15.75" customHeight="1">
      <c r="B6672" s="370">
        <f t="shared" si="2"/>
        <v>0.771875</v>
      </c>
      <c r="C6672" s="56">
        <f t="shared" si="3"/>
        <v>66690</v>
      </c>
      <c r="D6672" s="56">
        <v>3.213</v>
      </c>
    </row>
    <row r="6673" ht="15.75" customHeight="1">
      <c r="B6673" s="370">
        <f t="shared" si="2"/>
        <v>0.7719907407</v>
      </c>
      <c r="C6673" s="56">
        <f t="shared" si="3"/>
        <v>66700</v>
      </c>
      <c r="D6673" s="56">
        <v>3.035</v>
      </c>
    </row>
    <row r="6674" ht="15.75" customHeight="1">
      <c r="B6674" s="370">
        <f t="shared" si="2"/>
        <v>0.7721064815</v>
      </c>
      <c r="C6674" s="56">
        <f t="shared" si="3"/>
        <v>66710</v>
      </c>
      <c r="D6674" s="56">
        <v>3.018</v>
      </c>
    </row>
    <row r="6675" ht="15.75" customHeight="1">
      <c r="B6675" s="370">
        <f t="shared" si="2"/>
        <v>0.7722222222</v>
      </c>
      <c r="C6675" s="56">
        <f t="shared" si="3"/>
        <v>66720</v>
      </c>
      <c r="D6675" s="56">
        <v>2.781</v>
      </c>
    </row>
    <row r="6676" ht="15.75" customHeight="1">
      <c r="B6676" s="370">
        <f t="shared" si="2"/>
        <v>0.772337963</v>
      </c>
      <c r="C6676" s="56">
        <f t="shared" si="3"/>
        <v>66730</v>
      </c>
      <c r="D6676" s="56">
        <v>2.915</v>
      </c>
    </row>
    <row r="6677" ht="15.75" customHeight="1">
      <c r="B6677" s="370">
        <f t="shared" si="2"/>
        <v>0.7724537037</v>
      </c>
      <c r="C6677" s="56">
        <f t="shared" si="3"/>
        <v>66740</v>
      </c>
      <c r="D6677" s="56">
        <v>2.829</v>
      </c>
    </row>
    <row r="6678" ht="15.75" customHeight="1">
      <c r="B6678" s="370">
        <f t="shared" si="2"/>
        <v>0.7725694444</v>
      </c>
      <c r="C6678" s="56">
        <f t="shared" si="3"/>
        <v>66750</v>
      </c>
      <c r="D6678" s="56">
        <v>2.744</v>
      </c>
    </row>
    <row r="6679" ht="15.75" customHeight="1">
      <c r="B6679" s="370">
        <f t="shared" si="2"/>
        <v>0.7726851852</v>
      </c>
      <c r="C6679" s="56">
        <f t="shared" si="3"/>
        <v>66760</v>
      </c>
      <c r="D6679" s="56">
        <v>2.596</v>
      </c>
    </row>
    <row r="6680" ht="15.75" customHeight="1">
      <c r="B6680" s="370">
        <f t="shared" si="2"/>
        <v>0.7728009259</v>
      </c>
      <c r="C6680" s="56">
        <f t="shared" si="3"/>
        <v>66770</v>
      </c>
      <c r="D6680" s="56">
        <v>2.429</v>
      </c>
    </row>
    <row r="6681" ht="15.75" customHeight="1">
      <c r="B6681" s="370">
        <f t="shared" si="2"/>
        <v>0.7729166667</v>
      </c>
      <c r="C6681" s="56">
        <f t="shared" si="3"/>
        <v>66780</v>
      </c>
      <c r="D6681" s="56">
        <v>2.34</v>
      </c>
    </row>
    <row r="6682" ht="15.75" customHeight="1">
      <c r="B6682" s="370">
        <f t="shared" si="2"/>
        <v>0.7730324074</v>
      </c>
      <c r="C6682" s="56">
        <f t="shared" si="3"/>
        <v>66790</v>
      </c>
      <c r="D6682" s="56">
        <v>3.218</v>
      </c>
    </row>
    <row r="6683" ht="15.75" customHeight="1">
      <c r="B6683" s="370">
        <f t="shared" si="2"/>
        <v>0.7731481481</v>
      </c>
      <c r="C6683" s="56">
        <f t="shared" si="3"/>
        <v>66800</v>
      </c>
      <c r="D6683" s="56">
        <v>3.463</v>
      </c>
    </row>
    <row r="6684" ht="15.75" customHeight="1">
      <c r="B6684" s="370">
        <f t="shared" si="2"/>
        <v>0.7732638889</v>
      </c>
      <c r="C6684" s="56">
        <f t="shared" si="3"/>
        <v>66810</v>
      </c>
      <c r="D6684" s="56">
        <v>3.486</v>
      </c>
    </row>
    <row r="6685" ht="15.75" customHeight="1">
      <c r="B6685" s="370">
        <f t="shared" si="2"/>
        <v>0.7733796296</v>
      </c>
      <c r="C6685" s="56">
        <f t="shared" si="3"/>
        <v>66820</v>
      </c>
      <c r="D6685" s="56">
        <v>3.502</v>
      </c>
    </row>
    <row r="6686" ht="15.75" customHeight="1">
      <c r="B6686" s="370">
        <f t="shared" si="2"/>
        <v>0.7734953704</v>
      </c>
      <c r="C6686" s="56">
        <f t="shared" si="3"/>
        <v>66830</v>
      </c>
      <c r="D6686" s="56">
        <v>3.156</v>
      </c>
    </row>
    <row r="6687" ht="15.75" customHeight="1">
      <c r="B6687" s="370">
        <f t="shared" si="2"/>
        <v>0.7736111111</v>
      </c>
      <c r="C6687" s="56">
        <f t="shared" si="3"/>
        <v>66840</v>
      </c>
      <c r="D6687" s="56">
        <v>2.371</v>
      </c>
    </row>
    <row r="6688" ht="15.75" customHeight="1">
      <c r="B6688" s="370">
        <f t="shared" si="2"/>
        <v>0.7737268519</v>
      </c>
      <c r="C6688" s="56">
        <f t="shared" si="3"/>
        <v>66850</v>
      </c>
      <c r="D6688" s="56">
        <v>2.017</v>
      </c>
    </row>
    <row r="6689" ht="15.75" customHeight="1">
      <c r="B6689" s="370">
        <f t="shared" si="2"/>
        <v>0.7738425926</v>
      </c>
      <c r="C6689" s="56">
        <f t="shared" si="3"/>
        <v>66860</v>
      </c>
      <c r="D6689" s="56">
        <v>2.3</v>
      </c>
    </row>
    <row r="6690" ht="15.75" customHeight="1">
      <c r="B6690" s="370">
        <f t="shared" si="2"/>
        <v>0.7739583333</v>
      </c>
      <c r="C6690" s="56">
        <f t="shared" si="3"/>
        <v>66870</v>
      </c>
      <c r="D6690" s="56">
        <v>2.708</v>
      </c>
    </row>
    <row r="6691" ht="15.75" customHeight="1">
      <c r="B6691" s="370">
        <f t="shared" si="2"/>
        <v>0.7740740741</v>
      </c>
      <c r="C6691" s="56">
        <f t="shared" si="3"/>
        <v>66880</v>
      </c>
      <c r="D6691" s="56">
        <v>3.055</v>
      </c>
    </row>
    <row r="6692" ht="15.75" customHeight="1">
      <c r="B6692" s="370">
        <f t="shared" si="2"/>
        <v>0.7741898148</v>
      </c>
      <c r="C6692" s="56">
        <f t="shared" si="3"/>
        <v>66890</v>
      </c>
      <c r="D6692" s="56">
        <v>3.318</v>
      </c>
    </row>
    <row r="6693" ht="15.75" customHeight="1">
      <c r="B6693" s="370">
        <f t="shared" si="2"/>
        <v>0.7743055556</v>
      </c>
      <c r="C6693" s="56">
        <f t="shared" si="3"/>
        <v>66900</v>
      </c>
      <c r="D6693" s="56">
        <v>3.236</v>
      </c>
    </row>
    <row r="6694" ht="15.75" customHeight="1">
      <c r="B6694" s="370">
        <f t="shared" si="2"/>
        <v>0.7744212963</v>
      </c>
      <c r="C6694" s="56">
        <f t="shared" si="3"/>
        <v>66910</v>
      </c>
      <c r="D6694" s="56">
        <v>3.163</v>
      </c>
    </row>
    <row r="6695" ht="15.75" customHeight="1">
      <c r="B6695" s="370">
        <f t="shared" si="2"/>
        <v>0.774537037</v>
      </c>
      <c r="C6695" s="56">
        <f t="shared" si="3"/>
        <v>66920</v>
      </c>
      <c r="D6695" s="56">
        <v>2.91</v>
      </c>
    </row>
    <row r="6696" ht="15.75" customHeight="1">
      <c r="B6696" s="370">
        <f t="shared" si="2"/>
        <v>0.7746527778</v>
      </c>
      <c r="C6696" s="56">
        <f t="shared" si="3"/>
        <v>66930</v>
      </c>
      <c r="D6696" s="56">
        <v>2.736</v>
      </c>
    </row>
    <row r="6697" ht="15.75" customHeight="1">
      <c r="B6697" s="370">
        <f t="shared" si="2"/>
        <v>0.7747685185</v>
      </c>
      <c r="C6697" s="56">
        <f t="shared" si="3"/>
        <v>66940</v>
      </c>
      <c r="D6697" s="56">
        <v>2.756</v>
      </c>
    </row>
    <row r="6698" ht="15.75" customHeight="1">
      <c r="B6698" s="370">
        <f t="shared" si="2"/>
        <v>0.7748842593</v>
      </c>
      <c r="C6698" s="56">
        <f t="shared" si="3"/>
        <v>66950</v>
      </c>
      <c r="D6698" s="56">
        <v>2.756</v>
      </c>
    </row>
    <row r="6699" ht="15.75" customHeight="1">
      <c r="B6699" s="370">
        <f t="shared" si="2"/>
        <v>0.775</v>
      </c>
      <c r="C6699" s="56">
        <f t="shared" si="3"/>
        <v>66960</v>
      </c>
      <c r="D6699" s="56">
        <v>2.673</v>
      </c>
    </row>
    <row r="6700" ht="15.75" customHeight="1">
      <c r="B6700" s="370">
        <f t="shared" si="2"/>
        <v>0.7751157407</v>
      </c>
      <c r="C6700" s="56">
        <f t="shared" si="3"/>
        <v>66970</v>
      </c>
      <c r="D6700" s="56">
        <v>2.576</v>
      </c>
    </row>
    <row r="6701" ht="15.75" customHeight="1">
      <c r="B6701" s="370">
        <f t="shared" si="2"/>
        <v>0.7752314815</v>
      </c>
      <c r="C6701" s="56">
        <f t="shared" si="3"/>
        <v>66980</v>
      </c>
      <c r="D6701" s="56">
        <v>2.23</v>
      </c>
    </row>
    <row r="6702" ht="15.75" customHeight="1">
      <c r="B6702" s="370">
        <f t="shared" si="2"/>
        <v>0.7753472222</v>
      </c>
      <c r="C6702" s="56">
        <f t="shared" si="3"/>
        <v>66990</v>
      </c>
      <c r="D6702" s="56">
        <v>3.076</v>
      </c>
    </row>
    <row r="6703" ht="15.75" customHeight="1">
      <c r="B6703" s="370">
        <f t="shared" si="2"/>
        <v>0.775462963</v>
      </c>
      <c r="C6703" s="56">
        <f t="shared" si="3"/>
        <v>67000</v>
      </c>
      <c r="D6703" s="56">
        <v>3.391</v>
      </c>
    </row>
    <row r="6704" ht="15.75" customHeight="1">
      <c r="B6704" s="370">
        <f t="shared" si="2"/>
        <v>0.7755787037</v>
      </c>
      <c r="C6704" s="56">
        <f t="shared" si="3"/>
        <v>67010</v>
      </c>
      <c r="D6704" s="56">
        <v>3.426</v>
      </c>
    </row>
    <row r="6705" ht="15.75" customHeight="1">
      <c r="B6705" s="370">
        <f t="shared" si="2"/>
        <v>0.7756944444</v>
      </c>
      <c r="C6705" s="56">
        <f t="shared" si="3"/>
        <v>67020</v>
      </c>
      <c r="D6705" s="56">
        <v>3.474</v>
      </c>
    </row>
    <row r="6706" ht="15.75" customHeight="1">
      <c r="B6706" s="370">
        <f t="shared" si="2"/>
        <v>0.7758101852</v>
      </c>
      <c r="C6706" s="56">
        <f t="shared" si="3"/>
        <v>67030</v>
      </c>
      <c r="D6706" s="56">
        <v>3.218</v>
      </c>
    </row>
    <row r="6707" ht="15.75" customHeight="1">
      <c r="B6707" s="370">
        <f t="shared" si="2"/>
        <v>0.7759259259</v>
      </c>
      <c r="C6707" s="56">
        <f t="shared" si="3"/>
        <v>67040</v>
      </c>
      <c r="D6707" s="56">
        <v>2.591</v>
      </c>
    </row>
    <row r="6708" ht="15.75" customHeight="1">
      <c r="B6708" s="370">
        <f t="shared" si="2"/>
        <v>0.7760416667</v>
      </c>
      <c r="C6708" s="56">
        <f t="shared" si="3"/>
        <v>67050</v>
      </c>
      <c r="D6708" s="56">
        <v>2.044</v>
      </c>
    </row>
    <row r="6709" ht="15.75" customHeight="1">
      <c r="B6709" s="370">
        <f t="shared" si="2"/>
        <v>0.7761574074</v>
      </c>
      <c r="C6709" s="56">
        <f t="shared" si="3"/>
        <v>67060</v>
      </c>
      <c r="D6709" s="56">
        <v>2.156</v>
      </c>
    </row>
    <row r="6710" ht="15.75" customHeight="1">
      <c r="B6710" s="370">
        <f t="shared" si="2"/>
        <v>0.7762731481</v>
      </c>
      <c r="C6710" s="56">
        <f t="shared" si="3"/>
        <v>67070</v>
      </c>
      <c r="D6710" s="56">
        <v>2.598</v>
      </c>
    </row>
    <row r="6711" ht="15.75" customHeight="1">
      <c r="B6711" s="370">
        <f t="shared" si="2"/>
        <v>0.7763888889</v>
      </c>
      <c r="C6711" s="56">
        <f t="shared" si="3"/>
        <v>67080</v>
      </c>
      <c r="D6711" s="56">
        <v>3.04</v>
      </c>
    </row>
    <row r="6712" ht="15.75" customHeight="1">
      <c r="B6712" s="370">
        <f t="shared" si="2"/>
        <v>0.7765046296</v>
      </c>
      <c r="C6712" s="56">
        <f t="shared" si="3"/>
        <v>67090</v>
      </c>
      <c r="D6712" s="56">
        <v>3.399</v>
      </c>
    </row>
    <row r="6713" ht="15.75" customHeight="1">
      <c r="B6713" s="370">
        <f t="shared" si="2"/>
        <v>0.7766203704</v>
      </c>
      <c r="C6713" s="56">
        <f t="shared" si="3"/>
        <v>67100</v>
      </c>
      <c r="D6713" s="56">
        <v>3.354</v>
      </c>
    </row>
    <row r="6714" ht="15.75" customHeight="1">
      <c r="B6714" s="370">
        <f t="shared" si="2"/>
        <v>0.7767361111</v>
      </c>
      <c r="C6714" s="56">
        <f t="shared" si="3"/>
        <v>67110</v>
      </c>
      <c r="D6714" s="56">
        <v>3.288</v>
      </c>
    </row>
    <row r="6715" ht="15.75" customHeight="1">
      <c r="B6715" s="370">
        <f t="shared" si="2"/>
        <v>0.7768518519</v>
      </c>
      <c r="C6715" s="56">
        <f t="shared" si="3"/>
        <v>67120</v>
      </c>
      <c r="D6715" s="56">
        <v>3.03</v>
      </c>
    </row>
    <row r="6716" ht="15.75" customHeight="1">
      <c r="B6716" s="370">
        <f t="shared" si="2"/>
        <v>0.7769675926</v>
      </c>
      <c r="C6716" s="56">
        <f t="shared" si="3"/>
        <v>67130</v>
      </c>
      <c r="D6716" s="56">
        <v>2.561</v>
      </c>
    </row>
    <row r="6717" ht="15.75" customHeight="1">
      <c r="B6717" s="370">
        <f t="shared" si="2"/>
        <v>0.7770833333</v>
      </c>
      <c r="C6717" s="56">
        <f t="shared" si="3"/>
        <v>67140</v>
      </c>
      <c r="D6717" s="56">
        <v>2.649</v>
      </c>
    </row>
    <row r="6718" ht="15.75" customHeight="1">
      <c r="B6718" s="370">
        <f t="shared" si="2"/>
        <v>0.7771990741</v>
      </c>
      <c r="C6718" s="56">
        <f t="shared" si="3"/>
        <v>67150</v>
      </c>
      <c r="D6718" s="56">
        <v>2.733</v>
      </c>
    </row>
    <row r="6719" ht="15.75" customHeight="1">
      <c r="B6719" s="370">
        <f t="shared" si="2"/>
        <v>0.7773148148</v>
      </c>
      <c r="C6719" s="56">
        <f t="shared" si="3"/>
        <v>67160</v>
      </c>
      <c r="D6719" s="56">
        <v>2.714</v>
      </c>
    </row>
    <row r="6720" ht="15.75" customHeight="1">
      <c r="B6720" s="370">
        <f t="shared" si="2"/>
        <v>0.7774305556</v>
      </c>
      <c r="C6720" s="56">
        <f t="shared" si="3"/>
        <v>67170</v>
      </c>
      <c r="D6720" s="56">
        <v>2.684</v>
      </c>
    </row>
    <row r="6721" ht="15.75" customHeight="1">
      <c r="B6721" s="370">
        <f t="shared" si="2"/>
        <v>0.7775462963</v>
      </c>
      <c r="C6721" s="56">
        <f t="shared" si="3"/>
        <v>67180</v>
      </c>
      <c r="D6721" s="56">
        <v>2.522</v>
      </c>
    </row>
    <row r="6722" ht="15.75" customHeight="1">
      <c r="B6722" s="370">
        <f t="shared" si="2"/>
        <v>0.777662037</v>
      </c>
      <c r="C6722" s="56">
        <f t="shared" si="3"/>
        <v>67190</v>
      </c>
      <c r="D6722" s="56">
        <v>2.846</v>
      </c>
    </row>
    <row r="6723" ht="15.75" customHeight="1">
      <c r="B6723" s="370">
        <f t="shared" si="2"/>
        <v>0.7777777778</v>
      </c>
      <c r="C6723" s="56">
        <f t="shared" si="3"/>
        <v>67200</v>
      </c>
      <c r="D6723" s="56">
        <v>3.284</v>
      </c>
    </row>
    <row r="6724" ht="15.75" customHeight="1">
      <c r="B6724" s="370">
        <f t="shared" si="2"/>
        <v>0.7778935185</v>
      </c>
      <c r="C6724" s="56">
        <f t="shared" si="3"/>
        <v>67210</v>
      </c>
      <c r="D6724" s="56">
        <v>3.348</v>
      </c>
    </row>
    <row r="6725" ht="15.75" customHeight="1">
      <c r="B6725" s="370">
        <f t="shared" si="2"/>
        <v>0.7780092593</v>
      </c>
      <c r="C6725" s="56">
        <f t="shared" si="3"/>
        <v>67220</v>
      </c>
      <c r="D6725" s="56">
        <v>3.423</v>
      </c>
    </row>
    <row r="6726" ht="15.75" customHeight="1">
      <c r="B6726" s="370">
        <f t="shared" si="2"/>
        <v>0.778125</v>
      </c>
      <c r="C6726" s="56">
        <f t="shared" si="3"/>
        <v>67230</v>
      </c>
      <c r="D6726" s="56">
        <v>3.242</v>
      </c>
    </row>
    <row r="6727" ht="15.75" customHeight="1">
      <c r="B6727" s="370">
        <f t="shared" si="2"/>
        <v>0.7782407407</v>
      </c>
      <c r="C6727" s="56">
        <f t="shared" si="3"/>
        <v>67240</v>
      </c>
      <c r="D6727" s="56">
        <v>2.714</v>
      </c>
    </row>
    <row r="6728" ht="15.75" customHeight="1">
      <c r="B6728" s="370">
        <f t="shared" si="2"/>
        <v>0.7783564815</v>
      </c>
      <c r="C6728" s="56">
        <f t="shared" si="3"/>
        <v>67250</v>
      </c>
      <c r="D6728" s="56">
        <v>2.271</v>
      </c>
    </row>
    <row r="6729" ht="15.75" customHeight="1">
      <c r="B6729" s="370">
        <f t="shared" si="2"/>
        <v>0.7784722222</v>
      </c>
      <c r="C6729" s="56">
        <f t="shared" si="3"/>
        <v>67260</v>
      </c>
      <c r="D6729" s="56">
        <v>1.932</v>
      </c>
    </row>
    <row r="6730" ht="15.75" customHeight="1">
      <c r="B6730" s="370">
        <f t="shared" si="2"/>
        <v>0.778587963</v>
      </c>
      <c r="C6730" s="56">
        <f t="shared" si="3"/>
        <v>67270</v>
      </c>
      <c r="D6730" s="56">
        <v>2.451</v>
      </c>
    </row>
    <row r="6731" ht="15.75" customHeight="1">
      <c r="B6731" s="370">
        <f t="shared" si="2"/>
        <v>0.7787037037</v>
      </c>
      <c r="C6731" s="56">
        <f t="shared" si="3"/>
        <v>67280</v>
      </c>
      <c r="D6731" s="56">
        <v>2.987</v>
      </c>
    </row>
    <row r="6732" ht="15.75" customHeight="1">
      <c r="B6732" s="370">
        <f t="shared" si="2"/>
        <v>0.7788194444</v>
      </c>
      <c r="C6732" s="56">
        <f t="shared" si="3"/>
        <v>67290</v>
      </c>
      <c r="D6732" s="56">
        <v>3.438</v>
      </c>
    </row>
    <row r="6733" ht="15.75" customHeight="1">
      <c r="B6733" s="370">
        <f t="shared" si="2"/>
        <v>0.7789351852</v>
      </c>
      <c r="C6733" s="56">
        <f t="shared" si="3"/>
        <v>67300</v>
      </c>
      <c r="D6733" s="56">
        <v>3.434</v>
      </c>
    </row>
    <row r="6734" ht="15.75" customHeight="1">
      <c r="B6734" s="370">
        <f t="shared" si="2"/>
        <v>0.7790509259</v>
      </c>
      <c r="C6734" s="56">
        <f t="shared" si="3"/>
        <v>67310</v>
      </c>
      <c r="D6734" s="56">
        <v>3.379</v>
      </c>
    </row>
    <row r="6735" ht="15.75" customHeight="1">
      <c r="B6735" s="370">
        <f t="shared" si="2"/>
        <v>0.7791666667</v>
      </c>
      <c r="C6735" s="56">
        <f t="shared" si="3"/>
        <v>67320</v>
      </c>
      <c r="D6735" s="56">
        <v>3.229</v>
      </c>
    </row>
    <row r="6736" ht="15.75" customHeight="1">
      <c r="B6736" s="370">
        <f t="shared" si="2"/>
        <v>0.7792824074</v>
      </c>
      <c r="C6736" s="56">
        <f t="shared" si="3"/>
        <v>67330</v>
      </c>
      <c r="D6736" s="56">
        <v>2.448</v>
      </c>
    </row>
    <row r="6737" ht="15.75" customHeight="1">
      <c r="B6737" s="370">
        <f t="shared" si="2"/>
        <v>0.7793981481</v>
      </c>
      <c r="C6737" s="56">
        <f t="shared" si="3"/>
        <v>67340</v>
      </c>
      <c r="D6737" s="56">
        <v>2.506</v>
      </c>
    </row>
    <row r="6738" ht="15.75" customHeight="1">
      <c r="B6738" s="370">
        <f t="shared" si="2"/>
        <v>0.7795138889</v>
      </c>
      <c r="C6738" s="56">
        <f t="shared" si="3"/>
        <v>67350</v>
      </c>
      <c r="D6738" s="56">
        <v>2.676</v>
      </c>
    </row>
    <row r="6739" ht="15.75" customHeight="1">
      <c r="B6739" s="370">
        <f t="shared" si="2"/>
        <v>0.7796296296</v>
      </c>
      <c r="C6739" s="56">
        <f t="shared" si="3"/>
        <v>67360</v>
      </c>
      <c r="D6739" s="56">
        <v>2.721</v>
      </c>
    </row>
    <row r="6740" ht="15.75" customHeight="1">
      <c r="B6740" s="370">
        <f t="shared" si="2"/>
        <v>0.7797453704</v>
      </c>
      <c r="C6740" s="56">
        <f t="shared" si="3"/>
        <v>67370</v>
      </c>
      <c r="D6740" s="56">
        <v>2.776</v>
      </c>
    </row>
    <row r="6741" ht="15.75" customHeight="1">
      <c r="B6741" s="370">
        <f t="shared" si="2"/>
        <v>0.7798611111</v>
      </c>
      <c r="C6741" s="56">
        <f t="shared" si="3"/>
        <v>67380</v>
      </c>
      <c r="D6741" s="56">
        <v>2.696</v>
      </c>
    </row>
    <row r="6742" ht="15.75" customHeight="1">
      <c r="B6742" s="370">
        <f t="shared" si="2"/>
        <v>0.7799768519</v>
      </c>
      <c r="C6742" s="56">
        <f t="shared" si="3"/>
        <v>67390</v>
      </c>
      <c r="D6742" s="56">
        <v>2.719</v>
      </c>
    </row>
    <row r="6743" ht="15.75" customHeight="1">
      <c r="B6743" s="370">
        <f t="shared" si="2"/>
        <v>0.7800925926</v>
      </c>
      <c r="C6743" s="56">
        <f t="shared" si="3"/>
        <v>67400</v>
      </c>
      <c r="D6743" s="56">
        <v>3.145</v>
      </c>
    </row>
    <row r="6744" ht="15.75" customHeight="1">
      <c r="B6744" s="370">
        <f t="shared" si="2"/>
        <v>0.7802083333</v>
      </c>
      <c r="C6744" s="56">
        <f t="shared" si="3"/>
        <v>67410</v>
      </c>
      <c r="D6744" s="56">
        <v>3.236</v>
      </c>
    </row>
    <row r="6745" ht="15.75" customHeight="1">
      <c r="B6745" s="370">
        <f t="shared" si="2"/>
        <v>0.7803240741</v>
      </c>
      <c r="C6745" s="56">
        <f t="shared" si="3"/>
        <v>67420</v>
      </c>
      <c r="D6745" s="56">
        <v>3.338</v>
      </c>
    </row>
    <row r="6746" ht="15.75" customHeight="1">
      <c r="B6746" s="370">
        <f t="shared" si="2"/>
        <v>0.7804398148</v>
      </c>
      <c r="C6746" s="56">
        <f t="shared" si="3"/>
        <v>67430</v>
      </c>
      <c r="D6746" s="56">
        <v>3.227</v>
      </c>
    </row>
    <row r="6747" ht="15.75" customHeight="1">
      <c r="B6747" s="370">
        <f t="shared" si="2"/>
        <v>0.7805555556</v>
      </c>
      <c r="C6747" s="56">
        <f t="shared" si="3"/>
        <v>67440</v>
      </c>
      <c r="D6747" s="56">
        <v>2.801</v>
      </c>
    </row>
    <row r="6748" ht="15.75" customHeight="1">
      <c r="B6748" s="370">
        <f t="shared" si="2"/>
        <v>0.7806712963</v>
      </c>
      <c r="C6748" s="56">
        <f t="shared" si="3"/>
        <v>67450</v>
      </c>
      <c r="D6748" s="56">
        <v>2.394</v>
      </c>
    </row>
    <row r="6749" ht="15.75" customHeight="1">
      <c r="B6749" s="370">
        <f t="shared" si="2"/>
        <v>0.780787037</v>
      </c>
      <c r="C6749" s="56">
        <f t="shared" si="3"/>
        <v>67460</v>
      </c>
      <c r="D6749" s="56">
        <v>2.083</v>
      </c>
    </row>
    <row r="6750" ht="15.75" customHeight="1">
      <c r="B6750" s="370">
        <f t="shared" si="2"/>
        <v>0.7809027778</v>
      </c>
      <c r="C6750" s="56">
        <f t="shared" si="3"/>
        <v>67470</v>
      </c>
      <c r="D6750" s="56">
        <v>2.209</v>
      </c>
    </row>
    <row r="6751" ht="15.75" customHeight="1">
      <c r="B6751" s="370">
        <f t="shared" si="2"/>
        <v>0.7810185185</v>
      </c>
      <c r="C6751" s="56">
        <f t="shared" si="3"/>
        <v>67480</v>
      </c>
      <c r="D6751" s="56">
        <v>2.897</v>
      </c>
    </row>
    <row r="6752" ht="15.75" customHeight="1">
      <c r="B6752" s="370">
        <f t="shared" si="2"/>
        <v>0.7811342593</v>
      </c>
      <c r="C6752" s="56">
        <f t="shared" si="3"/>
        <v>67490</v>
      </c>
      <c r="D6752" s="56">
        <v>3.444</v>
      </c>
    </row>
    <row r="6753" ht="15.75" customHeight="1">
      <c r="B6753" s="370">
        <f t="shared" si="2"/>
        <v>0.78125</v>
      </c>
      <c r="C6753" s="56">
        <f t="shared" si="3"/>
        <v>67500</v>
      </c>
      <c r="D6753" s="56">
        <v>3.496</v>
      </c>
    </row>
    <row r="6754" ht="15.75" customHeight="1">
      <c r="B6754" s="370">
        <f t="shared" si="2"/>
        <v>0.7813657407</v>
      </c>
      <c r="C6754" s="56">
        <f t="shared" si="3"/>
        <v>67510</v>
      </c>
      <c r="D6754" s="56">
        <v>3.457</v>
      </c>
    </row>
    <row r="6755" ht="15.75" customHeight="1">
      <c r="B6755" s="370">
        <f t="shared" si="2"/>
        <v>0.7814814815</v>
      </c>
      <c r="C6755" s="56">
        <f t="shared" si="3"/>
        <v>67520</v>
      </c>
      <c r="D6755" s="56">
        <v>3.347</v>
      </c>
    </row>
    <row r="6756" ht="15.75" customHeight="1">
      <c r="B6756" s="370">
        <f t="shared" si="2"/>
        <v>0.7815972222</v>
      </c>
      <c r="C6756" s="56">
        <f t="shared" si="3"/>
        <v>67530</v>
      </c>
      <c r="D6756" s="56">
        <v>2.693</v>
      </c>
    </row>
    <row r="6757" ht="15.75" customHeight="1">
      <c r="B6757" s="370">
        <f t="shared" si="2"/>
        <v>0.781712963</v>
      </c>
      <c r="C6757" s="56">
        <f t="shared" si="3"/>
        <v>67540</v>
      </c>
      <c r="D6757" s="56">
        <v>2.308</v>
      </c>
    </row>
    <row r="6758" ht="15.75" customHeight="1">
      <c r="B6758" s="370">
        <f t="shared" si="2"/>
        <v>0.7818287037</v>
      </c>
      <c r="C6758" s="56">
        <f t="shared" si="3"/>
        <v>67550</v>
      </c>
      <c r="D6758" s="56">
        <v>2.582</v>
      </c>
    </row>
    <row r="6759" ht="15.75" customHeight="1">
      <c r="B6759" s="370">
        <f t="shared" si="2"/>
        <v>0.7819444444</v>
      </c>
      <c r="C6759" s="56">
        <f t="shared" si="3"/>
        <v>67560</v>
      </c>
      <c r="D6759" s="56">
        <v>2.693</v>
      </c>
    </row>
    <row r="6760" ht="15.75" customHeight="1">
      <c r="B6760" s="370">
        <f t="shared" si="2"/>
        <v>0.7820601852</v>
      </c>
      <c r="C6760" s="56">
        <f t="shared" si="3"/>
        <v>67570</v>
      </c>
      <c r="D6760" s="56">
        <v>2.824</v>
      </c>
    </row>
    <row r="6761" ht="15.75" customHeight="1">
      <c r="B6761" s="370">
        <f t="shared" si="2"/>
        <v>0.7821759259</v>
      </c>
      <c r="C6761" s="56">
        <f t="shared" si="3"/>
        <v>67580</v>
      </c>
      <c r="D6761" s="56">
        <v>2.835</v>
      </c>
    </row>
    <row r="6762" ht="15.75" customHeight="1">
      <c r="B6762" s="370">
        <f t="shared" si="2"/>
        <v>0.7822916667</v>
      </c>
      <c r="C6762" s="56">
        <f t="shared" si="3"/>
        <v>67590</v>
      </c>
      <c r="D6762" s="56">
        <v>2.745</v>
      </c>
    </row>
    <row r="6763" ht="15.75" customHeight="1">
      <c r="B6763" s="370">
        <f t="shared" si="2"/>
        <v>0.7824074074</v>
      </c>
      <c r="C6763" s="56">
        <f t="shared" si="3"/>
        <v>67600</v>
      </c>
      <c r="D6763" s="56">
        <v>3.004</v>
      </c>
    </row>
    <row r="6764" ht="15.75" customHeight="1">
      <c r="B6764" s="370">
        <f t="shared" si="2"/>
        <v>0.7825231481</v>
      </c>
      <c r="C6764" s="56">
        <f t="shared" si="3"/>
        <v>67610</v>
      </c>
      <c r="D6764" s="56">
        <v>3.042</v>
      </c>
    </row>
    <row r="6765" ht="15.75" customHeight="1">
      <c r="B6765" s="370">
        <f t="shared" si="2"/>
        <v>0.7826388889</v>
      </c>
      <c r="C6765" s="56">
        <f t="shared" si="3"/>
        <v>67620</v>
      </c>
      <c r="D6765" s="56">
        <v>3.213</v>
      </c>
    </row>
    <row r="6766" ht="15.75" customHeight="1">
      <c r="B6766" s="370">
        <f t="shared" si="2"/>
        <v>0.7827546296</v>
      </c>
      <c r="C6766" s="56">
        <f t="shared" si="3"/>
        <v>67630</v>
      </c>
      <c r="D6766" s="56">
        <v>3.181</v>
      </c>
    </row>
    <row r="6767" ht="15.75" customHeight="1">
      <c r="B6767" s="370">
        <f t="shared" si="2"/>
        <v>0.7828703704</v>
      </c>
      <c r="C6767" s="56">
        <f t="shared" si="3"/>
        <v>67640</v>
      </c>
      <c r="D6767" s="56">
        <v>2.854</v>
      </c>
    </row>
    <row r="6768" ht="15.75" customHeight="1">
      <c r="B6768" s="370">
        <f t="shared" si="2"/>
        <v>0.7829861111</v>
      </c>
      <c r="C6768" s="56">
        <f t="shared" si="3"/>
        <v>67650</v>
      </c>
      <c r="D6768" s="56">
        <v>2.565</v>
      </c>
    </row>
    <row r="6769" ht="15.75" customHeight="1">
      <c r="B6769" s="370">
        <f t="shared" si="2"/>
        <v>0.7831018519</v>
      </c>
      <c r="C6769" s="56">
        <f t="shared" si="3"/>
        <v>67660</v>
      </c>
      <c r="D6769" s="56">
        <v>2.271</v>
      </c>
    </row>
    <row r="6770" ht="15.75" customHeight="1">
      <c r="B6770" s="370">
        <f t="shared" si="2"/>
        <v>0.7832175926</v>
      </c>
      <c r="C6770" s="56">
        <f t="shared" si="3"/>
        <v>67670</v>
      </c>
      <c r="D6770" s="56">
        <v>2.067</v>
      </c>
    </row>
    <row r="6771" ht="15.75" customHeight="1">
      <c r="B6771" s="370">
        <f t="shared" si="2"/>
        <v>0.7833333333</v>
      </c>
      <c r="C6771" s="56">
        <f t="shared" si="3"/>
        <v>67680</v>
      </c>
      <c r="D6771" s="56">
        <v>2.777</v>
      </c>
    </row>
    <row r="6772" ht="15.75" customHeight="1">
      <c r="B6772" s="370">
        <f t="shared" si="2"/>
        <v>0.7834490741</v>
      </c>
      <c r="C6772" s="56">
        <f t="shared" si="3"/>
        <v>67690</v>
      </c>
      <c r="D6772" s="56">
        <v>3.419</v>
      </c>
    </row>
    <row r="6773" ht="15.75" customHeight="1">
      <c r="B6773" s="370">
        <f t="shared" si="2"/>
        <v>0.7835648148</v>
      </c>
      <c r="C6773" s="56">
        <f t="shared" si="3"/>
        <v>67700</v>
      </c>
      <c r="D6773" s="56">
        <v>3.523</v>
      </c>
    </row>
    <row r="6774" ht="15.75" customHeight="1">
      <c r="B6774" s="370">
        <f t="shared" si="2"/>
        <v>0.7836805556</v>
      </c>
      <c r="C6774" s="56">
        <f t="shared" si="3"/>
        <v>67710</v>
      </c>
      <c r="D6774" s="56">
        <v>3.5</v>
      </c>
    </row>
    <row r="6775" ht="15.75" customHeight="1">
      <c r="B6775" s="370">
        <f t="shared" si="2"/>
        <v>0.7837962963</v>
      </c>
      <c r="C6775" s="56">
        <f t="shared" si="3"/>
        <v>67720</v>
      </c>
      <c r="D6775" s="56">
        <v>3.425</v>
      </c>
    </row>
    <row r="6776" ht="15.75" customHeight="1">
      <c r="B6776" s="370">
        <f t="shared" si="2"/>
        <v>0.783912037</v>
      </c>
      <c r="C6776" s="56">
        <f t="shared" si="3"/>
        <v>67730</v>
      </c>
      <c r="D6776" s="56">
        <v>2.816</v>
      </c>
    </row>
    <row r="6777" ht="15.75" customHeight="1">
      <c r="B6777" s="370">
        <f t="shared" si="2"/>
        <v>0.7840277778</v>
      </c>
      <c r="C6777" s="56">
        <f t="shared" si="3"/>
        <v>67740</v>
      </c>
      <c r="D6777" s="56">
        <v>2.127</v>
      </c>
    </row>
    <row r="6778" ht="15.75" customHeight="1">
      <c r="B6778" s="370">
        <f t="shared" si="2"/>
        <v>0.7841435185</v>
      </c>
      <c r="C6778" s="56">
        <f t="shared" si="3"/>
        <v>67750</v>
      </c>
      <c r="D6778" s="56">
        <v>2.437</v>
      </c>
    </row>
    <row r="6779" ht="15.75" customHeight="1">
      <c r="B6779" s="370">
        <f t="shared" si="2"/>
        <v>0.7842592593</v>
      </c>
      <c r="C6779" s="56">
        <f t="shared" si="3"/>
        <v>67760</v>
      </c>
      <c r="D6779" s="56">
        <v>2.628</v>
      </c>
    </row>
    <row r="6780" ht="15.75" customHeight="1">
      <c r="B6780" s="370">
        <f t="shared" si="2"/>
        <v>0.784375</v>
      </c>
      <c r="C6780" s="56">
        <f t="shared" si="3"/>
        <v>67770</v>
      </c>
      <c r="D6780" s="56">
        <v>2.834</v>
      </c>
    </row>
    <row r="6781" ht="15.75" customHeight="1">
      <c r="B6781" s="370">
        <f t="shared" si="2"/>
        <v>0.7844907407</v>
      </c>
      <c r="C6781" s="56">
        <f t="shared" si="3"/>
        <v>67780</v>
      </c>
      <c r="D6781" s="56">
        <v>2.941</v>
      </c>
    </row>
    <row r="6782" ht="15.75" customHeight="1">
      <c r="B6782" s="370">
        <f t="shared" si="2"/>
        <v>0.7846064815</v>
      </c>
      <c r="C6782" s="56">
        <f t="shared" si="3"/>
        <v>67790</v>
      </c>
      <c r="D6782" s="56">
        <v>3.004</v>
      </c>
    </row>
    <row r="6783" ht="15.75" customHeight="1">
      <c r="B6783" s="370">
        <f t="shared" si="2"/>
        <v>0.7847222222</v>
      </c>
      <c r="C6783" s="56">
        <f t="shared" si="3"/>
        <v>67800</v>
      </c>
      <c r="D6783" s="56">
        <v>2.857</v>
      </c>
    </row>
    <row r="6784" ht="15.75" customHeight="1">
      <c r="B6784" s="370">
        <f t="shared" si="2"/>
        <v>0.784837963</v>
      </c>
      <c r="C6784" s="56">
        <f t="shared" si="3"/>
        <v>67810</v>
      </c>
      <c r="D6784" s="56">
        <v>2.945</v>
      </c>
    </row>
    <row r="6785" ht="15.75" customHeight="1">
      <c r="B6785" s="370">
        <f t="shared" si="2"/>
        <v>0.7849537037</v>
      </c>
      <c r="C6785" s="56">
        <f t="shared" si="3"/>
        <v>67820</v>
      </c>
      <c r="D6785" s="56">
        <v>3.053</v>
      </c>
    </row>
    <row r="6786" ht="15.75" customHeight="1">
      <c r="B6786" s="370">
        <f t="shared" si="2"/>
        <v>0.7850694444</v>
      </c>
      <c r="C6786" s="56">
        <f t="shared" si="3"/>
        <v>67830</v>
      </c>
      <c r="D6786" s="56">
        <v>3.097</v>
      </c>
    </row>
    <row r="6787" ht="15.75" customHeight="1">
      <c r="B6787" s="370">
        <f t="shared" si="2"/>
        <v>0.7851851852</v>
      </c>
      <c r="C6787" s="56">
        <f t="shared" si="3"/>
        <v>67840</v>
      </c>
      <c r="D6787" s="56">
        <v>2.871</v>
      </c>
    </row>
    <row r="6788" ht="15.75" customHeight="1">
      <c r="B6788" s="370">
        <f t="shared" si="2"/>
        <v>0.7853009259</v>
      </c>
      <c r="C6788" s="56">
        <f t="shared" si="3"/>
        <v>67850</v>
      </c>
      <c r="D6788" s="56">
        <v>2.664</v>
      </c>
    </row>
    <row r="6789" ht="15.75" customHeight="1">
      <c r="B6789" s="370">
        <f t="shared" si="2"/>
        <v>0.7854166667</v>
      </c>
      <c r="C6789" s="56">
        <f t="shared" si="3"/>
        <v>67860</v>
      </c>
      <c r="D6789" s="56">
        <v>2.421</v>
      </c>
    </row>
    <row r="6790" ht="15.75" customHeight="1">
      <c r="B6790" s="370">
        <f t="shared" si="2"/>
        <v>0.7855324074</v>
      </c>
      <c r="C6790" s="56">
        <f t="shared" si="3"/>
        <v>67870</v>
      </c>
      <c r="D6790" s="56">
        <v>2.067</v>
      </c>
    </row>
    <row r="6791" ht="15.75" customHeight="1">
      <c r="B6791" s="370">
        <f t="shared" si="2"/>
        <v>0.7856481481</v>
      </c>
      <c r="C6791" s="56">
        <f t="shared" si="3"/>
        <v>67880</v>
      </c>
      <c r="D6791" s="56">
        <v>2.619</v>
      </c>
    </row>
    <row r="6792" ht="15.75" customHeight="1">
      <c r="B6792" s="370">
        <f t="shared" si="2"/>
        <v>0.7857638889</v>
      </c>
      <c r="C6792" s="56">
        <f t="shared" si="3"/>
        <v>67890</v>
      </c>
      <c r="D6792" s="56">
        <v>3.362</v>
      </c>
    </row>
    <row r="6793" ht="15.75" customHeight="1">
      <c r="B6793" s="370">
        <f t="shared" si="2"/>
        <v>0.7858796296</v>
      </c>
      <c r="C6793" s="56">
        <f t="shared" si="3"/>
        <v>67900</v>
      </c>
      <c r="D6793" s="56">
        <v>3.516</v>
      </c>
    </row>
    <row r="6794" ht="15.75" customHeight="1">
      <c r="B6794" s="370">
        <f t="shared" si="2"/>
        <v>0.7859953704</v>
      </c>
      <c r="C6794" s="56">
        <f t="shared" si="3"/>
        <v>67910</v>
      </c>
      <c r="D6794" s="56">
        <v>3.513</v>
      </c>
    </row>
    <row r="6795" ht="15.75" customHeight="1">
      <c r="B6795" s="370">
        <f t="shared" si="2"/>
        <v>0.7861111111</v>
      </c>
      <c r="C6795" s="56">
        <f t="shared" si="3"/>
        <v>67920</v>
      </c>
      <c r="D6795" s="56">
        <v>3.484</v>
      </c>
    </row>
    <row r="6796" ht="15.75" customHeight="1">
      <c r="B6796" s="370">
        <f t="shared" si="2"/>
        <v>0.7862268519</v>
      </c>
      <c r="C6796" s="56">
        <f t="shared" si="3"/>
        <v>67930</v>
      </c>
      <c r="D6796" s="56">
        <v>3.01</v>
      </c>
    </row>
    <row r="6797" ht="15.75" customHeight="1">
      <c r="B6797" s="370">
        <f t="shared" si="2"/>
        <v>0.7863425926</v>
      </c>
      <c r="C6797" s="56">
        <f t="shared" si="3"/>
        <v>67940</v>
      </c>
      <c r="D6797" s="56">
        <v>2.11</v>
      </c>
    </row>
    <row r="6798" ht="15.75" customHeight="1">
      <c r="B6798" s="370">
        <f t="shared" si="2"/>
        <v>0.7864583333</v>
      </c>
      <c r="C6798" s="56">
        <f t="shared" si="3"/>
        <v>67950</v>
      </c>
      <c r="D6798" s="56">
        <v>2.295</v>
      </c>
    </row>
    <row r="6799" ht="15.75" customHeight="1">
      <c r="B6799" s="370">
        <f t="shared" si="2"/>
        <v>0.7865740741</v>
      </c>
      <c r="C6799" s="56">
        <f t="shared" si="3"/>
        <v>67960</v>
      </c>
      <c r="D6799" s="56">
        <v>2.535</v>
      </c>
    </row>
    <row r="6800" ht="15.75" customHeight="1">
      <c r="B6800" s="370">
        <f t="shared" si="2"/>
        <v>0.7866898148</v>
      </c>
      <c r="C6800" s="56">
        <f t="shared" si="3"/>
        <v>67970</v>
      </c>
      <c r="D6800" s="56">
        <v>2.809</v>
      </c>
    </row>
    <row r="6801" ht="15.75" customHeight="1">
      <c r="B6801" s="370">
        <f t="shared" si="2"/>
        <v>0.7868055556</v>
      </c>
      <c r="C6801" s="56">
        <f t="shared" si="3"/>
        <v>67980</v>
      </c>
      <c r="D6801" s="56">
        <v>3.014</v>
      </c>
    </row>
    <row r="6802" ht="15.75" customHeight="1">
      <c r="B6802" s="370">
        <f t="shared" si="2"/>
        <v>0.7869212963</v>
      </c>
      <c r="C6802" s="56">
        <f t="shared" si="3"/>
        <v>67990</v>
      </c>
      <c r="D6802" s="56">
        <v>3.161</v>
      </c>
    </row>
    <row r="6803" ht="15.75" customHeight="1">
      <c r="B6803" s="370">
        <f t="shared" si="2"/>
        <v>0.787037037</v>
      </c>
      <c r="C6803" s="56">
        <f t="shared" si="3"/>
        <v>68000</v>
      </c>
      <c r="D6803" s="56">
        <v>3.026</v>
      </c>
    </row>
    <row r="6804" ht="15.75" customHeight="1">
      <c r="B6804" s="370">
        <f t="shared" si="2"/>
        <v>0.7871527778</v>
      </c>
      <c r="C6804" s="56">
        <f t="shared" si="3"/>
        <v>68010</v>
      </c>
      <c r="D6804" s="56">
        <v>2.887</v>
      </c>
    </row>
    <row r="6805" ht="15.75" customHeight="1">
      <c r="B6805" s="370">
        <f t="shared" si="2"/>
        <v>0.7872685185</v>
      </c>
      <c r="C6805" s="56">
        <f t="shared" si="3"/>
        <v>68020</v>
      </c>
      <c r="D6805" s="56">
        <v>2.897</v>
      </c>
    </row>
    <row r="6806" ht="15.75" customHeight="1">
      <c r="B6806" s="370">
        <f t="shared" si="2"/>
        <v>0.7873842593</v>
      </c>
      <c r="C6806" s="56">
        <f t="shared" si="3"/>
        <v>68030</v>
      </c>
      <c r="D6806" s="56">
        <v>2.97</v>
      </c>
    </row>
    <row r="6807" ht="15.75" customHeight="1">
      <c r="B6807" s="370">
        <f t="shared" si="2"/>
        <v>0.7875</v>
      </c>
      <c r="C6807" s="56">
        <f t="shared" si="3"/>
        <v>68040</v>
      </c>
      <c r="D6807" s="56">
        <v>2.85</v>
      </c>
    </row>
    <row r="6808" ht="15.75" customHeight="1">
      <c r="B6808" s="370">
        <f t="shared" si="2"/>
        <v>0.7876157407</v>
      </c>
      <c r="C6808" s="56">
        <f t="shared" si="3"/>
        <v>68050</v>
      </c>
      <c r="D6808" s="56">
        <v>2.725</v>
      </c>
    </row>
    <row r="6809" ht="15.75" customHeight="1">
      <c r="B6809" s="370">
        <f t="shared" si="2"/>
        <v>0.7877314815</v>
      </c>
      <c r="C6809" s="56">
        <f t="shared" si="3"/>
        <v>68060</v>
      </c>
      <c r="D6809" s="56">
        <v>2.534</v>
      </c>
    </row>
    <row r="6810" ht="15.75" customHeight="1">
      <c r="B6810" s="370">
        <f t="shared" si="2"/>
        <v>0.7878472222</v>
      </c>
      <c r="C6810" s="56">
        <f t="shared" si="3"/>
        <v>68070</v>
      </c>
      <c r="D6810" s="56">
        <v>2.345</v>
      </c>
    </row>
    <row r="6811" ht="15.75" customHeight="1">
      <c r="B6811" s="370">
        <f t="shared" si="2"/>
        <v>0.787962963</v>
      </c>
      <c r="C6811" s="56">
        <f t="shared" si="3"/>
        <v>68080</v>
      </c>
      <c r="D6811" s="56">
        <v>2.355</v>
      </c>
    </row>
    <row r="6812" ht="15.75" customHeight="1">
      <c r="B6812" s="370">
        <f t="shared" si="2"/>
        <v>0.7880787037</v>
      </c>
      <c r="C6812" s="56">
        <f t="shared" si="3"/>
        <v>68090</v>
      </c>
      <c r="D6812" s="56">
        <v>3.264</v>
      </c>
    </row>
    <row r="6813" ht="15.75" customHeight="1">
      <c r="B6813" s="370">
        <f t="shared" si="2"/>
        <v>0.7881944444</v>
      </c>
      <c r="C6813" s="56">
        <f t="shared" si="3"/>
        <v>68100</v>
      </c>
      <c r="D6813" s="56">
        <v>3.488</v>
      </c>
    </row>
    <row r="6814" ht="15.75" customHeight="1">
      <c r="B6814" s="370">
        <f t="shared" si="2"/>
        <v>0.7883101852</v>
      </c>
      <c r="C6814" s="56">
        <f t="shared" si="3"/>
        <v>68110</v>
      </c>
      <c r="D6814" s="56">
        <v>3.501</v>
      </c>
    </row>
    <row r="6815" ht="15.75" customHeight="1">
      <c r="B6815" s="370">
        <f t="shared" si="2"/>
        <v>0.7884259259</v>
      </c>
      <c r="C6815" s="56">
        <f t="shared" si="3"/>
        <v>68120</v>
      </c>
      <c r="D6815" s="56">
        <v>3.507</v>
      </c>
    </row>
    <row r="6816" ht="15.75" customHeight="1">
      <c r="B6816" s="370">
        <f t="shared" si="2"/>
        <v>0.7885416667</v>
      </c>
      <c r="C6816" s="56">
        <f t="shared" si="3"/>
        <v>68130</v>
      </c>
      <c r="D6816" s="56">
        <v>3.121</v>
      </c>
    </row>
    <row r="6817" ht="15.75" customHeight="1">
      <c r="B6817" s="370">
        <f t="shared" si="2"/>
        <v>0.7886574074</v>
      </c>
      <c r="C6817" s="56">
        <f t="shared" si="3"/>
        <v>68140</v>
      </c>
      <c r="D6817" s="56">
        <v>2.35</v>
      </c>
    </row>
    <row r="6818" ht="15.75" customHeight="1">
      <c r="B6818" s="370">
        <f t="shared" si="2"/>
        <v>0.7887731481</v>
      </c>
      <c r="C6818" s="56">
        <f t="shared" si="3"/>
        <v>68150</v>
      </c>
      <c r="D6818" s="56">
        <v>2.072</v>
      </c>
    </row>
    <row r="6819" ht="15.75" customHeight="1">
      <c r="B6819" s="370">
        <f t="shared" si="2"/>
        <v>0.7888888889</v>
      </c>
      <c r="C6819" s="56">
        <f t="shared" si="3"/>
        <v>68160</v>
      </c>
      <c r="D6819" s="56">
        <v>2.404</v>
      </c>
    </row>
    <row r="6820" ht="15.75" customHeight="1">
      <c r="B6820" s="370">
        <f t="shared" si="2"/>
        <v>0.7890046296</v>
      </c>
      <c r="C6820" s="56">
        <f t="shared" si="3"/>
        <v>68170</v>
      </c>
      <c r="D6820" s="56">
        <v>2.749</v>
      </c>
    </row>
    <row r="6821" ht="15.75" customHeight="1">
      <c r="B6821" s="370">
        <f t="shared" si="2"/>
        <v>0.7891203704</v>
      </c>
      <c r="C6821" s="56">
        <f t="shared" si="3"/>
        <v>68180</v>
      </c>
      <c r="D6821" s="56">
        <v>3.052</v>
      </c>
    </row>
    <row r="6822" ht="15.75" customHeight="1">
      <c r="B6822" s="370">
        <f t="shared" si="2"/>
        <v>0.7892361111</v>
      </c>
      <c r="C6822" s="56">
        <f t="shared" si="3"/>
        <v>68190</v>
      </c>
      <c r="D6822" s="56">
        <v>3.273</v>
      </c>
    </row>
    <row r="6823" ht="15.75" customHeight="1">
      <c r="B6823" s="370">
        <f t="shared" si="2"/>
        <v>0.7893518519</v>
      </c>
      <c r="C6823" s="56">
        <f t="shared" si="3"/>
        <v>68200</v>
      </c>
      <c r="D6823" s="56">
        <v>3.133</v>
      </c>
    </row>
    <row r="6824" ht="15.75" customHeight="1">
      <c r="B6824" s="370">
        <f t="shared" si="2"/>
        <v>0.7894675926</v>
      </c>
      <c r="C6824" s="56">
        <f t="shared" si="3"/>
        <v>68210</v>
      </c>
      <c r="D6824" s="56">
        <v>3.099</v>
      </c>
    </row>
    <row r="6825" ht="15.75" customHeight="1">
      <c r="B6825" s="370">
        <f t="shared" si="2"/>
        <v>0.7895833333</v>
      </c>
      <c r="C6825" s="56">
        <f t="shared" si="3"/>
        <v>68220</v>
      </c>
      <c r="D6825" s="56">
        <v>2.788</v>
      </c>
    </row>
    <row r="6826" ht="15.75" customHeight="1">
      <c r="B6826" s="370">
        <f t="shared" si="2"/>
        <v>0.7896990741</v>
      </c>
      <c r="C6826" s="56">
        <f t="shared" si="3"/>
        <v>68230</v>
      </c>
      <c r="D6826" s="56">
        <v>2.831</v>
      </c>
    </row>
    <row r="6827" ht="15.75" customHeight="1">
      <c r="B6827" s="370">
        <f t="shared" si="2"/>
        <v>0.7898148148</v>
      </c>
      <c r="C6827" s="56">
        <f t="shared" si="3"/>
        <v>68240</v>
      </c>
      <c r="D6827" s="56">
        <v>2.795</v>
      </c>
    </row>
    <row r="6828" ht="15.75" customHeight="1">
      <c r="B6828" s="370">
        <f t="shared" si="2"/>
        <v>0.7899305556</v>
      </c>
      <c r="C6828" s="56">
        <f t="shared" si="3"/>
        <v>68250</v>
      </c>
      <c r="D6828" s="56">
        <v>2.755</v>
      </c>
    </row>
    <row r="6829" ht="15.75" customHeight="1">
      <c r="B6829" s="370">
        <f t="shared" si="2"/>
        <v>0.7900462963</v>
      </c>
      <c r="C6829" s="56">
        <f t="shared" si="3"/>
        <v>68260</v>
      </c>
      <c r="D6829" s="56">
        <v>2.642</v>
      </c>
    </row>
    <row r="6830" ht="15.75" customHeight="1">
      <c r="B6830" s="370">
        <f t="shared" si="2"/>
        <v>0.790162037</v>
      </c>
      <c r="C6830" s="56">
        <f t="shared" si="3"/>
        <v>68270</v>
      </c>
      <c r="D6830" s="56">
        <v>2.513</v>
      </c>
    </row>
    <row r="6831" ht="15.75" customHeight="1">
      <c r="B6831" s="370">
        <f t="shared" si="2"/>
        <v>0.7902777778</v>
      </c>
      <c r="C6831" s="56">
        <f t="shared" si="3"/>
        <v>68280</v>
      </c>
      <c r="D6831" s="56">
        <v>2.227</v>
      </c>
    </row>
    <row r="6832" ht="15.75" customHeight="1">
      <c r="B6832" s="370">
        <f t="shared" si="2"/>
        <v>0.7903935185</v>
      </c>
      <c r="C6832" s="56">
        <f t="shared" si="3"/>
        <v>68290</v>
      </c>
      <c r="D6832" s="56">
        <v>3.148</v>
      </c>
    </row>
    <row r="6833" ht="15.75" customHeight="1">
      <c r="B6833" s="370">
        <f t="shared" si="2"/>
        <v>0.7905092593</v>
      </c>
      <c r="C6833" s="56">
        <f t="shared" si="3"/>
        <v>68300</v>
      </c>
      <c r="D6833" s="56">
        <v>3.426</v>
      </c>
    </row>
    <row r="6834" ht="15.75" customHeight="1">
      <c r="B6834" s="370">
        <f t="shared" si="2"/>
        <v>0.790625</v>
      </c>
      <c r="C6834" s="56">
        <f t="shared" si="3"/>
        <v>68310</v>
      </c>
      <c r="D6834" s="56">
        <v>3.459</v>
      </c>
    </row>
    <row r="6835" ht="15.75" customHeight="1">
      <c r="B6835" s="370">
        <f t="shared" si="2"/>
        <v>0.7907407407</v>
      </c>
      <c r="C6835" s="56">
        <f t="shared" si="3"/>
        <v>68320</v>
      </c>
      <c r="D6835" s="56">
        <v>3.491</v>
      </c>
    </row>
    <row r="6836" ht="15.75" customHeight="1">
      <c r="B6836" s="370">
        <f t="shared" si="2"/>
        <v>0.7908564815</v>
      </c>
      <c r="C6836" s="56">
        <f t="shared" si="3"/>
        <v>68330</v>
      </c>
      <c r="D6836" s="56">
        <v>3.193</v>
      </c>
    </row>
    <row r="6837" ht="15.75" customHeight="1">
      <c r="B6837" s="370">
        <f t="shared" si="2"/>
        <v>0.7909722222</v>
      </c>
      <c r="C6837" s="56">
        <f t="shared" si="3"/>
        <v>68340</v>
      </c>
      <c r="D6837" s="56">
        <v>2.473</v>
      </c>
    </row>
    <row r="6838" ht="15.75" customHeight="1">
      <c r="B6838" s="370">
        <f t="shared" si="2"/>
        <v>0.791087963</v>
      </c>
      <c r="C6838" s="56">
        <f t="shared" si="3"/>
        <v>68350</v>
      </c>
      <c r="D6838" s="56">
        <v>1.989</v>
      </c>
    </row>
    <row r="6839" ht="15.75" customHeight="1">
      <c r="B6839" s="370">
        <f t="shared" si="2"/>
        <v>0.7912037037</v>
      </c>
      <c r="C6839" s="56">
        <f t="shared" si="3"/>
        <v>68360</v>
      </c>
      <c r="D6839" s="56">
        <v>2.194</v>
      </c>
    </row>
    <row r="6840" ht="15.75" customHeight="1">
      <c r="B6840" s="370">
        <f t="shared" si="2"/>
        <v>0.7913194444</v>
      </c>
      <c r="C6840" s="56">
        <f t="shared" si="3"/>
        <v>68370</v>
      </c>
      <c r="D6840" s="56">
        <v>2.651</v>
      </c>
    </row>
    <row r="6841" ht="15.75" customHeight="1">
      <c r="B6841" s="370">
        <f t="shared" si="2"/>
        <v>0.7914351852</v>
      </c>
      <c r="C6841" s="56">
        <f t="shared" si="3"/>
        <v>68380</v>
      </c>
      <c r="D6841" s="56">
        <v>3.051</v>
      </c>
    </row>
    <row r="6842" ht="15.75" customHeight="1">
      <c r="B6842" s="370">
        <f t="shared" si="2"/>
        <v>0.7915509259</v>
      </c>
      <c r="C6842" s="56">
        <f t="shared" si="3"/>
        <v>68390</v>
      </c>
      <c r="D6842" s="56">
        <v>3.369</v>
      </c>
    </row>
    <row r="6843" ht="15.75" customHeight="1">
      <c r="B6843" s="370">
        <f t="shared" si="2"/>
        <v>0.7916666667</v>
      </c>
      <c r="C6843" s="56">
        <f t="shared" si="3"/>
        <v>68400</v>
      </c>
      <c r="D6843" s="56">
        <v>3.302</v>
      </c>
    </row>
    <row r="6844" ht="15.75" customHeight="1">
      <c r="B6844" s="370">
        <f t="shared" si="2"/>
        <v>0.7917824074</v>
      </c>
      <c r="C6844" s="56">
        <f t="shared" si="3"/>
        <v>68410</v>
      </c>
      <c r="D6844" s="56">
        <v>3.233</v>
      </c>
    </row>
    <row r="6845" ht="15.75" customHeight="1">
      <c r="B6845" s="370">
        <f t="shared" si="2"/>
        <v>0.7918981481</v>
      </c>
      <c r="C6845" s="56">
        <f t="shared" si="3"/>
        <v>68420</v>
      </c>
      <c r="D6845" s="56">
        <v>3.005</v>
      </c>
    </row>
    <row r="6846" ht="15.75" customHeight="1">
      <c r="B6846" s="370">
        <f t="shared" si="2"/>
        <v>0.7920138889</v>
      </c>
      <c r="C6846" s="56">
        <f t="shared" si="3"/>
        <v>68430</v>
      </c>
      <c r="D6846" s="56">
        <v>2.623</v>
      </c>
    </row>
    <row r="6847" ht="15.75" customHeight="1">
      <c r="B6847" s="370">
        <f t="shared" si="2"/>
        <v>0.7921296296</v>
      </c>
      <c r="C6847" s="56">
        <f t="shared" si="3"/>
        <v>68440</v>
      </c>
      <c r="D6847" s="56">
        <v>2.703</v>
      </c>
    </row>
    <row r="6848" ht="15.75" customHeight="1">
      <c r="B6848" s="370">
        <f t="shared" si="2"/>
        <v>0.7922453704</v>
      </c>
      <c r="C6848" s="56">
        <f t="shared" si="3"/>
        <v>68450</v>
      </c>
      <c r="D6848" s="56">
        <v>2.748</v>
      </c>
    </row>
    <row r="6849" ht="15.75" customHeight="1">
      <c r="B6849" s="370">
        <f t="shared" si="2"/>
        <v>0.7923611111</v>
      </c>
      <c r="C6849" s="56">
        <f t="shared" si="3"/>
        <v>68460</v>
      </c>
      <c r="D6849" s="56">
        <v>2.699</v>
      </c>
    </row>
    <row r="6850" ht="15.75" customHeight="1">
      <c r="B6850" s="370">
        <f t="shared" si="2"/>
        <v>0.7924768519</v>
      </c>
      <c r="C6850" s="56">
        <f t="shared" si="3"/>
        <v>68470</v>
      </c>
      <c r="D6850" s="56">
        <v>2.644</v>
      </c>
    </row>
    <row r="6851" ht="15.75" customHeight="1">
      <c r="B6851" s="370">
        <f t="shared" si="2"/>
        <v>0.7925925926</v>
      </c>
      <c r="C6851" s="56">
        <f t="shared" si="3"/>
        <v>68480</v>
      </c>
      <c r="D6851" s="56">
        <v>2.347</v>
      </c>
    </row>
    <row r="6852" ht="15.75" customHeight="1">
      <c r="B6852" s="370">
        <f t="shared" si="2"/>
        <v>0.7927083333</v>
      </c>
      <c r="C6852" s="56">
        <f t="shared" si="3"/>
        <v>68490</v>
      </c>
      <c r="D6852" s="56">
        <v>2.988</v>
      </c>
    </row>
    <row r="6853" ht="15.75" customHeight="1">
      <c r="B6853" s="370">
        <f t="shared" si="2"/>
        <v>0.7928240741</v>
      </c>
      <c r="C6853" s="56">
        <f t="shared" si="3"/>
        <v>68500</v>
      </c>
      <c r="D6853" s="56">
        <v>3.339</v>
      </c>
    </row>
    <row r="6854" ht="15.75" customHeight="1">
      <c r="B6854" s="370">
        <f t="shared" si="2"/>
        <v>0.7929398148</v>
      </c>
      <c r="C6854" s="56">
        <f t="shared" si="3"/>
        <v>68510</v>
      </c>
      <c r="D6854" s="56">
        <v>3.384</v>
      </c>
    </row>
    <row r="6855" ht="15.75" customHeight="1">
      <c r="B6855" s="370">
        <f t="shared" si="2"/>
        <v>0.7930555556</v>
      </c>
      <c r="C6855" s="56">
        <f t="shared" si="3"/>
        <v>68520</v>
      </c>
      <c r="D6855" s="56">
        <v>3.454</v>
      </c>
    </row>
    <row r="6856" ht="15.75" customHeight="1">
      <c r="B6856" s="370">
        <f t="shared" si="2"/>
        <v>0.7931712963</v>
      </c>
      <c r="C6856" s="56">
        <f t="shared" si="3"/>
        <v>68530</v>
      </c>
      <c r="D6856" s="56">
        <v>3.237</v>
      </c>
    </row>
    <row r="6857" ht="15.75" customHeight="1">
      <c r="B6857" s="370">
        <f t="shared" si="2"/>
        <v>0.793287037</v>
      </c>
      <c r="C6857" s="56">
        <f t="shared" si="3"/>
        <v>68540</v>
      </c>
      <c r="D6857" s="56">
        <v>2.66</v>
      </c>
    </row>
    <row r="6858" ht="15.75" customHeight="1">
      <c r="B6858" s="370">
        <f t="shared" si="2"/>
        <v>0.7934027778</v>
      </c>
      <c r="C6858" s="56">
        <f t="shared" si="3"/>
        <v>68550</v>
      </c>
      <c r="D6858" s="56">
        <v>2.168</v>
      </c>
    </row>
    <row r="6859" ht="15.75" customHeight="1">
      <c r="B6859" s="370">
        <f t="shared" si="2"/>
        <v>0.7935185185</v>
      </c>
      <c r="C6859" s="56">
        <f t="shared" si="3"/>
        <v>68560</v>
      </c>
      <c r="D6859" s="56">
        <v>2.052</v>
      </c>
    </row>
    <row r="6860" ht="15.75" customHeight="1">
      <c r="B6860" s="370">
        <f t="shared" si="2"/>
        <v>0.7936342593</v>
      </c>
      <c r="C6860" s="56">
        <f t="shared" si="3"/>
        <v>68570</v>
      </c>
      <c r="D6860" s="56">
        <v>2.523</v>
      </c>
    </row>
    <row r="6861" ht="15.75" customHeight="1">
      <c r="B6861" s="370">
        <f t="shared" si="2"/>
        <v>0.79375</v>
      </c>
      <c r="C6861" s="56">
        <f t="shared" si="3"/>
        <v>68580</v>
      </c>
      <c r="D6861" s="56">
        <v>3.015</v>
      </c>
    </row>
    <row r="6862" ht="15.75" customHeight="1">
      <c r="B6862" s="370">
        <f t="shared" si="2"/>
        <v>0.7938657407</v>
      </c>
      <c r="C6862" s="56">
        <f t="shared" si="3"/>
        <v>68590</v>
      </c>
      <c r="D6862" s="56">
        <v>3.423</v>
      </c>
    </row>
    <row r="6863" ht="15.75" customHeight="1">
      <c r="B6863" s="370">
        <f t="shared" si="2"/>
        <v>0.7939814815</v>
      </c>
      <c r="C6863" s="56">
        <f t="shared" si="3"/>
        <v>68600</v>
      </c>
      <c r="D6863" s="56">
        <v>3.401</v>
      </c>
    </row>
    <row r="6864" ht="15.75" customHeight="1">
      <c r="B6864" s="370">
        <f t="shared" si="2"/>
        <v>0.7940972222</v>
      </c>
      <c r="C6864" s="56">
        <f t="shared" si="3"/>
        <v>68610</v>
      </c>
      <c r="D6864" s="56">
        <v>3.341</v>
      </c>
    </row>
    <row r="6865" ht="15.75" customHeight="1">
      <c r="B6865" s="370">
        <f t="shared" si="2"/>
        <v>0.794212963</v>
      </c>
      <c r="C6865" s="56">
        <f t="shared" si="3"/>
        <v>68620</v>
      </c>
      <c r="D6865" s="56">
        <v>3.122</v>
      </c>
    </row>
    <row r="6866" ht="15.75" customHeight="1">
      <c r="B6866" s="370">
        <f t="shared" si="2"/>
        <v>0.7943287037</v>
      </c>
      <c r="C6866" s="56">
        <f t="shared" si="3"/>
        <v>68630</v>
      </c>
      <c r="D6866" s="56">
        <v>2.45</v>
      </c>
    </row>
    <row r="6867" ht="15.75" customHeight="1">
      <c r="B6867" s="370">
        <f t="shared" si="2"/>
        <v>0.7944444444</v>
      </c>
      <c r="C6867" s="56">
        <f t="shared" si="3"/>
        <v>68640</v>
      </c>
      <c r="D6867" s="56">
        <v>2.559</v>
      </c>
    </row>
    <row r="6868" ht="15.75" customHeight="1">
      <c r="B6868" s="370">
        <f t="shared" si="2"/>
        <v>0.7945601852</v>
      </c>
      <c r="C6868" s="56">
        <f t="shared" si="3"/>
        <v>68650</v>
      </c>
      <c r="D6868" s="56">
        <v>2.705</v>
      </c>
    </row>
    <row r="6869" ht="15.75" customHeight="1">
      <c r="B6869" s="370">
        <f t="shared" si="2"/>
        <v>0.7946759259</v>
      </c>
      <c r="C6869" s="56">
        <f t="shared" si="3"/>
        <v>68660</v>
      </c>
      <c r="D6869" s="56">
        <v>2.722</v>
      </c>
    </row>
    <row r="6870" ht="15.75" customHeight="1">
      <c r="B6870" s="370">
        <f t="shared" si="2"/>
        <v>0.7947916667</v>
      </c>
      <c r="C6870" s="56">
        <f t="shared" si="3"/>
        <v>68670</v>
      </c>
      <c r="D6870" s="56">
        <v>0.661</v>
      </c>
    </row>
    <row r="6871" ht="15.75" customHeight="1">
      <c r="B6871" s="370">
        <f t="shared" si="2"/>
        <v>0.7949074074</v>
      </c>
      <c r="C6871" s="56">
        <f t="shared" si="3"/>
        <v>68680</v>
      </c>
      <c r="D6871" s="56">
        <v>0.0</v>
      </c>
    </row>
    <row r="6872" ht="15.75" customHeight="1">
      <c r="B6872" s="370">
        <f t="shared" si="2"/>
        <v>0.7950231481</v>
      </c>
      <c r="C6872" s="56">
        <f t="shared" si="3"/>
        <v>68690</v>
      </c>
      <c r="D6872" s="56">
        <v>0.0</v>
      </c>
    </row>
    <row r="6873" ht="15.75" customHeight="1">
      <c r="B6873" s="370">
        <f t="shared" si="2"/>
        <v>0.7951388889</v>
      </c>
      <c r="C6873" s="56">
        <f t="shared" si="3"/>
        <v>68700</v>
      </c>
      <c r="D6873" s="56">
        <v>0.0</v>
      </c>
    </row>
    <row r="6874" ht="15.75" customHeight="1">
      <c r="B6874" s="370">
        <f t="shared" si="2"/>
        <v>0.7952546296</v>
      </c>
      <c r="C6874" s="56">
        <f t="shared" si="3"/>
        <v>68710</v>
      </c>
      <c r="D6874" s="56">
        <v>0.0</v>
      </c>
    </row>
    <row r="6875" ht="15.75" customHeight="1">
      <c r="B6875" s="370">
        <f t="shared" si="2"/>
        <v>0.7953703704</v>
      </c>
      <c r="C6875" s="56">
        <f t="shared" si="3"/>
        <v>68720</v>
      </c>
      <c r="D6875" s="56">
        <v>0.0</v>
      </c>
    </row>
    <row r="6876" ht="15.75" customHeight="1">
      <c r="B6876" s="370">
        <f t="shared" si="2"/>
        <v>0.7954861111</v>
      </c>
      <c r="C6876" s="56">
        <f t="shared" si="3"/>
        <v>68730</v>
      </c>
      <c r="D6876" s="56">
        <v>0.0</v>
      </c>
    </row>
    <row r="6877" ht="15.75" customHeight="1">
      <c r="B6877" s="370">
        <f t="shared" si="2"/>
        <v>0.7956018519</v>
      </c>
      <c r="C6877" s="56">
        <f t="shared" si="3"/>
        <v>68740</v>
      </c>
      <c r="D6877" s="56">
        <v>0.0</v>
      </c>
    </row>
    <row r="6878" ht="15.75" customHeight="1">
      <c r="B6878" s="370">
        <f t="shared" si="2"/>
        <v>0.7957175926</v>
      </c>
      <c r="C6878" s="56">
        <f t="shared" si="3"/>
        <v>68750</v>
      </c>
      <c r="D6878" s="56">
        <v>0.0</v>
      </c>
    </row>
    <row r="6879" ht="15.75" customHeight="1">
      <c r="B6879" s="370">
        <f t="shared" si="2"/>
        <v>0.7958333333</v>
      </c>
      <c r="C6879" s="56">
        <f t="shared" si="3"/>
        <v>68760</v>
      </c>
      <c r="D6879" s="56">
        <v>0.0</v>
      </c>
    </row>
    <row r="6880" ht="15.75" customHeight="1">
      <c r="B6880" s="370">
        <f t="shared" si="2"/>
        <v>0.7959490741</v>
      </c>
      <c r="C6880" s="56">
        <f t="shared" si="3"/>
        <v>68770</v>
      </c>
      <c r="D6880" s="56">
        <v>0.0</v>
      </c>
    </row>
    <row r="6881" ht="15.75" customHeight="1">
      <c r="B6881" s="370">
        <f t="shared" si="2"/>
        <v>0.7960648148</v>
      </c>
      <c r="C6881" s="56">
        <f t="shared" si="3"/>
        <v>68780</v>
      </c>
      <c r="D6881" s="56">
        <v>0.0</v>
      </c>
    </row>
    <row r="6882" ht="15.75" customHeight="1">
      <c r="B6882" s="370">
        <f t="shared" si="2"/>
        <v>0.7961805556</v>
      </c>
      <c r="C6882" s="56">
        <f t="shared" si="3"/>
        <v>68790</v>
      </c>
      <c r="D6882" s="56">
        <v>0.0</v>
      </c>
    </row>
    <row r="6883" ht="15.75" customHeight="1">
      <c r="B6883" s="370">
        <f t="shared" si="2"/>
        <v>0.7962962963</v>
      </c>
      <c r="C6883" s="56">
        <f t="shared" si="3"/>
        <v>68800</v>
      </c>
      <c r="D6883" s="56">
        <v>0.0</v>
      </c>
    </row>
    <row r="6884" ht="15.75" customHeight="1">
      <c r="B6884" s="370">
        <f t="shared" si="2"/>
        <v>0.796412037</v>
      </c>
      <c r="C6884" s="56">
        <f t="shared" si="3"/>
        <v>68810</v>
      </c>
      <c r="D6884" s="56">
        <v>0.0</v>
      </c>
    </row>
    <row r="6885" ht="15.75" customHeight="1">
      <c r="B6885" s="370">
        <f t="shared" si="2"/>
        <v>0.7965277778</v>
      </c>
      <c r="C6885" s="56">
        <f t="shared" si="3"/>
        <v>68820</v>
      </c>
      <c r="D6885" s="56">
        <v>0.0</v>
      </c>
    </row>
    <row r="6886" ht="15.75" customHeight="1">
      <c r="B6886" s="370">
        <f t="shared" si="2"/>
        <v>0.7966435185</v>
      </c>
      <c r="C6886" s="56">
        <f t="shared" si="3"/>
        <v>68830</v>
      </c>
      <c r="D6886" s="56">
        <v>0.0</v>
      </c>
    </row>
    <row r="6887" ht="15.75" customHeight="1">
      <c r="B6887" s="370">
        <f t="shared" si="2"/>
        <v>0.7967592593</v>
      </c>
      <c r="C6887" s="56">
        <f t="shared" si="3"/>
        <v>68840</v>
      </c>
      <c r="D6887" s="56">
        <v>0.0</v>
      </c>
    </row>
    <row r="6888" ht="15.75" customHeight="1">
      <c r="B6888" s="370">
        <f t="shared" si="2"/>
        <v>0.796875</v>
      </c>
      <c r="C6888" s="56">
        <f t="shared" si="3"/>
        <v>68850</v>
      </c>
      <c r="D6888" s="56">
        <v>0.0</v>
      </c>
    </row>
    <row r="6889" ht="15.75" customHeight="1">
      <c r="B6889" s="370">
        <f t="shared" si="2"/>
        <v>0.7969907407</v>
      </c>
      <c r="C6889" s="56">
        <f t="shared" si="3"/>
        <v>68860</v>
      </c>
      <c r="D6889" s="56">
        <v>0.0</v>
      </c>
    </row>
    <row r="6890" ht="15.75" customHeight="1">
      <c r="B6890" s="370">
        <f t="shared" si="2"/>
        <v>0.7971064815</v>
      </c>
      <c r="C6890" s="56">
        <f t="shared" si="3"/>
        <v>68870</v>
      </c>
      <c r="D6890" s="56">
        <v>0.0</v>
      </c>
    </row>
    <row r="6891" ht="15.75" customHeight="1">
      <c r="B6891" s="370">
        <f t="shared" si="2"/>
        <v>0.7972222222</v>
      </c>
      <c r="C6891" s="56">
        <f t="shared" si="3"/>
        <v>68880</v>
      </c>
      <c r="D6891" s="56">
        <v>0.0</v>
      </c>
    </row>
    <row r="6892" ht="15.75" customHeight="1">
      <c r="B6892" s="370">
        <f t="shared" si="2"/>
        <v>0.797337963</v>
      </c>
      <c r="C6892" s="56">
        <f t="shared" si="3"/>
        <v>68890</v>
      </c>
      <c r="D6892" s="56">
        <v>0.0</v>
      </c>
    </row>
    <row r="6893" ht="15.75" customHeight="1">
      <c r="B6893" s="370">
        <f t="shared" si="2"/>
        <v>0.7974537037</v>
      </c>
      <c r="C6893" s="56">
        <f t="shared" si="3"/>
        <v>68900</v>
      </c>
      <c r="D6893" s="56">
        <v>0.0</v>
      </c>
    </row>
    <row r="6894" ht="15.75" customHeight="1">
      <c r="B6894" s="370">
        <f t="shared" si="2"/>
        <v>0.7975694444</v>
      </c>
      <c r="C6894" s="56">
        <f t="shared" si="3"/>
        <v>68910</v>
      </c>
      <c r="D6894" s="56">
        <v>0.0</v>
      </c>
    </row>
    <row r="6895" ht="15.75" customHeight="1">
      <c r="B6895" s="370">
        <f t="shared" si="2"/>
        <v>0.7976851852</v>
      </c>
      <c r="C6895" s="56">
        <f t="shared" si="3"/>
        <v>68920</v>
      </c>
      <c r="D6895" s="56">
        <v>0.0</v>
      </c>
    </row>
    <row r="6896" ht="15.75" customHeight="1">
      <c r="B6896" s="370">
        <f t="shared" si="2"/>
        <v>0.7978009259</v>
      </c>
      <c r="C6896" s="56">
        <f t="shared" si="3"/>
        <v>68930</v>
      </c>
      <c r="D6896" s="56">
        <v>0.0</v>
      </c>
    </row>
    <row r="6897" ht="15.75" customHeight="1">
      <c r="B6897" s="370">
        <f t="shared" si="2"/>
        <v>0.7979166667</v>
      </c>
      <c r="C6897" s="56">
        <f t="shared" si="3"/>
        <v>68940</v>
      </c>
      <c r="D6897" s="56">
        <v>0.0</v>
      </c>
    </row>
    <row r="6898" ht="15.75" customHeight="1">
      <c r="B6898" s="370">
        <f t="shared" si="2"/>
        <v>0.7980324074</v>
      </c>
      <c r="C6898" s="56">
        <f t="shared" si="3"/>
        <v>68950</v>
      </c>
      <c r="D6898" s="56">
        <v>0.0</v>
      </c>
    </row>
    <row r="6899" ht="15.75" customHeight="1">
      <c r="B6899" s="370">
        <f t="shared" si="2"/>
        <v>0.7981481481</v>
      </c>
      <c r="C6899" s="56">
        <f t="shared" si="3"/>
        <v>68960</v>
      </c>
      <c r="D6899" s="56">
        <v>0.0</v>
      </c>
    </row>
    <row r="6900" ht="15.75" customHeight="1">
      <c r="B6900" s="370">
        <f t="shared" si="2"/>
        <v>0.7982638889</v>
      </c>
      <c r="C6900" s="56">
        <f t="shared" si="3"/>
        <v>68970</v>
      </c>
      <c r="D6900" s="56">
        <v>0.0</v>
      </c>
    </row>
    <row r="6901" ht="15.75" customHeight="1">
      <c r="B6901" s="370">
        <f t="shared" si="2"/>
        <v>0.7983796296</v>
      </c>
      <c r="C6901" s="56">
        <f t="shared" si="3"/>
        <v>68980</v>
      </c>
      <c r="D6901" s="56">
        <v>0.0</v>
      </c>
    </row>
    <row r="6902" ht="15.75" customHeight="1">
      <c r="B6902" s="370">
        <f t="shared" si="2"/>
        <v>0.7984953704</v>
      </c>
      <c r="C6902" s="56">
        <f t="shared" si="3"/>
        <v>68990</v>
      </c>
      <c r="D6902" s="56">
        <v>0.0</v>
      </c>
    </row>
    <row r="6903" ht="15.75" customHeight="1">
      <c r="B6903" s="370">
        <f t="shared" si="2"/>
        <v>0.7986111111</v>
      </c>
      <c r="C6903" s="56">
        <f t="shared" si="3"/>
        <v>69000</v>
      </c>
      <c r="D6903" s="56">
        <v>0.0</v>
      </c>
    </row>
    <row r="6904" ht="15.75" customHeight="1">
      <c r="B6904" s="370">
        <f t="shared" si="2"/>
        <v>0.7987268519</v>
      </c>
      <c r="C6904" s="56">
        <f t="shared" si="3"/>
        <v>69010</v>
      </c>
      <c r="D6904" s="56">
        <v>0.0</v>
      </c>
    </row>
    <row r="6905" ht="15.75" customHeight="1">
      <c r="B6905" s="370">
        <f t="shared" si="2"/>
        <v>0.7988425926</v>
      </c>
      <c r="C6905" s="56">
        <f t="shared" si="3"/>
        <v>69020</v>
      </c>
      <c r="D6905" s="56">
        <v>0.0</v>
      </c>
    </row>
    <row r="6906" ht="15.75" customHeight="1">
      <c r="B6906" s="370">
        <f t="shared" si="2"/>
        <v>0.7989583333</v>
      </c>
      <c r="C6906" s="56">
        <f t="shared" si="3"/>
        <v>69030</v>
      </c>
      <c r="D6906" s="56">
        <v>0.0</v>
      </c>
    </row>
    <row r="6907" ht="15.75" customHeight="1">
      <c r="B6907" s="370">
        <f t="shared" si="2"/>
        <v>0.7990740741</v>
      </c>
      <c r="C6907" s="56">
        <f t="shared" si="3"/>
        <v>69040</v>
      </c>
      <c r="D6907" s="56">
        <v>0.0</v>
      </c>
    </row>
    <row r="6908" ht="15.75" customHeight="1">
      <c r="B6908" s="370">
        <f t="shared" si="2"/>
        <v>0.7991898148</v>
      </c>
      <c r="C6908" s="56">
        <f t="shared" si="3"/>
        <v>69050</v>
      </c>
      <c r="D6908" s="56">
        <v>0.0</v>
      </c>
    </row>
    <row r="6909" ht="15.75" customHeight="1">
      <c r="B6909" s="370">
        <f t="shared" si="2"/>
        <v>0.7993055556</v>
      </c>
      <c r="C6909" s="56">
        <f t="shared" si="3"/>
        <v>69060</v>
      </c>
      <c r="D6909" s="56">
        <v>0.0</v>
      </c>
    </row>
    <row r="6910" ht="15.75" customHeight="1">
      <c r="B6910" s="370">
        <f t="shared" si="2"/>
        <v>0.7994212963</v>
      </c>
      <c r="C6910" s="56">
        <f t="shared" si="3"/>
        <v>69070</v>
      </c>
      <c r="D6910" s="56">
        <v>0.0</v>
      </c>
    </row>
    <row r="6911" ht="15.75" customHeight="1">
      <c r="B6911" s="370">
        <f t="shared" si="2"/>
        <v>0.799537037</v>
      </c>
      <c r="C6911" s="56">
        <f t="shared" si="3"/>
        <v>69080</v>
      </c>
      <c r="D6911" s="56">
        <v>0.0</v>
      </c>
    </row>
    <row r="6912" ht="15.75" customHeight="1">
      <c r="B6912" s="370">
        <f t="shared" si="2"/>
        <v>0.7996527778</v>
      </c>
      <c r="C6912" s="56">
        <f t="shared" si="3"/>
        <v>69090</v>
      </c>
      <c r="D6912" s="56">
        <v>0.0</v>
      </c>
    </row>
    <row r="6913" ht="15.75" customHeight="1">
      <c r="B6913" s="370">
        <f t="shared" si="2"/>
        <v>0.7997685185</v>
      </c>
      <c r="C6913" s="56">
        <f t="shared" si="3"/>
        <v>69100</v>
      </c>
      <c r="D6913" s="56">
        <v>0.0</v>
      </c>
    </row>
    <row r="6914" ht="15.75" customHeight="1">
      <c r="B6914" s="370">
        <f t="shared" si="2"/>
        <v>0.7998842593</v>
      </c>
      <c r="C6914" s="56">
        <f t="shared" si="3"/>
        <v>69110</v>
      </c>
      <c r="D6914" s="56">
        <v>0.0</v>
      </c>
    </row>
    <row r="6915" ht="15.75" customHeight="1">
      <c r="B6915" s="370">
        <f t="shared" si="2"/>
        <v>0.8</v>
      </c>
      <c r="C6915" s="56">
        <f t="shared" si="3"/>
        <v>69120</v>
      </c>
      <c r="D6915" s="56">
        <v>0.0</v>
      </c>
    </row>
    <row r="6916" ht="15.75" customHeight="1">
      <c r="B6916" s="370">
        <f t="shared" si="2"/>
        <v>0.8001157407</v>
      </c>
      <c r="C6916" s="56">
        <f t="shared" si="3"/>
        <v>69130</v>
      </c>
      <c r="D6916" s="56">
        <v>0.0</v>
      </c>
    </row>
    <row r="6917" ht="15.75" customHeight="1">
      <c r="B6917" s="370">
        <f t="shared" si="2"/>
        <v>0.8002314815</v>
      </c>
      <c r="C6917" s="56">
        <f t="shared" si="3"/>
        <v>69140</v>
      </c>
      <c r="D6917" s="56">
        <v>0.0</v>
      </c>
    </row>
    <row r="6918" ht="15.75" customHeight="1">
      <c r="B6918" s="370">
        <f t="shared" si="2"/>
        <v>0.8003472222</v>
      </c>
      <c r="C6918" s="56">
        <f t="shared" si="3"/>
        <v>69150</v>
      </c>
      <c r="D6918" s="56">
        <v>0.0</v>
      </c>
    </row>
    <row r="6919" ht="15.75" customHeight="1">
      <c r="B6919" s="370">
        <f t="shared" si="2"/>
        <v>0.800462963</v>
      </c>
      <c r="C6919" s="56">
        <f t="shared" si="3"/>
        <v>69160</v>
      </c>
      <c r="D6919" s="56">
        <v>0.0</v>
      </c>
    </row>
    <row r="6920" ht="15.75" customHeight="1">
      <c r="B6920" s="370">
        <f t="shared" si="2"/>
        <v>0.8005787037</v>
      </c>
      <c r="C6920" s="56">
        <f t="shared" si="3"/>
        <v>69170</v>
      </c>
      <c r="D6920" s="56">
        <v>0.0</v>
      </c>
    </row>
    <row r="6921" ht="15.75" customHeight="1">
      <c r="B6921" s="370">
        <f t="shared" si="2"/>
        <v>0.8006944444</v>
      </c>
      <c r="C6921" s="56">
        <f t="shared" si="3"/>
        <v>69180</v>
      </c>
      <c r="D6921" s="56">
        <v>0.0</v>
      </c>
    </row>
    <row r="6922" ht="15.75" customHeight="1">
      <c r="B6922" s="370">
        <f t="shared" si="2"/>
        <v>0.8008101852</v>
      </c>
      <c r="C6922" s="56">
        <f t="shared" si="3"/>
        <v>69190</v>
      </c>
      <c r="D6922" s="56">
        <v>0.0</v>
      </c>
    </row>
    <row r="6923" ht="15.75" customHeight="1">
      <c r="B6923" s="370">
        <f t="shared" si="2"/>
        <v>0.8009259259</v>
      </c>
      <c r="C6923" s="56">
        <f t="shared" si="3"/>
        <v>69200</v>
      </c>
      <c r="D6923" s="56">
        <v>0.0</v>
      </c>
    </row>
    <row r="6924" ht="15.75" customHeight="1">
      <c r="B6924" s="370">
        <f t="shared" si="2"/>
        <v>0.8010416667</v>
      </c>
      <c r="C6924" s="56">
        <f t="shared" si="3"/>
        <v>69210</v>
      </c>
      <c r="D6924" s="56">
        <v>0.0</v>
      </c>
    </row>
    <row r="6925" ht="15.75" customHeight="1">
      <c r="B6925" s="370">
        <f t="shared" si="2"/>
        <v>0.8011574074</v>
      </c>
      <c r="C6925" s="56">
        <f t="shared" si="3"/>
        <v>69220</v>
      </c>
      <c r="D6925" s="56">
        <v>0.0</v>
      </c>
    </row>
    <row r="6926" ht="15.75" customHeight="1">
      <c r="B6926" s="370">
        <f t="shared" si="2"/>
        <v>0.8012731481</v>
      </c>
      <c r="C6926" s="56">
        <f t="shared" si="3"/>
        <v>69230</v>
      </c>
      <c r="D6926" s="56">
        <v>0.0</v>
      </c>
    </row>
    <row r="6927" ht="15.75" customHeight="1">
      <c r="B6927" s="370">
        <f t="shared" si="2"/>
        <v>0.8013888889</v>
      </c>
      <c r="C6927" s="56">
        <f t="shared" si="3"/>
        <v>69240</v>
      </c>
      <c r="D6927" s="56">
        <v>0.0</v>
      </c>
    </row>
    <row r="6928" ht="15.75" customHeight="1">
      <c r="B6928" s="370">
        <f t="shared" si="2"/>
        <v>0.8015046296</v>
      </c>
      <c r="C6928" s="56">
        <f t="shared" si="3"/>
        <v>69250</v>
      </c>
      <c r="D6928" s="56">
        <v>0.0</v>
      </c>
    </row>
    <row r="6929" ht="15.75" customHeight="1">
      <c r="B6929" s="370">
        <f t="shared" si="2"/>
        <v>0.8016203704</v>
      </c>
      <c r="C6929" s="56">
        <f t="shared" si="3"/>
        <v>69260</v>
      </c>
      <c r="D6929" s="56">
        <v>0.0</v>
      </c>
    </row>
    <row r="6930" ht="15.75" customHeight="1">
      <c r="B6930" s="370">
        <f t="shared" si="2"/>
        <v>0.8017361111</v>
      </c>
      <c r="C6930" s="56">
        <f t="shared" si="3"/>
        <v>69270</v>
      </c>
      <c r="D6930" s="56">
        <v>0.0</v>
      </c>
    </row>
    <row r="6931" ht="15.75" customHeight="1">
      <c r="B6931" s="370">
        <f t="shared" si="2"/>
        <v>0.8018518519</v>
      </c>
      <c r="C6931" s="56">
        <f t="shared" si="3"/>
        <v>69280</v>
      </c>
      <c r="D6931" s="56">
        <v>0.0</v>
      </c>
    </row>
    <row r="6932" ht="15.75" customHeight="1">
      <c r="B6932" s="370">
        <f t="shared" si="2"/>
        <v>0.8019675926</v>
      </c>
      <c r="C6932" s="56">
        <f t="shared" si="3"/>
        <v>69290</v>
      </c>
      <c r="D6932" s="56">
        <v>0.0</v>
      </c>
    </row>
    <row r="6933" ht="15.75" customHeight="1">
      <c r="B6933" s="370">
        <f t="shared" si="2"/>
        <v>0.8020833333</v>
      </c>
      <c r="C6933" s="56">
        <f t="shared" si="3"/>
        <v>69300</v>
      </c>
      <c r="D6933" s="56">
        <v>0.0</v>
      </c>
    </row>
    <row r="6934" ht="15.75" customHeight="1">
      <c r="B6934" s="370">
        <f t="shared" si="2"/>
        <v>0.8021990741</v>
      </c>
      <c r="C6934" s="56">
        <f t="shared" si="3"/>
        <v>69310</v>
      </c>
      <c r="D6934" s="56">
        <v>0.0</v>
      </c>
    </row>
    <row r="6935" ht="15.75" customHeight="1">
      <c r="B6935" s="370">
        <f t="shared" si="2"/>
        <v>0.8023148148</v>
      </c>
      <c r="C6935" s="56">
        <f t="shared" si="3"/>
        <v>69320</v>
      </c>
      <c r="D6935" s="56">
        <v>0.0</v>
      </c>
    </row>
    <row r="6936" ht="15.75" customHeight="1">
      <c r="B6936" s="370">
        <f t="shared" si="2"/>
        <v>0.8024305556</v>
      </c>
      <c r="C6936" s="56">
        <f t="shared" si="3"/>
        <v>69330</v>
      </c>
      <c r="D6936" s="56">
        <v>0.0</v>
      </c>
    </row>
    <row r="6937" ht="15.75" customHeight="1">
      <c r="B6937" s="370">
        <f t="shared" si="2"/>
        <v>0.8025462963</v>
      </c>
      <c r="C6937" s="56">
        <f t="shared" si="3"/>
        <v>69340</v>
      </c>
      <c r="D6937" s="56">
        <v>0.0</v>
      </c>
    </row>
    <row r="6938" ht="15.75" customHeight="1">
      <c r="B6938" s="370">
        <f t="shared" si="2"/>
        <v>0.802662037</v>
      </c>
      <c r="C6938" s="56">
        <f t="shared" si="3"/>
        <v>69350</v>
      </c>
      <c r="D6938" s="56">
        <v>0.0</v>
      </c>
    </row>
    <row r="6939" ht="15.75" customHeight="1">
      <c r="B6939" s="370">
        <f t="shared" si="2"/>
        <v>0.8027777778</v>
      </c>
      <c r="C6939" s="56">
        <f t="shared" si="3"/>
        <v>69360</v>
      </c>
      <c r="D6939" s="56">
        <v>0.0</v>
      </c>
    </row>
    <row r="6940" ht="15.75" customHeight="1">
      <c r="B6940" s="370">
        <f t="shared" si="2"/>
        <v>0.8028935185</v>
      </c>
      <c r="C6940" s="56">
        <f t="shared" si="3"/>
        <v>69370</v>
      </c>
      <c r="D6940" s="56">
        <v>0.0</v>
      </c>
    </row>
    <row r="6941" ht="15.75" customHeight="1">
      <c r="B6941" s="370">
        <f t="shared" si="2"/>
        <v>0.8030092593</v>
      </c>
      <c r="C6941" s="56">
        <f t="shared" si="3"/>
        <v>69380</v>
      </c>
      <c r="D6941" s="56">
        <v>0.0</v>
      </c>
    </row>
    <row r="6942" ht="15.75" customHeight="1">
      <c r="B6942" s="370">
        <f t="shared" si="2"/>
        <v>0.803125</v>
      </c>
      <c r="C6942" s="56">
        <f t="shared" si="3"/>
        <v>69390</v>
      </c>
      <c r="D6942" s="56">
        <v>0.0</v>
      </c>
    </row>
    <row r="6943" ht="15.75" customHeight="1">
      <c r="B6943" s="370">
        <f t="shared" si="2"/>
        <v>0.8032407407</v>
      </c>
      <c r="C6943" s="56">
        <f t="shared" si="3"/>
        <v>69400</v>
      </c>
      <c r="D6943" s="56">
        <v>0.0</v>
      </c>
    </row>
    <row r="6944" ht="15.75" customHeight="1">
      <c r="B6944" s="370">
        <f t="shared" si="2"/>
        <v>0.8033564815</v>
      </c>
      <c r="C6944" s="56">
        <f t="shared" si="3"/>
        <v>69410</v>
      </c>
      <c r="D6944" s="56">
        <v>0.0</v>
      </c>
    </row>
    <row r="6945" ht="15.75" customHeight="1">
      <c r="B6945" s="370">
        <f t="shared" si="2"/>
        <v>0.8034722222</v>
      </c>
      <c r="C6945" s="56">
        <f t="shared" si="3"/>
        <v>69420</v>
      </c>
      <c r="D6945" s="56">
        <v>0.0</v>
      </c>
    </row>
    <row r="6946" ht="15.75" customHeight="1">
      <c r="B6946" s="370">
        <f t="shared" si="2"/>
        <v>0.803587963</v>
      </c>
      <c r="C6946" s="56">
        <f t="shared" si="3"/>
        <v>69430</v>
      </c>
      <c r="D6946" s="56">
        <v>0.0</v>
      </c>
    </row>
    <row r="6947" ht="15.75" customHeight="1">
      <c r="B6947" s="370">
        <f t="shared" si="2"/>
        <v>0.8037037037</v>
      </c>
      <c r="C6947" s="56">
        <f t="shared" si="3"/>
        <v>69440</v>
      </c>
      <c r="D6947" s="56">
        <v>0.0</v>
      </c>
    </row>
    <row r="6948" ht="15.75" customHeight="1">
      <c r="B6948" s="370">
        <f t="shared" si="2"/>
        <v>0.8038194444</v>
      </c>
      <c r="C6948" s="56">
        <f t="shared" si="3"/>
        <v>69450</v>
      </c>
      <c r="D6948" s="56">
        <v>0.0</v>
      </c>
    </row>
    <row r="6949" ht="15.75" customHeight="1">
      <c r="B6949" s="370">
        <f t="shared" si="2"/>
        <v>0.8039351852</v>
      </c>
      <c r="C6949" s="56">
        <f t="shared" si="3"/>
        <v>69460</v>
      </c>
      <c r="D6949" s="56">
        <v>0.0</v>
      </c>
    </row>
    <row r="6950" ht="15.75" customHeight="1">
      <c r="B6950" s="370">
        <f t="shared" si="2"/>
        <v>0.8040509259</v>
      </c>
      <c r="C6950" s="56">
        <f t="shared" si="3"/>
        <v>69470</v>
      </c>
      <c r="D6950" s="56">
        <v>0.0</v>
      </c>
    </row>
    <row r="6951" ht="15.75" customHeight="1">
      <c r="B6951" s="370">
        <f t="shared" si="2"/>
        <v>0.8041666667</v>
      </c>
      <c r="C6951" s="56">
        <f t="shared" si="3"/>
        <v>69480</v>
      </c>
      <c r="D6951" s="56">
        <v>0.0</v>
      </c>
    </row>
    <row r="6952" ht="15.75" customHeight="1">
      <c r="B6952" s="370">
        <f t="shared" si="2"/>
        <v>0.8042824074</v>
      </c>
      <c r="C6952" s="56">
        <f t="shared" si="3"/>
        <v>69490</v>
      </c>
      <c r="D6952" s="56">
        <v>0.0</v>
      </c>
    </row>
    <row r="6953" ht="15.75" customHeight="1">
      <c r="B6953" s="370">
        <f t="shared" si="2"/>
        <v>0.8043981481</v>
      </c>
      <c r="C6953" s="56">
        <f t="shared" si="3"/>
        <v>69500</v>
      </c>
      <c r="D6953" s="56">
        <v>0.0</v>
      </c>
    </row>
    <row r="6954" ht="15.75" customHeight="1">
      <c r="B6954" s="370">
        <f t="shared" si="2"/>
        <v>0.8045138889</v>
      </c>
      <c r="C6954" s="56">
        <f t="shared" si="3"/>
        <v>69510</v>
      </c>
      <c r="D6954" s="56">
        <v>0.0</v>
      </c>
    </row>
    <row r="6955" ht="15.75" customHeight="1">
      <c r="B6955" s="370">
        <f t="shared" si="2"/>
        <v>0.8046296296</v>
      </c>
      <c r="C6955" s="56">
        <f t="shared" si="3"/>
        <v>69520</v>
      </c>
      <c r="D6955" s="56">
        <v>0.0</v>
      </c>
    </row>
    <row r="6956" ht="15.75" customHeight="1">
      <c r="B6956" s="370">
        <f t="shared" si="2"/>
        <v>0.8047453704</v>
      </c>
      <c r="C6956" s="56">
        <f t="shared" si="3"/>
        <v>69530</v>
      </c>
      <c r="D6956" s="56">
        <v>0.0</v>
      </c>
    </row>
    <row r="6957" ht="15.75" customHeight="1">
      <c r="B6957" s="370">
        <f t="shared" si="2"/>
        <v>0.8048611111</v>
      </c>
      <c r="C6957" s="56">
        <f t="shared" si="3"/>
        <v>69540</v>
      </c>
      <c r="D6957" s="56">
        <v>0.0</v>
      </c>
    </row>
    <row r="6958" ht="15.75" customHeight="1">
      <c r="B6958" s="370">
        <f t="shared" si="2"/>
        <v>0.8049768519</v>
      </c>
      <c r="C6958" s="56">
        <f t="shared" si="3"/>
        <v>69550</v>
      </c>
      <c r="D6958" s="56">
        <v>0.0</v>
      </c>
    </row>
    <row r="6959" ht="15.75" customHeight="1">
      <c r="B6959" s="370">
        <f t="shared" si="2"/>
        <v>0.8050925926</v>
      </c>
      <c r="C6959" s="56">
        <f t="shared" si="3"/>
        <v>69560</v>
      </c>
      <c r="D6959" s="56">
        <v>0.0</v>
      </c>
    </row>
    <row r="6960" ht="15.75" customHeight="1">
      <c r="B6960" s="370">
        <f t="shared" si="2"/>
        <v>0.8052083333</v>
      </c>
      <c r="C6960" s="56">
        <f t="shared" si="3"/>
        <v>69570</v>
      </c>
      <c r="D6960" s="56">
        <v>0.0</v>
      </c>
    </row>
    <row r="6961" ht="15.75" customHeight="1">
      <c r="B6961" s="370">
        <f t="shared" si="2"/>
        <v>0.8053240741</v>
      </c>
      <c r="C6961" s="56">
        <f t="shared" si="3"/>
        <v>69580</v>
      </c>
      <c r="D6961" s="56">
        <v>0.0</v>
      </c>
    </row>
    <row r="6962" ht="15.75" customHeight="1">
      <c r="B6962" s="370">
        <f t="shared" si="2"/>
        <v>0.8054398148</v>
      </c>
      <c r="C6962" s="56">
        <f t="shared" si="3"/>
        <v>69590</v>
      </c>
      <c r="D6962" s="56">
        <v>0.0</v>
      </c>
    </row>
    <row r="6963" ht="15.75" customHeight="1">
      <c r="B6963" s="370">
        <f t="shared" si="2"/>
        <v>0.8055555556</v>
      </c>
      <c r="C6963" s="56">
        <f t="shared" si="3"/>
        <v>69600</v>
      </c>
      <c r="D6963" s="56">
        <v>0.0</v>
      </c>
    </row>
    <row r="6964" ht="15.75" customHeight="1">
      <c r="B6964" s="370">
        <f t="shared" si="2"/>
        <v>0.8056712963</v>
      </c>
      <c r="C6964" s="56">
        <f t="shared" si="3"/>
        <v>69610</v>
      </c>
      <c r="D6964" s="56">
        <v>0.0</v>
      </c>
    </row>
    <row r="6965" ht="15.75" customHeight="1">
      <c r="B6965" s="370">
        <f t="shared" si="2"/>
        <v>0.805787037</v>
      </c>
      <c r="C6965" s="56">
        <f t="shared" si="3"/>
        <v>69620</v>
      </c>
      <c r="D6965" s="56">
        <v>0.0</v>
      </c>
    </row>
    <row r="6966" ht="15.75" customHeight="1">
      <c r="B6966" s="370">
        <f t="shared" si="2"/>
        <v>0.8059027778</v>
      </c>
      <c r="C6966" s="56">
        <f t="shared" si="3"/>
        <v>69630</v>
      </c>
      <c r="D6966" s="56">
        <v>0.0</v>
      </c>
    </row>
    <row r="6967" ht="15.75" customHeight="1">
      <c r="B6967" s="370">
        <f t="shared" si="2"/>
        <v>0.8060185185</v>
      </c>
      <c r="C6967" s="56">
        <f t="shared" si="3"/>
        <v>69640</v>
      </c>
      <c r="D6967" s="56">
        <v>0.0</v>
      </c>
    </row>
    <row r="6968" ht="15.75" customHeight="1">
      <c r="B6968" s="370">
        <f t="shared" si="2"/>
        <v>0.8061342593</v>
      </c>
      <c r="C6968" s="56">
        <f t="shared" si="3"/>
        <v>69650</v>
      </c>
      <c r="D6968" s="56">
        <v>0.0</v>
      </c>
    </row>
    <row r="6969" ht="15.75" customHeight="1">
      <c r="B6969" s="370">
        <f t="shared" si="2"/>
        <v>0.80625</v>
      </c>
      <c r="C6969" s="56">
        <f t="shared" si="3"/>
        <v>69660</v>
      </c>
      <c r="D6969" s="56">
        <v>0.0</v>
      </c>
    </row>
    <row r="6970" ht="15.75" customHeight="1">
      <c r="B6970" s="370">
        <f t="shared" si="2"/>
        <v>0.8063657407</v>
      </c>
      <c r="C6970" s="56">
        <f t="shared" si="3"/>
        <v>69670</v>
      </c>
      <c r="D6970" s="56">
        <v>0.0</v>
      </c>
    </row>
    <row r="6971" ht="15.75" customHeight="1">
      <c r="B6971" s="370">
        <f t="shared" si="2"/>
        <v>0.8064814815</v>
      </c>
      <c r="C6971" s="56">
        <f t="shared" si="3"/>
        <v>69680</v>
      </c>
      <c r="D6971" s="56">
        <v>0.0</v>
      </c>
    </row>
    <row r="6972" ht="15.75" customHeight="1">
      <c r="B6972" s="370">
        <f t="shared" si="2"/>
        <v>0.8065972222</v>
      </c>
      <c r="C6972" s="56">
        <f t="shared" si="3"/>
        <v>69690</v>
      </c>
      <c r="D6972" s="56">
        <v>0.0</v>
      </c>
    </row>
    <row r="6973" ht="15.75" customHeight="1">
      <c r="B6973" s="370">
        <f t="shared" si="2"/>
        <v>0.806712963</v>
      </c>
      <c r="C6973" s="56">
        <f t="shared" si="3"/>
        <v>69700</v>
      </c>
      <c r="D6973" s="56">
        <v>0.0</v>
      </c>
    </row>
    <row r="6974" ht="15.75" customHeight="1">
      <c r="B6974" s="370">
        <f t="shared" si="2"/>
        <v>0.8068287037</v>
      </c>
      <c r="C6974" s="56">
        <f t="shared" si="3"/>
        <v>69710</v>
      </c>
      <c r="D6974" s="56">
        <v>0.0</v>
      </c>
    </row>
    <row r="6975" ht="15.75" customHeight="1">
      <c r="B6975" s="370">
        <f t="shared" si="2"/>
        <v>0.8069444444</v>
      </c>
      <c r="C6975" s="56">
        <f t="shared" si="3"/>
        <v>69720</v>
      </c>
      <c r="D6975" s="56">
        <v>0.0</v>
      </c>
    </row>
    <row r="6976" ht="15.75" customHeight="1">
      <c r="B6976" s="370">
        <f t="shared" si="2"/>
        <v>0.8070601852</v>
      </c>
      <c r="C6976" s="56">
        <f t="shared" si="3"/>
        <v>69730</v>
      </c>
      <c r="D6976" s="56">
        <v>0.0</v>
      </c>
    </row>
    <row r="6977" ht="15.75" customHeight="1">
      <c r="B6977" s="370">
        <f t="shared" si="2"/>
        <v>0.8071759259</v>
      </c>
      <c r="C6977" s="56">
        <f t="shared" si="3"/>
        <v>69740</v>
      </c>
      <c r="D6977" s="56">
        <v>0.0</v>
      </c>
    </row>
    <row r="6978" ht="15.75" customHeight="1">
      <c r="B6978" s="370">
        <f t="shared" si="2"/>
        <v>0.8072916667</v>
      </c>
      <c r="C6978" s="56">
        <f t="shared" si="3"/>
        <v>69750</v>
      </c>
      <c r="D6978" s="56">
        <v>0.0</v>
      </c>
    </row>
    <row r="6979" ht="15.75" customHeight="1">
      <c r="B6979" s="370">
        <f t="shared" si="2"/>
        <v>0.8074074074</v>
      </c>
      <c r="C6979" s="56">
        <f t="shared" si="3"/>
        <v>69760</v>
      </c>
      <c r="D6979" s="56">
        <v>0.0</v>
      </c>
    </row>
    <row r="6980" ht="15.75" customHeight="1">
      <c r="B6980" s="370">
        <f t="shared" si="2"/>
        <v>0.8075231481</v>
      </c>
      <c r="C6980" s="56">
        <f t="shared" si="3"/>
        <v>69770</v>
      </c>
      <c r="D6980" s="56">
        <v>0.0</v>
      </c>
    </row>
    <row r="6981" ht="15.75" customHeight="1">
      <c r="B6981" s="370">
        <f t="shared" si="2"/>
        <v>0.8076388889</v>
      </c>
      <c r="C6981" s="56">
        <f t="shared" si="3"/>
        <v>69780</v>
      </c>
      <c r="D6981" s="56">
        <v>0.0</v>
      </c>
    </row>
    <row r="6982" ht="15.75" customHeight="1">
      <c r="B6982" s="370">
        <f t="shared" si="2"/>
        <v>0.8077546296</v>
      </c>
      <c r="C6982" s="56">
        <f t="shared" si="3"/>
        <v>69790</v>
      </c>
      <c r="D6982" s="56">
        <v>0.0</v>
      </c>
    </row>
    <row r="6983" ht="15.75" customHeight="1">
      <c r="B6983" s="370">
        <f t="shared" si="2"/>
        <v>0.8078703704</v>
      </c>
      <c r="C6983" s="56">
        <f t="shared" si="3"/>
        <v>69800</v>
      </c>
      <c r="D6983" s="56">
        <v>0.0</v>
      </c>
    </row>
    <row r="6984" ht="15.75" customHeight="1">
      <c r="B6984" s="370">
        <f t="shared" si="2"/>
        <v>0.8079861111</v>
      </c>
      <c r="C6984" s="56">
        <f t="shared" si="3"/>
        <v>69810</v>
      </c>
      <c r="D6984" s="56">
        <v>0.0</v>
      </c>
    </row>
    <row r="6985" ht="15.75" customHeight="1">
      <c r="B6985" s="370">
        <f t="shared" si="2"/>
        <v>0.8081018519</v>
      </c>
      <c r="C6985" s="56">
        <f t="shared" si="3"/>
        <v>69820</v>
      </c>
      <c r="D6985" s="56">
        <v>0.0</v>
      </c>
    </row>
    <row r="6986" ht="15.75" customHeight="1">
      <c r="B6986" s="370">
        <f t="shared" si="2"/>
        <v>0.8082175926</v>
      </c>
      <c r="C6986" s="56">
        <f t="shared" si="3"/>
        <v>69830</v>
      </c>
      <c r="D6986" s="56">
        <v>0.0</v>
      </c>
    </row>
    <row r="6987" ht="15.75" customHeight="1">
      <c r="B6987" s="370">
        <f t="shared" si="2"/>
        <v>0.8083333333</v>
      </c>
      <c r="C6987" s="56">
        <f t="shared" si="3"/>
        <v>69840</v>
      </c>
      <c r="D6987" s="56">
        <v>0.0</v>
      </c>
    </row>
    <row r="6988" ht="15.75" customHeight="1">
      <c r="B6988" s="370">
        <f t="shared" si="2"/>
        <v>0.8084490741</v>
      </c>
      <c r="C6988" s="56">
        <f t="shared" si="3"/>
        <v>69850</v>
      </c>
      <c r="D6988" s="56">
        <v>0.0</v>
      </c>
    </row>
    <row r="6989" ht="15.75" customHeight="1">
      <c r="B6989" s="370">
        <f t="shared" si="2"/>
        <v>0.8085648148</v>
      </c>
      <c r="C6989" s="56">
        <f t="shared" si="3"/>
        <v>69860</v>
      </c>
      <c r="D6989" s="56">
        <v>0.0</v>
      </c>
    </row>
    <row r="6990" ht="15.75" customHeight="1">
      <c r="B6990" s="370">
        <f t="shared" si="2"/>
        <v>0.8086805556</v>
      </c>
      <c r="C6990" s="56">
        <f t="shared" si="3"/>
        <v>69870</v>
      </c>
      <c r="D6990" s="56">
        <v>0.0</v>
      </c>
    </row>
    <row r="6991" ht="15.75" customHeight="1">
      <c r="B6991" s="370">
        <f t="shared" si="2"/>
        <v>0.8087962963</v>
      </c>
      <c r="C6991" s="56">
        <f t="shared" si="3"/>
        <v>69880</v>
      </c>
      <c r="D6991" s="56">
        <v>0.0</v>
      </c>
    </row>
    <row r="6992" ht="15.75" customHeight="1">
      <c r="B6992" s="370">
        <f t="shared" si="2"/>
        <v>0.808912037</v>
      </c>
      <c r="C6992" s="56">
        <f t="shared" si="3"/>
        <v>69890</v>
      </c>
      <c r="D6992" s="56">
        <v>0.0</v>
      </c>
    </row>
    <row r="6993" ht="15.75" customHeight="1">
      <c r="B6993" s="370">
        <f t="shared" si="2"/>
        <v>0.8090277778</v>
      </c>
      <c r="C6993" s="56">
        <f t="shared" si="3"/>
        <v>69900</v>
      </c>
      <c r="D6993" s="56">
        <v>0.0</v>
      </c>
    </row>
    <row r="6994" ht="15.75" customHeight="1">
      <c r="B6994" s="370">
        <f t="shared" si="2"/>
        <v>0.8091435185</v>
      </c>
      <c r="C6994" s="56">
        <f t="shared" si="3"/>
        <v>69910</v>
      </c>
      <c r="D6994" s="56">
        <v>0.0</v>
      </c>
    </row>
    <row r="6995" ht="15.75" customHeight="1">
      <c r="B6995" s="370">
        <f t="shared" si="2"/>
        <v>0.8092592593</v>
      </c>
      <c r="C6995" s="56">
        <f t="shared" si="3"/>
        <v>69920</v>
      </c>
      <c r="D6995" s="56">
        <v>0.0</v>
      </c>
    </row>
    <row r="6996" ht="15.75" customHeight="1">
      <c r="B6996" s="370">
        <f t="shared" si="2"/>
        <v>0.809375</v>
      </c>
      <c r="C6996" s="56">
        <f t="shared" si="3"/>
        <v>69930</v>
      </c>
      <c r="D6996" s="56">
        <v>0.0</v>
      </c>
    </row>
    <row r="6997" ht="15.75" customHeight="1">
      <c r="B6997" s="370">
        <f t="shared" si="2"/>
        <v>0.8094907407</v>
      </c>
      <c r="C6997" s="56">
        <f t="shared" si="3"/>
        <v>69940</v>
      </c>
      <c r="D6997" s="56">
        <v>0.0</v>
      </c>
    </row>
    <row r="6998" ht="15.75" customHeight="1">
      <c r="B6998" s="370">
        <f t="shared" si="2"/>
        <v>0.8096064815</v>
      </c>
      <c r="C6998" s="56">
        <f t="shared" si="3"/>
        <v>69950</v>
      </c>
      <c r="D6998" s="56">
        <v>0.0</v>
      </c>
    </row>
    <row r="6999" ht="15.75" customHeight="1">
      <c r="B6999" s="370">
        <f t="shared" si="2"/>
        <v>0.8097222222</v>
      </c>
      <c r="C6999" s="56">
        <f t="shared" si="3"/>
        <v>69960</v>
      </c>
      <c r="D6999" s="56">
        <v>0.0</v>
      </c>
    </row>
    <row r="7000" ht="15.75" customHeight="1">
      <c r="B7000" s="370">
        <f t="shared" si="2"/>
        <v>0.809837963</v>
      </c>
      <c r="C7000" s="56">
        <f t="shared" si="3"/>
        <v>69970</v>
      </c>
      <c r="D7000" s="56">
        <v>0.0</v>
      </c>
    </row>
    <row r="7001" ht="15.75" customHeight="1">
      <c r="B7001" s="370">
        <f t="shared" si="2"/>
        <v>0.8099537037</v>
      </c>
      <c r="C7001" s="56">
        <f t="shared" si="3"/>
        <v>69980</v>
      </c>
      <c r="D7001" s="56">
        <v>0.0</v>
      </c>
    </row>
    <row r="7002" ht="15.75" customHeight="1">
      <c r="B7002" s="370">
        <f t="shared" si="2"/>
        <v>0.8100694444</v>
      </c>
      <c r="C7002" s="56">
        <f t="shared" si="3"/>
        <v>69990</v>
      </c>
      <c r="D7002" s="56">
        <v>0.0</v>
      </c>
    </row>
    <row r="7003" ht="15.75" customHeight="1">
      <c r="B7003" s="370">
        <f t="shared" si="2"/>
        <v>0.8101851852</v>
      </c>
      <c r="C7003" s="56">
        <f t="shared" si="3"/>
        <v>70000</v>
      </c>
      <c r="D7003" s="56">
        <v>0.0</v>
      </c>
    </row>
    <row r="7004" ht="15.75" customHeight="1">
      <c r="B7004" s="370">
        <f t="shared" si="2"/>
        <v>0.8103009259</v>
      </c>
      <c r="C7004" s="56">
        <f t="shared" si="3"/>
        <v>70010</v>
      </c>
      <c r="D7004" s="56">
        <v>0.0</v>
      </c>
    </row>
    <row r="7005" ht="15.75" customHeight="1">
      <c r="B7005" s="370">
        <f t="shared" si="2"/>
        <v>0.8104166667</v>
      </c>
      <c r="C7005" s="56">
        <f t="shared" si="3"/>
        <v>70020</v>
      </c>
      <c r="D7005" s="56">
        <v>0.0</v>
      </c>
    </row>
    <row r="7006" ht="15.75" customHeight="1">
      <c r="B7006" s="370">
        <f t="shared" si="2"/>
        <v>0.8105324074</v>
      </c>
      <c r="C7006" s="56">
        <f t="shared" si="3"/>
        <v>70030</v>
      </c>
      <c r="D7006" s="56">
        <v>0.0</v>
      </c>
    </row>
    <row r="7007" ht="15.75" customHeight="1">
      <c r="B7007" s="370">
        <f t="shared" si="2"/>
        <v>0.8106481481</v>
      </c>
      <c r="C7007" s="56">
        <f t="shared" si="3"/>
        <v>70040</v>
      </c>
      <c r="D7007" s="56">
        <v>0.0</v>
      </c>
    </row>
    <row r="7008" ht="15.75" customHeight="1">
      <c r="B7008" s="370">
        <f t="shared" si="2"/>
        <v>0.8107638889</v>
      </c>
      <c r="C7008" s="56">
        <f t="shared" si="3"/>
        <v>70050</v>
      </c>
      <c r="D7008" s="56">
        <v>0.0</v>
      </c>
    </row>
    <row r="7009" ht="15.75" customHeight="1">
      <c r="B7009" s="370">
        <f t="shared" si="2"/>
        <v>0.8108796296</v>
      </c>
      <c r="C7009" s="56">
        <f t="shared" si="3"/>
        <v>70060</v>
      </c>
      <c r="D7009" s="56">
        <v>0.0</v>
      </c>
    </row>
    <row r="7010" ht="15.75" customHeight="1">
      <c r="B7010" s="370">
        <f t="shared" si="2"/>
        <v>0.8109953704</v>
      </c>
      <c r="C7010" s="56">
        <f t="shared" si="3"/>
        <v>70070</v>
      </c>
      <c r="D7010" s="56">
        <v>0.0</v>
      </c>
    </row>
    <row r="7011" ht="15.75" customHeight="1">
      <c r="B7011" s="370">
        <f t="shared" si="2"/>
        <v>0.8111111111</v>
      </c>
      <c r="C7011" s="56">
        <f t="shared" si="3"/>
        <v>70080</v>
      </c>
      <c r="D7011" s="56">
        <v>0.0</v>
      </c>
    </row>
    <row r="7012" ht="15.75" customHeight="1">
      <c r="B7012" s="370">
        <f t="shared" si="2"/>
        <v>0.8112268519</v>
      </c>
      <c r="C7012" s="56">
        <f t="shared" si="3"/>
        <v>70090</v>
      </c>
      <c r="D7012" s="56">
        <v>0.0</v>
      </c>
    </row>
    <row r="7013" ht="15.75" customHeight="1">
      <c r="B7013" s="370">
        <f t="shared" si="2"/>
        <v>0.8113425926</v>
      </c>
      <c r="C7013" s="56">
        <f t="shared" si="3"/>
        <v>70100</v>
      </c>
      <c r="D7013" s="56">
        <v>0.0</v>
      </c>
    </row>
    <row r="7014" ht="15.75" customHeight="1">
      <c r="B7014" s="370">
        <f t="shared" si="2"/>
        <v>0.8114583333</v>
      </c>
      <c r="C7014" s="56">
        <f t="shared" si="3"/>
        <v>70110</v>
      </c>
      <c r="D7014" s="56">
        <v>0.0</v>
      </c>
    </row>
    <row r="7015" ht="15.75" customHeight="1">
      <c r="B7015" s="370">
        <f t="shared" si="2"/>
        <v>0.8115740741</v>
      </c>
      <c r="C7015" s="56">
        <f t="shared" si="3"/>
        <v>70120</v>
      </c>
      <c r="D7015" s="56">
        <v>0.0</v>
      </c>
    </row>
    <row r="7016" ht="15.75" customHeight="1">
      <c r="B7016" s="370">
        <f t="shared" si="2"/>
        <v>0.8116898148</v>
      </c>
      <c r="C7016" s="56">
        <f t="shared" si="3"/>
        <v>70130</v>
      </c>
      <c r="D7016" s="56">
        <v>0.0</v>
      </c>
    </row>
    <row r="7017" ht="15.75" customHeight="1">
      <c r="B7017" s="370">
        <f t="shared" si="2"/>
        <v>0.8118055556</v>
      </c>
      <c r="C7017" s="56">
        <f t="shared" si="3"/>
        <v>70140</v>
      </c>
      <c r="D7017" s="56">
        <v>0.0</v>
      </c>
    </row>
    <row r="7018" ht="15.75" customHeight="1">
      <c r="B7018" s="370">
        <f t="shared" si="2"/>
        <v>0.8119212963</v>
      </c>
      <c r="C7018" s="56">
        <f t="shared" si="3"/>
        <v>70150</v>
      </c>
      <c r="D7018" s="56">
        <v>0.0</v>
      </c>
    </row>
    <row r="7019" ht="15.75" customHeight="1">
      <c r="B7019" s="370">
        <f t="shared" si="2"/>
        <v>0.812037037</v>
      </c>
      <c r="C7019" s="56">
        <f t="shared" si="3"/>
        <v>70160</v>
      </c>
      <c r="D7019" s="56">
        <v>0.0</v>
      </c>
    </row>
    <row r="7020" ht="15.75" customHeight="1">
      <c r="B7020" s="370">
        <f t="shared" si="2"/>
        <v>0.8121527778</v>
      </c>
      <c r="C7020" s="56">
        <f t="shared" si="3"/>
        <v>70170</v>
      </c>
      <c r="D7020" s="56">
        <v>0.0</v>
      </c>
    </row>
    <row r="7021" ht="15.75" customHeight="1">
      <c r="B7021" s="370">
        <f t="shared" si="2"/>
        <v>0.8122685185</v>
      </c>
      <c r="C7021" s="56">
        <f t="shared" si="3"/>
        <v>70180</v>
      </c>
      <c r="D7021" s="56">
        <v>0.0</v>
      </c>
    </row>
    <row r="7022" ht="15.75" customHeight="1">
      <c r="B7022" s="370">
        <f t="shared" si="2"/>
        <v>0.8123842593</v>
      </c>
      <c r="C7022" s="56">
        <f t="shared" si="3"/>
        <v>70190</v>
      </c>
      <c r="D7022" s="56">
        <v>0.0</v>
      </c>
    </row>
    <row r="7023" ht="15.75" customHeight="1">
      <c r="B7023" s="370">
        <f t="shared" si="2"/>
        <v>0.8125</v>
      </c>
      <c r="C7023" s="56">
        <f t="shared" si="3"/>
        <v>70200</v>
      </c>
      <c r="D7023" s="56">
        <v>0.0</v>
      </c>
    </row>
    <row r="7024" ht="15.75" customHeight="1">
      <c r="B7024" s="370">
        <f t="shared" si="2"/>
        <v>0.8126157407</v>
      </c>
      <c r="C7024" s="56">
        <f t="shared" si="3"/>
        <v>70210</v>
      </c>
      <c r="D7024" s="56">
        <v>0.0</v>
      </c>
    </row>
    <row r="7025" ht="15.75" customHeight="1">
      <c r="B7025" s="370">
        <f t="shared" si="2"/>
        <v>0.8127314815</v>
      </c>
      <c r="C7025" s="56">
        <f t="shared" si="3"/>
        <v>70220</v>
      </c>
      <c r="D7025" s="56">
        <v>0.0</v>
      </c>
    </row>
    <row r="7026" ht="15.75" customHeight="1">
      <c r="B7026" s="370">
        <f t="shared" si="2"/>
        <v>0.8128472222</v>
      </c>
      <c r="C7026" s="56">
        <f t="shared" si="3"/>
        <v>70230</v>
      </c>
      <c r="D7026" s="56">
        <v>0.0</v>
      </c>
    </row>
    <row r="7027" ht="15.75" customHeight="1">
      <c r="B7027" s="370">
        <f t="shared" si="2"/>
        <v>0.812962963</v>
      </c>
      <c r="C7027" s="56">
        <f t="shared" si="3"/>
        <v>70240</v>
      </c>
      <c r="D7027" s="56">
        <v>0.0</v>
      </c>
    </row>
    <row r="7028" ht="15.75" customHeight="1">
      <c r="B7028" s="370">
        <f t="shared" si="2"/>
        <v>0.8130787037</v>
      </c>
      <c r="C7028" s="56">
        <f t="shared" si="3"/>
        <v>70250</v>
      </c>
      <c r="D7028" s="56">
        <v>0.0</v>
      </c>
    </row>
    <row r="7029" ht="15.75" customHeight="1">
      <c r="B7029" s="370">
        <f t="shared" si="2"/>
        <v>0.8131944444</v>
      </c>
      <c r="C7029" s="56">
        <f t="shared" si="3"/>
        <v>70260</v>
      </c>
      <c r="D7029" s="56">
        <v>0.0</v>
      </c>
    </row>
    <row r="7030" ht="15.75" customHeight="1">
      <c r="B7030" s="370">
        <f t="shared" si="2"/>
        <v>0.8133101852</v>
      </c>
      <c r="C7030" s="56">
        <f t="shared" si="3"/>
        <v>70270</v>
      </c>
      <c r="D7030" s="56">
        <v>0.0</v>
      </c>
    </row>
    <row r="7031" ht="15.75" customHeight="1">
      <c r="B7031" s="370">
        <f t="shared" si="2"/>
        <v>0.8134259259</v>
      </c>
      <c r="C7031" s="56">
        <f t="shared" si="3"/>
        <v>70280</v>
      </c>
      <c r="D7031" s="56">
        <v>0.0</v>
      </c>
    </row>
    <row r="7032" ht="15.75" customHeight="1">
      <c r="B7032" s="370">
        <f t="shared" si="2"/>
        <v>0.8135416667</v>
      </c>
      <c r="C7032" s="56">
        <f t="shared" si="3"/>
        <v>70290</v>
      </c>
      <c r="D7032" s="56">
        <v>0.0</v>
      </c>
    </row>
    <row r="7033" ht="15.75" customHeight="1">
      <c r="B7033" s="370">
        <f t="shared" si="2"/>
        <v>0.8136574074</v>
      </c>
      <c r="C7033" s="56">
        <f t="shared" si="3"/>
        <v>70300</v>
      </c>
      <c r="D7033" s="56">
        <v>0.0</v>
      </c>
    </row>
    <row r="7034" ht="15.75" customHeight="1">
      <c r="B7034" s="370">
        <f t="shared" si="2"/>
        <v>0.8137731481</v>
      </c>
      <c r="C7034" s="56">
        <f t="shared" si="3"/>
        <v>70310</v>
      </c>
      <c r="D7034" s="56">
        <v>0.0</v>
      </c>
    </row>
    <row r="7035" ht="15.75" customHeight="1">
      <c r="B7035" s="370">
        <f t="shared" si="2"/>
        <v>0.8138888889</v>
      </c>
      <c r="C7035" s="56">
        <f t="shared" si="3"/>
        <v>70320</v>
      </c>
      <c r="D7035" s="56">
        <v>0.0</v>
      </c>
    </row>
    <row r="7036" ht="15.75" customHeight="1">
      <c r="B7036" s="370">
        <f t="shared" si="2"/>
        <v>0.8140046296</v>
      </c>
      <c r="C7036" s="56">
        <f t="shared" si="3"/>
        <v>70330</v>
      </c>
      <c r="D7036" s="56">
        <v>0.0</v>
      </c>
    </row>
    <row r="7037" ht="15.75" customHeight="1">
      <c r="B7037" s="370">
        <f t="shared" si="2"/>
        <v>0.8141203704</v>
      </c>
      <c r="C7037" s="56">
        <f t="shared" si="3"/>
        <v>70340</v>
      </c>
      <c r="D7037" s="56">
        <v>0.0</v>
      </c>
    </row>
    <row r="7038" ht="15.75" customHeight="1">
      <c r="B7038" s="370">
        <f t="shared" si="2"/>
        <v>0.8142361111</v>
      </c>
      <c r="C7038" s="56">
        <f t="shared" si="3"/>
        <v>70350</v>
      </c>
      <c r="D7038" s="56">
        <v>0.0</v>
      </c>
    </row>
    <row r="7039" ht="15.75" customHeight="1">
      <c r="B7039" s="370">
        <f t="shared" si="2"/>
        <v>0.8143518519</v>
      </c>
      <c r="C7039" s="56">
        <f t="shared" si="3"/>
        <v>70360</v>
      </c>
      <c r="D7039" s="56">
        <v>0.0</v>
      </c>
    </row>
    <row r="7040" ht="15.75" customHeight="1">
      <c r="B7040" s="370">
        <f t="shared" si="2"/>
        <v>0.8144675926</v>
      </c>
      <c r="C7040" s="56">
        <f t="shared" si="3"/>
        <v>70370</v>
      </c>
      <c r="D7040" s="56">
        <v>0.0</v>
      </c>
    </row>
    <row r="7041" ht="15.75" customHeight="1">
      <c r="B7041" s="370">
        <f t="shared" si="2"/>
        <v>0.8145833333</v>
      </c>
      <c r="C7041" s="56">
        <f t="shared" si="3"/>
        <v>70380</v>
      </c>
      <c r="D7041" s="56">
        <v>0.0</v>
      </c>
    </row>
    <row r="7042" ht="15.75" customHeight="1">
      <c r="B7042" s="370">
        <f t="shared" si="2"/>
        <v>0.8146990741</v>
      </c>
      <c r="C7042" s="56">
        <f t="shared" si="3"/>
        <v>70390</v>
      </c>
      <c r="D7042" s="56">
        <v>0.0</v>
      </c>
    </row>
    <row r="7043" ht="15.75" customHeight="1">
      <c r="B7043" s="370">
        <f t="shared" si="2"/>
        <v>0.8148148148</v>
      </c>
      <c r="C7043" s="56">
        <f t="shared" si="3"/>
        <v>70400</v>
      </c>
      <c r="D7043" s="56">
        <v>0.0</v>
      </c>
    </row>
    <row r="7044" ht="15.75" customHeight="1">
      <c r="B7044" s="370">
        <f t="shared" si="2"/>
        <v>0.8149305556</v>
      </c>
      <c r="C7044" s="56">
        <f t="shared" si="3"/>
        <v>70410</v>
      </c>
      <c r="D7044" s="56">
        <v>0.0</v>
      </c>
    </row>
    <row r="7045" ht="15.75" customHeight="1">
      <c r="B7045" s="370">
        <f t="shared" si="2"/>
        <v>0.8150462963</v>
      </c>
      <c r="C7045" s="56">
        <f t="shared" si="3"/>
        <v>70420</v>
      </c>
      <c r="D7045" s="56">
        <v>0.0</v>
      </c>
    </row>
    <row r="7046" ht="15.75" customHeight="1">
      <c r="B7046" s="370">
        <f t="shared" si="2"/>
        <v>0.815162037</v>
      </c>
      <c r="C7046" s="56">
        <f t="shared" si="3"/>
        <v>70430</v>
      </c>
      <c r="D7046" s="56">
        <v>0.0</v>
      </c>
    </row>
    <row r="7047" ht="15.75" customHeight="1">
      <c r="B7047" s="370">
        <f t="shared" si="2"/>
        <v>0.8152777778</v>
      </c>
      <c r="C7047" s="56">
        <f t="shared" si="3"/>
        <v>70440</v>
      </c>
      <c r="D7047" s="56">
        <v>0.0</v>
      </c>
    </row>
    <row r="7048" ht="15.75" customHeight="1">
      <c r="B7048" s="370">
        <f t="shared" si="2"/>
        <v>0.8153935185</v>
      </c>
      <c r="C7048" s="56">
        <f t="shared" si="3"/>
        <v>70450</v>
      </c>
      <c r="D7048" s="56">
        <v>0.0</v>
      </c>
    </row>
    <row r="7049" ht="15.75" customHeight="1">
      <c r="B7049" s="370">
        <f t="shared" si="2"/>
        <v>0.8155092593</v>
      </c>
      <c r="C7049" s="56">
        <f t="shared" si="3"/>
        <v>70460</v>
      </c>
      <c r="D7049" s="56">
        <v>0.0</v>
      </c>
    </row>
    <row r="7050" ht="15.75" customHeight="1">
      <c r="B7050" s="370">
        <f t="shared" si="2"/>
        <v>0.815625</v>
      </c>
      <c r="C7050" s="56">
        <f t="shared" si="3"/>
        <v>70470</v>
      </c>
      <c r="D7050" s="56">
        <v>0.0</v>
      </c>
    </row>
    <row r="7051" ht="15.75" customHeight="1">
      <c r="B7051" s="370">
        <f t="shared" si="2"/>
        <v>0.8157407407</v>
      </c>
      <c r="C7051" s="56">
        <f t="shared" si="3"/>
        <v>70480</v>
      </c>
      <c r="D7051" s="56">
        <v>0.0</v>
      </c>
    </row>
    <row r="7052" ht="15.75" customHeight="1">
      <c r="B7052" s="370">
        <f t="shared" si="2"/>
        <v>0.8158564815</v>
      </c>
      <c r="C7052" s="56">
        <f t="shared" si="3"/>
        <v>70490</v>
      </c>
      <c r="D7052" s="56">
        <v>0.0</v>
      </c>
    </row>
    <row r="7053" ht="15.75" customHeight="1">
      <c r="B7053" s="370">
        <f t="shared" si="2"/>
        <v>0.8159722222</v>
      </c>
      <c r="C7053" s="56">
        <f t="shared" si="3"/>
        <v>70500</v>
      </c>
      <c r="D7053" s="56">
        <v>0.0</v>
      </c>
    </row>
    <row r="7054" ht="15.75" customHeight="1">
      <c r="B7054" s="370">
        <f t="shared" si="2"/>
        <v>0.816087963</v>
      </c>
      <c r="C7054" s="56">
        <f t="shared" si="3"/>
        <v>70510</v>
      </c>
      <c r="D7054" s="56">
        <v>0.0</v>
      </c>
    </row>
    <row r="7055" ht="15.75" customHeight="1">
      <c r="B7055" s="370">
        <f t="shared" si="2"/>
        <v>0.8162037037</v>
      </c>
      <c r="C7055" s="56">
        <f t="shared" si="3"/>
        <v>70520</v>
      </c>
      <c r="D7055" s="56">
        <v>0.0</v>
      </c>
    </row>
    <row r="7056" ht="15.75" customHeight="1">
      <c r="B7056" s="370">
        <f t="shared" si="2"/>
        <v>0.8163194444</v>
      </c>
      <c r="C7056" s="56">
        <f t="shared" si="3"/>
        <v>70530</v>
      </c>
      <c r="D7056" s="56">
        <v>0.0</v>
      </c>
    </row>
    <row r="7057" ht="15.75" customHeight="1">
      <c r="B7057" s="370">
        <f t="shared" si="2"/>
        <v>0.8164351852</v>
      </c>
      <c r="C7057" s="56">
        <f t="shared" si="3"/>
        <v>70540</v>
      </c>
      <c r="D7057" s="56">
        <v>0.0</v>
      </c>
    </row>
    <row r="7058" ht="15.75" customHeight="1">
      <c r="B7058" s="370">
        <f t="shared" si="2"/>
        <v>0.8165509259</v>
      </c>
      <c r="C7058" s="56">
        <f t="shared" si="3"/>
        <v>70550</v>
      </c>
      <c r="D7058" s="56">
        <v>0.0</v>
      </c>
    </row>
    <row r="7059" ht="15.75" customHeight="1">
      <c r="B7059" s="370">
        <f t="shared" si="2"/>
        <v>0.8166666667</v>
      </c>
      <c r="C7059" s="56">
        <f t="shared" si="3"/>
        <v>70560</v>
      </c>
      <c r="D7059" s="56">
        <v>0.0</v>
      </c>
    </row>
    <row r="7060" ht="15.75" customHeight="1">
      <c r="B7060" s="370">
        <f t="shared" si="2"/>
        <v>0.8167824074</v>
      </c>
      <c r="C7060" s="56">
        <f t="shared" si="3"/>
        <v>70570</v>
      </c>
      <c r="D7060" s="56">
        <v>0.0</v>
      </c>
    </row>
    <row r="7061" ht="15.75" customHeight="1">
      <c r="B7061" s="370">
        <f t="shared" si="2"/>
        <v>0.8168981481</v>
      </c>
      <c r="C7061" s="56">
        <f t="shared" si="3"/>
        <v>70580</v>
      </c>
      <c r="D7061" s="56">
        <v>0.0</v>
      </c>
    </row>
    <row r="7062" ht="15.75" customHeight="1">
      <c r="B7062" s="370">
        <f t="shared" si="2"/>
        <v>0.8170138889</v>
      </c>
      <c r="C7062" s="56">
        <f t="shared" si="3"/>
        <v>70590</v>
      </c>
      <c r="D7062" s="56">
        <v>0.0</v>
      </c>
    </row>
    <row r="7063" ht="15.75" customHeight="1">
      <c r="B7063" s="370">
        <f t="shared" si="2"/>
        <v>0.8171296296</v>
      </c>
      <c r="C7063" s="56">
        <f t="shared" si="3"/>
        <v>70600</v>
      </c>
      <c r="D7063" s="56">
        <v>0.0</v>
      </c>
    </row>
    <row r="7064" ht="15.75" customHeight="1">
      <c r="B7064" s="370">
        <f t="shared" si="2"/>
        <v>0.8172453704</v>
      </c>
      <c r="C7064" s="56">
        <f t="shared" si="3"/>
        <v>70610</v>
      </c>
      <c r="D7064" s="56">
        <v>0.0</v>
      </c>
    </row>
    <row r="7065" ht="15.75" customHeight="1">
      <c r="B7065" s="370">
        <f t="shared" si="2"/>
        <v>0.8173611111</v>
      </c>
      <c r="C7065" s="56">
        <f t="shared" si="3"/>
        <v>70620</v>
      </c>
      <c r="D7065" s="56">
        <v>0.0</v>
      </c>
    </row>
    <row r="7066" ht="15.75" customHeight="1">
      <c r="B7066" s="370">
        <f t="shared" si="2"/>
        <v>0.8174768519</v>
      </c>
      <c r="C7066" s="56">
        <f t="shared" si="3"/>
        <v>70630</v>
      </c>
      <c r="D7066" s="56">
        <v>0.0</v>
      </c>
    </row>
    <row r="7067" ht="15.75" customHeight="1">
      <c r="B7067" s="370">
        <f t="shared" si="2"/>
        <v>0.8175925926</v>
      </c>
      <c r="C7067" s="56">
        <f t="shared" si="3"/>
        <v>70640</v>
      </c>
      <c r="D7067" s="56">
        <v>0.0</v>
      </c>
    </row>
    <row r="7068" ht="15.75" customHeight="1">
      <c r="B7068" s="370">
        <f t="shared" si="2"/>
        <v>0.8177083333</v>
      </c>
      <c r="C7068" s="56">
        <f t="shared" si="3"/>
        <v>70650</v>
      </c>
      <c r="D7068" s="56">
        <v>0.0</v>
      </c>
    </row>
    <row r="7069" ht="15.75" customHeight="1">
      <c r="B7069" s="370">
        <f t="shared" si="2"/>
        <v>0.8178240741</v>
      </c>
      <c r="C7069" s="56">
        <f t="shared" si="3"/>
        <v>70660</v>
      </c>
      <c r="D7069" s="56">
        <v>0.0</v>
      </c>
    </row>
    <row r="7070" ht="15.75" customHeight="1">
      <c r="B7070" s="370">
        <f t="shared" si="2"/>
        <v>0.8179398148</v>
      </c>
      <c r="C7070" s="56">
        <f t="shared" si="3"/>
        <v>70670</v>
      </c>
      <c r="D7070" s="56">
        <v>0.0</v>
      </c>
    </row>
    <row r="7071" ht="15.75" customHeight="1">
      <c r="B7071" s="370">
        <f t="shared" si="2"/>
        <v>0.8180555556</v>
      </c>
      <c r="C7071" s="56">
        <f t="shared" si="3"/>
        <v>70680</v>
      </c>
      <c r="D7071" s="56">
        <v>0.0</v>
      </c>
    </row>
    <row r="7072" ht="15.75" customHeight="1">
      <c r="B7072" s="370">
        <f t="shared" si="2"/>
        <v>0.8181712963</v>
      </c>
      <c r="C7072" s="56">
        <f t="shared" si="3"/>
        <v>70690</v>
      </c>
      <c r="D7072" s="56">
        <v>0.0</v>
      </c>
    </row>
    <row r="7073" ht="15.75" customHeight="1">
      <c r="B7073" s="370">
        <f t="shared" si="2"/>
        <v>0.818287037</v>
      </c>
      <c r="C7073" s="56">
        <f t="shared" si="3"/>
        <v>70700</v>
      </c>
      <c r="D7073" s="56">
        <v>0.0</v>
      </c>
    </row>
    <row r="7074" ht="15.75" customHeight="1">
      <c r="B7074" s="370">
        <f t="shared" si="2"/>
        <v>0.8184027778</v>
      </c>
      <c r="C7074" s="56">
        <f t="shared" si="3"/>
        <v>70710</v>
      </c>
      <c r="D7074" s="56">
        <v>0.0</v>
      </c>
    </row>
    <row r="7075" ht="15.75" customHeight="1">
      <c r="B7075" s="370">
        <f t="shared" si="2"/>
        <v>0.8185185185</v>
      </c>
      <c r="C7075" s="56">
        <f t="shared" si="3"/>
        <v>70720</v>
      </c>
      <c r="D7075" s="56">
        <v>0.0</v>
      </c>
    </row>
    <row r="7076" ht="15.75" customHeight="1">
      <c r="B7076" s="370">
        <f t="shared" si="2"/>
        <v>0.8186342593</v>
      </c>
      <c r="C7076" s="56">
        <f t="shared" si="3"/>
        <v>70730</v>
      </c>
      <c r="D7076" s="56">
        <v>0.0</v>
      </c>
    </row>
    <row r="7077" ht="15.75" customHeight="1">
      <c r="B7077" s="370">
        <f t="shared" si="2"/>
        <v>0.81875</v>
      </c>
      <c r="C7077" s="56">
        <f t="shared" si="3"/>
        <v>70740</v>
      </c>
      <c r="D7077" s="56">
        <v>1.811</v>
      </c>
    </row>
    <row r="7078" ht="15.75" customHeight="1">
      <c r="B7078" s="370">
        <f t="shared" si="2"/>
        <v>0.8188657407</v>
      </c>
      <c r="C7078" s="56">
        <f t="shared" si="3"/>
        <v>70750</v>
      </c>
      <c r="D7078" s="56">
        <v>2.237</v>
      </c>
    </row>
    <row r="7079" ht="15.75" customHeight="1">
      <c r="B7079" s="370">
        <f t="shared" si="2"/>
        <v>0.8189814815</v>
      </c>
      <c r="C7079" s="56">
        <f t="shared" si="3"/>
        <v>70760</v>
      </c>
      <c r="D7079" s="56">
        <v>2.523</v>
      </c>
    </row>
    <row r="7080" ht="15.75" customHeight="1">
      <c r="B7080" s="370">
        <f t="shared" si="2"/>
        <v>0.8190972222</v>
      </c>
      <c r="C7080" s="56">
        <f t="shared" si="3"/>
        <v>70770</v>
      </c>
      <c r="D7080" s="56">
        <v>2.807</v>
      </c>
    </row>
    <row r="7081" ht="15.75" customHeight="1">
      <c r="B7081" s="370">
        <f t="shared" si="2"/>
        <v>0.819212963</v>
      </c>
      <c r="C7081" s="56">
        <f t="shared" si="3"/>
        <v>70780</v>
      </c>
      <c r="D7081" s="56">
        <v>3.02</v>
      </c>
    </row>
    <row r="7082" ht="15.75" customHeight="1">
      <c r="B7082" s="370">
        <f t="shared" si="2"/>
        <v>0.8193287037</v>
      </c>
      <c r="C7082" s="56">
        <f t="shared" si="3"/>
        <v>70790</v>
      </c>
      <c r="D7082" s="56">
        <v>3.166</v>
      </c>
    </row>
    <row r="7083" ht="15.75" customHeight="1">
      <c r="B7083" s="370">
        <f t="shared" si="2"/>
        <v>0.8194444444</v>
      </c>
      <c r="C7083" s="56">
        <f t="shared" si="3"/>
        <v>70800</v>
      </c>
      <c r="D7083" s="56">
        <v>3.015</v>
      </c>
    </row>
    <row r="7084" ht="15.75" customHeight="1">
      <c r="B7084" s="370">
        <f t="shared" si="2"/>
        <v>0.8195601852</v>
      </c>
      <c r="C7084" s="56">
        <f t="shared" si="3"/>
        <v>70810</v>
      </c>
      <c r="D7084" s="56">
        <v>2.956</v>
      </c>
    </row>
    <row r="7085" ht="15.75" customHeight="1">
      <c r="B7085" s="370">
        <f t="shared" si="2"/>
        <v>0.8196759259</v>
      </c>
      <c r="C7085" s="56">
        <f t="shared" si="3"/>
        <v>70820</v>
      </c>
      <c r="D7085" s="56">
        <v>2.839</v>
      </c>
    </row>
    <row r="7086" ht="15.75" customHeight="1">
      <c r="B7086" s="370">
        <f t="shared" si="2"/>
        <v>0.8197916667</v>
      </c>
      <c r="C7086" s="56">
        <f t="shared" si="3"/>
        <v>70830</v>
      </c>
      <c r="D7086" s="56">
        <v>2.972</v>
      </c>
    </row>
    <row r="7087" ht="15.75" customHeight="1">
      <c r="B7087" s="370">
        <f t="shared" si="2"/>
        <v>0.8199074074</v>
      </c>
      <c r="C7087" s="56">
        <f t="shared" si="3"/>
        <v>70840</v>
      </c>
      <c r="D7087" s="56">
        <v>2.848</v>
      </c>
    </row>
    <row r="7088" ht="15.75" customHeight="1">
      <c r="B7088" s="370">
        <f t="shared" si="2"/>
        <v>0.8200231481</v>
      </c>
      <c r="C7088" s="56">
        <f t="shared" si="3"/>
        <v>70850</v>
      </c>
      <c r="D7088" s="56">
        <v>2.73</v>
      </c>
    </row>
    <row r="7089" ht="15.75" customHeight="1">
      <c r="B7089" s="370">
        <f t="shared" si="2"/>
        <v>0.8201388889</v>
      </c>
      <c r="C7089" s="56">
        <f t="shared" si="3"/>
        <v>70860</v>
      </c>
      <c r="D7089" s="56">
        <v>2.557</v>
      </c>
    </row>
    <row r="7090" ht="15.75" customHeight="1">
      <c r="B7090" s="370">
        <f t="shared" si="2"/>
        <v>0.8202546296</v>
      </c>
      <c r="C7090" s="56">
        <f t="shared" si="3"/>
        <v>70870</v>
      </c>
      <c r="D7090" s="56">
        <v>2.294</v>
      </c>
    </row>
    <row r="7091" ht="15.75" customHeight="1">
      <c r="B7091" s="370">
        <f t="shared" si="2"/>
        <v>0.8203703704</v>
      </c>
      <c r="C7091" s="56">
        <f t="shared" si="3"/>
        <v>70880</v>
      </c>
      <c r="D7091" s="56">
        <v>2.42</v>
      </c>
    </row>
    <row r="7092" ht="15.75" customHeight="1">
      <c r="B7092" s="370">
        <f t="shared" si="2"/>
        <v>0.8204861111</v>
      </c>
      <c r="C7092" s="56">
        <f t="shared" si="3"/>
        <v>70890</v>
      </c>
      <c r="D7092" s="56">
        <v>3.262</v>
      </c>
    </row>
    <row r="7093" ht="15.75" customHeight="1">
      <c r="B7093" s="370">
        <f t="shared" si="2"/>
        <v>0.8206018519</v>
      </c>
      <c r="C7093" s="56">
        <f t="shared" si="3"/>
        <v>70900</v>
      </c>
      <c r="D7093" s="56">
        <v>3.479</v>
      </c>
    </row>
    <row r="7094" ht="15.75" customHeight="1">
      <c r="B7094" s="370">
        <f t="shared" si="2"/>
        <v>0.8207175926</v>
      </c>
      <c r="C7094" s="56">
        <f t="shared" si="3"/>
        <v>70910</v>
      </c>
      <c r="D7094" s="56">
        <v>3.498</v>
      </c>
    </row>
    <row r="7095" ht="15.75" customHeight="1">
      <c r="B7095" s="370">
        <f t="shared" si="2"/>
        <v>0.8208333333</v>
      </c>
      <c r="C7095" s="56">
        <f t="shared" si="3"/>
        <v>70920</v>
      </c>
      <c r="D7095" s="56">
        <v>3.507</v>
      </c>
    </row>
    <row r="7096" ht="15.75" customHeight="1">
      <c r="B7096" s="370">
        <f t="shared" si="2"/>
        <v>0.8209490741</v>
      </c>
      <c r="C7096" s="56">
        <f t="shared" si="3"/>
        <v>70930</v>
      </c>
      <c r="D7096" s="56">
        <v>3.127</v>
      </c>
    </row>
    <row r="7097" ht="15.75" customHeight="1">
      <c r="B7097" s="370">
        <f t="shared" si="2"/>
        <v>0.8210648148</v>
      </c>
      <c r="C7097" s="56">
        <f t="shared" si="3"/>
        <v>70940</v>
      </c>
      <c r="D7097" s="56">
        <v>2.357</v>
      </c>
    </row>
    <row r="7098" ht="15.75" customHeight="1">
      <c r="B7098" s="370">
        <f t="shared" si="2"/>
        <v>0.8211805556</v>
      </c>
      <c r="C7098" s="56">
        <f t="shared" si="3"/>
        <v>70950</v>
      </c>
      <c r="D7098" s="56">
        <v>2.092</v>
      </c>
    </row>
    <row r="7099" ht="15.75" customHeight="1">
      <c r="B7099" s="370">
        <f t="shared" si="2"/>
        <v>0.8212962963</v>
      </c>
      <c r="C7099" s="56">
        <f t="shared" si="3"/>
        <v>70960</v>
      </c>
      <c r="D7099" s="56">
        <v>2.396</v>
      </c>
    </row>
    <row r="7100" ht="15.75" customHeight="1">
      <c r="B7100" s="370">
        <f t="shared" si="2"/>
        <v>0.821412037</v>
      </c>
      <c r="C7100" s="56">
        <f t="shared" si="3"/>
        <v>70970</v>
      </c>
      <c r="D7100" s="56">
        <v>2.742</v>
      </c>
    </row>
    <row r="7101" ht="15.75" customHeight="1">
      <c r="B7101" s="370">
        <f t="shared" si="2"/>
        <v>0.8215277778</v>
      </c>
      <c r="C7101" s="56">
        <f t="shared" si="3"/>
        <v>70980</v>
      </c>
      <c r="D7101" s="56">
        <v>3.052</v>
      </c>
    </row>
    <row r="7102" ht="15.75" customHeight="1">
      <c r="B7102" s="370">
        <f t="shared" si="2"/>
        <v>0.8216435185</v>
      </c>
      <c r="C7102" s="56">
        <f t="shared" si="3"/>
        <v>70990</v>
      </c>
      <c r="D7102" s="56">
        <v>3.288</v>
      </c>
    </row>
    <row r="7103" ht="15.75" customHeight="1">
      <c r="B7103" s="370">
        <f t="shared" si="2"/>
        <v>0.8217592593</v>
      </c>
      <c r="C7103" s="56">
        <f t="shared" si="3"/>
        <v>71000</v>
      </c>
      <c r="D7103" s="56">
        <v>3.185</v>
      </c>
    </row>
    <row r="7104" ht="15.75" customHeight="1">
      <c r="B7104" s="370">
        <f t="shared" si="2"/>
        <v>0.821875</v>
      </c>
      <c r="C7104" s="56">
        <f t="shared" si="3"/>
        <v>71010</v>
      </c>
      <c r="D7104" s="56">
        <v>3.047</v>
      </c>
    </row>
    <row r="7105" ht="15.75" customHeight="1">
      <c r="B7105" s="370">
        <f t="shared" si="2"/>
        <v>0.8219907407</v>
      </c>
      <c r="C7105" s="56">
        <f t="shared" si="3"/>
        <v>71020</v>
      </c>
      <c r="D7105" s="56">
        <v>2.842</v>
      </c>
    </row>
    <row r="7106" ht="15.75" customHeight="1">
      <c r="B7106" s="370">
        <f t="shared" si="2"/>
        <v>0.8221064815</v>
      </c>
      <c r="C7106" s="56">
        <f t="shared" si="3"/>
        <v>71030</v>
      </c>
      <c r="D7106" s="56">
        <v>2.777</v>
      </c>
    </row>
    <row r="7107" ht="15.75" customHeight="1">
      <c r="B7107" s="370">
        <f t="shared" si="2"/>
        <v>0.8222222222</v>
      </c>
      <c r="C7107" s="56">
        <f t="shared" si="3"/>
        <v>71040</v>
      </c>
      <c r="D7107" s="56">
        <v>2.789</v>
      </c>
    </row>
    <row r="7108" ht="15.75" customHeight="1">
      <c r="B7108" s="370">
        <f t="shared" si="2"/>
        <v>0.822337963</v>
      </c>
      <c r="C7108" s="56">
        <f t="shared" si="3"/>
        <v>71050</v>
      </c>
      <c r="D7108" s="56">
        <v>2.755</v>
      </c>
    </row>
    <row r="7109" ht="15.75" customHeight="1">
      <c r="B7109" s="370">
        <f t="shared" si="2"/>
        <v>0.8224537037</v>
      </c>
      <c r="C7109" s="56">
        <f t="shared" si="3"/>
        <v>71060</v>
      </c>
      <c r="D7109" s="56">
        <v>2.648</v>
      </c>
    </row>
    <row r="7110" ht="15.75" customHeight="1">
      <c r="B7110" s="370">
        <f t="shared" si="2"/>
        <v>0.8225694444</v>
      </c>
      <c r="C7110" s="56">
        <f t="shared" si="3"/>
        <v>71070</v>
      </c>
      <c r="D7110" s="56">
        <v>2.523</v>
      </c>
    </row>
    <row r="7111" ht="15.75" customHeight="1">
      <c r="B7111" s="370">
        <f t="shared" si="2"/>
        <v>0.8226851852</v>
      </c>
      <c r="C7111" s="56">
        <f t="shared" si="3"/>
        <v>71080</v>
      </c>
      <c r="D7111" s="56">
        <v>2.223</v>
      </c>
    </row>
    <row r="7112" ht="15.75" customHeight="1">
      <c r="B7112" s="370">
        <f t="shared" si="2"/>
        <v>0.8228009259</v>
      </c>
      <c r="C7112" s="56">
        <f t="shared" si="3"/>
        <v>71090</v>
      </c>
      <c r="D7112" s="56">
        <v>3.13</v>
      </c>
    </row>
    <row r="7113" ht="15.75" customHeight="1">
      <c r="B7113" s="370">
        <f t="shared" si="2"/>
        <v>0.8229166667</v>
      </c>
      <c r="C7113" s="56">
        <f t="shared" si="3"/>
        <v>71100</v>
      </c>
      <c r="D7113" s="56">
        <v>3.424</v>
      </c>
    </row>
    <row r="7114" ht="15.75" customHeight="1">
      <c r="B7114" s="370">
        <f t="shared" si="2"/>
        <v>0.8230324074</v>
      </c>
      <c r="C7114" s="56">
        <f t="shared" si="3"/>
        <v>71110</v>
      </c>
      <c r="D7114" s="56">
        <v>3.454</v>
      </c>
    </row>
    <row r="7115" ht="15.75" customHeight="1">
      <c r="B7115" s="370">
        <f t="shared" si="2"/>
        <v>0.8231481481</v>
      </c>
      <c r="C7115" s="56">
        <f t="shared" si="3"/>
        <v>71120</v>
      </c>
      <c r="D7115" s="56">
        <v>3.494</v>
      </c>
    </row>
    <row r="7116" ht="15.75" customHeight="1">
      <c r="B7116" s="370">
        <f t="shared" si="2"/>
        <v>0.8232638889</v>
      </c>
      <c r="C7116" s="56">
        <f t="shared" si="3"/>
        <v>71130</v>
      </c>
      <c r="D7116" s="56">
        <v>3.199</v>
      </c>
    </row>
    <row r="7117" ht="15.75" customHeight="1">
      <c r="B7117" s="370">
        <f t="shared" si="2"/>
        <v>0.8233796296</v>
      </c>
      <c r="C7117" s="56">
        <f t="shared" si="3"/>
        <v>71140</v>
      </c>
      <c r="D7117" s="56">
        <v>2.534</v>
      </c>
    </row>
    <row r="7118" ht="15.75" customHeight="1">
      <c r="B7118" s="370">
        <f t="shared" si="2"/>
        <v>0.8234953704</v>
      </c>
      <c r="C7118" s="56">
        <f t="shared" si="3"/>
        <v>71150</v>
      </c>
      <c r="D7118" s="56">
        <v>1.958</v>
      </c>
    </row>
    <row r="7119" ht="15.75" customHeight="1">
      <c r="B7119" s="370">
        <f t="shared" si="2"/>
        <v>0.8236111111</v>
      </c>
      <c r="C7119" s="56">
        <f t="shared" si="3"/>
        <v>71160</v>
      </c>
      <c r="D7119" s="56">
        <v>2.23</v>
      </c>
    </row>
    <row r="7120" ht="15.75" customHeight="1">
      <c r="B7120" s="370">
        <f t="shared" si="2"/>
        <v>0.8237268519</v>
      </c>
      <c r="C7120" s="56">
        <f t="shared" si="3"/>
        <v>71170</v>
      </c>
      <c r="D7120" s="56">
        <v>2.645</v>
      </c>
    </row>
    <row r="7121" ht="15.75" customHeight="1">
      <c r="B7121" s="370">
        <f t="shared" si="2"/>
        <v>0.8238425926</v>
      </c>
      <c r="C7121" s="56">
        <f t="shared" si="3"/>
        <v>71180</v>
      </c>
      <c r="D7121" s="56">
        <v>3.05</v>
      </c>
    </row>
    <row r="7122" ht="15.75" customHeight="1">
      <c r="B7122" s="370">
        <f t="shared" si="2"/>
        <v>0.8239583333</v>
      </c>
      <c r="C7122" s="56">
        <f t="shared" si="3"/>
        <v>71190</v>
      </c>
      <c r="D7122" s="56">
        <v>3.369</v>
      </c>
    </row>
    <row r="7123" ht="15.75" customHeight="1">
      <c r="B7123" s="370">
        <f t="shared" si="2"/>
        <v>0.8240740741</v>
      </c>
      <c r="C7123" s="56">
        <f t="shared" si="3"/>
        <v>71200</v>
      </c>
      <c r="D7123" s="56">
        <v>3.288</v>
      </c>
    </row>
    <row r="7124" ht="15.75" customHeight="1">
      <c r="B7124" s="370">
        <f t="shared" si="2"/>
        <v>0.8241898148</v>
      </c>
      <c r="C7124" s="56">
        <f t="shared" si="3"/>
        <v>71210</v>
      </c>
      <c r="D7124" s="56">
        <v>3.243</v>
      </c>
    </row>
    <row r="7125" ht="15.75" customHeight="1">
      <c r="B7125" s="370">
        <f t="shared" si="2"/>
        <v>0.8243055556</v>
      </c>
      <c r="C7125" s="56">
        <f t="shared" si="3"/>
        <v>71220</v>
      </c>
      <c r="D7125" s="56">
        <v>3.004</v>
      </c>
    </row>
    <row r="7126" ht="15.75" customHeight="1">
      <c r="B7126" s="370">
        <f t="shared" si="2"/>
        <v>0.8244212963</v>
      </c>
      <c r="C7126" s="56">
        <f t="shared" si="3"/>
        <v>71230</v>
      </c>
      <c r="D7126" s="56">
        <v>2.637</v>
      </c>
    </row>
    <row r="7127" ht="15.75" customHeight="1">
      <c r="B7127" s="370">
        <f t="shared" si="2"/>
        <v>0.824537037</v>
      </c>
      <c r="C7127" s="56">
        <f t="shared" si="3"/>
        <v>71240</v>
      </c>
      <c r="D7127" s="56">
        <v>2.696</v>
      </c>
    </row>
    <row r="7128" ht="15.75" customHeight="1">
      <c r="B7128" s="370">
        <f t="shared" si="2"/>
        <v>0.8246527778</v>
      </c>
      <c r="C7128" s="56">
        <f t="shared" si="3"/>
        <v>71250</v>
      </c>
      <c r="D7128" s="56">
        <v>2.746</v>
      </c>
    </row>
    <row r="7129" ht="15.75" customHeight="1">
      <c r="B7129" s="370">
        <f t="shared" si="2"/>
        <v>0.8247685185</v>
      </c>
      <c r="C7129" s="56">
        <f t="shared" si="3"/>
        <v>71260</v>
      </c>
      <c r="D7129" s="56">
        <v>2.703</v>
      </c>
    </row>
    <row r="7130" ht="15.75" customHeight="1">
      <c r="B7130" s="370">
        <f t="shared" si="2"/>
        <v>0.8248842593</v>
      </c>
      <c r="C7130" s="56">
        <f t="shared" si="3"/>
        <v>71270</v>
      </c>
      <c r="D7130" s="56">
        <v>2.653</v>
      </c>
    </row>
    <row r="7131" ht="15.75" customHeight="1">
      <c r="B7131" s="370">
        <f t="shared" si="2"/>
        <v>0.825</v>
      </c>
      <c r="C7131" s="56">
        <f t="shared" si="3"/>
        <v>71280</v>
      </c>
      <c r="D7131" s="56">
        <v>2.449</v>
      </c>
    </row>
    <row r="7132" ht="15.75" customHeight="1">
      <c r="B7132" s="370">
        <f t="shared" si="2"/>
        <v>0.8251157407</v>
      </c>
      <c r="C7132" s="56">
        <f t="shared" si="3"/>
        <v>71290</v>
      </c>
      <c r="D7132" s="56">
        <v>2.959</v>
      </c>
    </row>
    <row r="7133" ht="15.75" customHeight="1">
      <c r="B7133" s="370">
        <f t="shared" si="2"/>
        <v>0.8252314815</v>
      </c>
      <c r="C7133" s="56">
        <f t="shared" si="3"/>
        <v>71300</v>
      </c>
      <c r="D7133" s="56">
        <v>3.331</v>
      </c>
    </row>
    <row r="7134" ht="15.75" customHeight="1">
      <c r="B7134" s="370">
        <f t="shared" si="2"/>
        <v>0.8253472222</v>
      </c>
      <c r="C7134" s="56">
        <f t="shared" si="3"/>
        <v>71310</v>
      </c>
      <c r="D7134" s="56">
        <v>3.383</v>
      </c>
    </row>
    <row r="7135" ht="15.75" customHeight="1">
      <c r="B7135" s="370">
        <f t="shared" si="2"/>
        <v>0.825462963</v>
      </c>
      <c r="C7135" s="56">
        <f t="shared" si="3"/>
        <v>71320</v>
      </c>
      <c r="D7135" s="56">
        <v>3.444</v>
      </c>
    </row>
    <row r="7136" ht="15.75" customHeight="1">
      <c r="B7136" s="370">
        <f t="shared" si="2"/>
        <v>0.8255787037</v>
      </c>
      <c r="C7136" s="56">
        <f t="shared" si="3"/>
        <v>71330</v>
      </c>
      <c r="D7136" s="56">
        <v>3.236</v>
      </c>
    </row>
    <row r="7137" ht="15.75" customHeight="1">
      <c r="B7137" s="370">
        <f t="shared" si="2"/>
        <v>0.8256944444</v>
      </c>
      <c r="C7137" s="56">
        <f t="shared" si="3"/>
        <v>71340</v>
      </c>
      <c r="D7137" s="56">
        <v>2.648</v>
      </c>
    </row>
    <row r="7138" ht="15.75" customHeight="1">
      <c r="B7138" s="370">
        <f t="shared" si="2"/>
        <v>0.8258101852</v>
      </c>
      <c r="C7138" s="56">
        <f t="shared" si="3"/>
        <v>71350</v>
      </c>
      <c r="D7138" s="56">
        <v>2.2</v>
      </c>
    </row>
    <row r="7139" ht="15.75" customHeight="1">
      <c r="B7139" s="370">
        <f t="shared" si="2"/>
        <v>0.8259259259</v>
      </c>
      <c r="C7139" s="56">
        <f t="shared" si="3"/>
        <v>71360</v>
      </c>
      <c r="D7139" s="56">
        <v>1.962</v>
      </c>
    </row>
    <row r="7140" ht="15.75" customHeight="1">
      <c r="B7140" s="370">
        <f t="shared" si="2"/>
        <v>0.8260416667</v>
      </c>
      <c r="C7140" s="56">
        <f t="shared" si="3"/>
        <v>71370</v>
      </c>
      <c r="D7140" s="56">
        <v>2.51</v>
      </c>
    </row>
    <row r="7141" ht="15.75" customHeight="1">
      <c r="B7141" s="370">
        <f t="shared" si="2"/>
        <v>0.8261574074</v>
      </c>
      <c r="C7141" s="56">
        <f t="shared" si="3"/>
        <v>71380</v>
      </c>
      <c r="D7141" s="56">
        <v>3.011</v>
      </c>
    </row>
    <row r="7142" ht="15.75" customHeight="1">
      <c r="B7142" s="370">
        <f t="shared" si="2"/>
        <v>0.8262731481</v>
      </c>
      <c r="C7142" s="56">
        <f t="shared" si="3"/>
        <v>71390</v>
      </c>
      <c r="D7142" s="56">
        <v>3.429</v>
      </c>
    </row>
    <row r="7143" ht="15.75" customHeight="1">
      <c r="B7143" s="370">
        <f t="shared" si="2"/>
        <v>0.8263888889</v>
      </c>
      <c r="C7143" s="56">
        <f t="shared" si="3"/>
        <v>71400</v>
      </c>
      <c r="D7143" s="56">
        <v>3.407</v>
      </c>
    </row>
    <row r="7144" ht="15.75" customHeight="1">
      <c r="B7144" s="370">
        <f t="shared" si="2"/>
        <v>0.8265046296</v>
      </c>
      <c r="C7144" s="56">
        <f t="shared" si="3"/>
        <v>71410</v>
      </c>
      <c r="D7144" s="56">
        <v>3.352</v>
      </c>
    </row>
    <row r="7145" ht="15.75" customHeight="1">
      <c r="B7145" s="370">
        <f t="shared" si="2"/>
        <v>0.8266203704</v>
      </c>
      <c r="C7145" s="56">
        <f t="shared" si="3"/>
        <v>71420</v>
      </c>
      <c r="D7145" s="56">
        <v>3.172</v>
      </c>
    </row>
    <row r="7146" ht="15.75" customHeight="1">
      <c r="B7146" s="370">
        <f t="shared" si="2"/>
        <v>0.8267361111</v>
      </c>
      <c r="C7146" s="56">
        <f t="shared" si="3"/>
        <v>71430</v>
      </c>
      <c r="D7146" s="56">
        <v>2.424</v>
      </c>
    </row>
    <row r="7147" ht="15.75" customHeight="1">
      <c r="B7147" s="370">
        <f t="shared" si="2"/>
        <v>0.8268518519</v>
      </c>
      <c r="C7147" s="56">
        <f t="shared" si="3"/>
        <v>71440</v>
      </c>
      <c r="D7147" s="56">
        <v>2.565</v>
      </c>
    </row>
    <row r="7148" ht="15.75" customHeight="1">
      <c r="B7148" s="370">
        <f t="shared" si="2"/>
        <v>0.8269675926</v>
      </c>
      <c r="C7148" s="56">
        <f t="shared" si="3"/>
        <v>71450</v>
      </c>
      <c r="D7148" s="56">
        <v>2.703</v>
      </c>
    </row>
    <row r="7149" ht="15.75" customHeight="1">
      <c r="B7149" s="370">
        <f t="shared" si="2"/>
        <v>0.8270833333</v>
      </c>
      <c r="C7149" s="56">
        <f t="shared" si="3"/>
        <v>71460</v>
      </c>
      <c r="D7149" s="56">
        <v>2.722</v>
      </c>
    </row>
    <row r="7150" ht="15.75" customHeight="1">
      <c r="B7150" s="370">
        <f t="shared" si="2"/>
        <v>0.8271990741</v>
      </c>
      <c r="C7150" s="56">
        <f t="shared" si="3"/>
        <v>71470</v>
      </c>
      <c r="D7150" s="56">
        <v>2.748</v>
      </c>
    </row>
    <row r="7151" ht="15.75" customHeight="1">
      <c r="B7151" s="370">
        <f t="shared" si="2"/>
        <v>0.8273148148</v>
      </c>
      <c r="C7151" s="56">
        <f t="shared" si="3"/>
        <v>71480</v>
      </c>
      <c r="D7151" s="56">
        <v>2.57</v>
      </c>
    </row>
    <row r="7152" ht="15.75" customHeight="1">
      <c r="B7152" s="370">
        <f t="shared" si="2"/>
        <v>0.8274305556</v>
      </c>
      <c r="C7152" s="56">
        <f t="shared" si="3"/>
        <v>71490</v>
      </c>
      <c r="D7152" s="56">
        <v>2.792</v>
      </c>
    </row>
    <row r="7153" ht="15.75" customHeight="1">
      <c r="B7153" s="370">
        <f t="shared" si="2"/>
        <v>0.8275462963</v>
      </c>
      <c r="C7153" s="56">
        <f t="shared" si="3"/>
        <v>71500</v>
      </c>
      <c r="D7153" s="56">
        <v>3.185</v>
      </c>
    </row>
    <row r="7154" ht="15.75" customHeight="1">
      <c r="B7154" s="370">
        <f t="shared" si="2"/>
        <v>0.827662037</v>
      </c>
      <c r="C7154" s="56">
        <f t="shared" si="3"/>
        <v>71510</v>
      </c>
      <c r="D7154" s="56">
        <v>3.279</v>
      </c>
    </row>
    <row r="7155" ht="15.75" customHeight="1">
      <c r="B7155" s="370">
        <f t="shared" si="2"/>
        <v>0.8277777778</v>
      </c>
      <c r="C7155" s="56">
        <f t="shared" si="3"/>
        <v>71520</v>
      </c>
      <c r="D7155" s="56">
        <v>3.376</v>
      </c>
    </row>
    <row r="7156" ht="15.75" customHeight="1">
      <c r="B7156" s="370">
        <f t="shared" si="2"/>
        <v>0.8278935185</v>
      </c>
      <c r="C7156" s="56">
        <f t="shared" si="3"/>
        <v>71530</v>
      </c>
      <c r="D7156" s="56">
        <v>3.239</v>
      </c>
    </row>
    <row r="7157" ht="15.75" customHeight="1">
      <c r="B7157" s="370">
        <f t="shared" si="2"/>
        <v>0.8280092593</v>
      </c>
      <c r="C7157" s="56">
        <f t="shared" si="3"/>
        <v>71540</v>
      </c>
      <c r="D7157" s="56">
        <v>2.772</v>
      </c>
    </row>
    <row r="7158" ht="15.75" customHeight="1">
      <c r="B7158" s="370">
        <f t="shared" si="2"/>
        <v>0.828125</v>
      </c>
      <c r="C7158" s="56">
        <f t="shared" si="3"/>
        <v>71550</v>
      </c>
      <c r="D7158" s="56">
        <v>2.38</v>
      </c>
    </row>
    <row r="7159" ht="15.75" customHeight="1">
      <c r="B7159" s="370">
        <f t="shared" si="2"/>
        <v>0.8282407407</v>
      </c>
      <c r="C7159" s="56">
        <f t="shared" si="3"/>
        <v>71560</v>
      </c>
      <c r="D7159" s="56">
        <v>2.005</v>
      </c>
    </row>
    <row r="7160" ht="15.75" customHeight="1">
      <c r="B7160" s="370">
        <f t="shared" si="2"/>
        <v>0.8283564815</v>
      </c>
      <c r="C7160" s="56">
        <f t="shared" si="3"/>
        <v>71570</v>
      </c>
      <c r="D7160" s="56">
        <v>2.329</v>
      </c>
    </row>
    <row r="7161" ht="15.75" customHeight="1">
      <c r="B7161" s="370">
        <f t="shared" si="2"/>
        <v>0.8284722222</v>
      </c>
      <c r="C7161" s="56">
        <f t="shared" si="3"/>
        <v>71580</v>
      </c>
      <c r="D7161" s="56">
        <v>2.937</v>
      </c>
    </row>
    <row r="7162" ht="15.75" customHeight="1">
      <c r="B7162" s="370">
        <f t="shared" si="2"/>
        <v>0.828587963</v>
      </c>
      <c r="C7162" s="56">
        <f t="shared" si="3"/>
        <v>71590</v>
      </c>
      <c r="D7162" s="56">
        <v>3.448</v>
      </c>
    </row>
    <row r="7163" ht="15.75" customHeight="1">
      <c r="B7163" s="370">
        <f t="shared" si="2"/>
        <v>0.8287037037</v>
      </c>
      <c r="C7163" s="56">
        <f t="shared" si="3"/>
        <v>71600</v>
      </c>
      <c r="D7163" s="56">
        <v>3.476</v>
      </c>
    </row>
    <row r="7164" ht="15.75" customHeight="1">
      <c r="B7164" s="370">
        <f t="shared" si="2"/>
        <v>0.8288194444</v>
      </c>
      <c r="C7164" s="56">
        <f t="shared" si="3"/>
        <v>71610</v>
      </c>
      <c r="D7164" s="56">
        <v>3.43</v>
      </c>
    </row>
    <row r="7165" ht="15.75" customHeight="1">
      <c r="B7165" s="370">
        <f t="shared" si="2"/>
        <v>0.8289351852</v>
      </c>
      <c r="C7165" s="56">
        <f t="shared" si="3"/>
        <v>71620</v>
      </c>
      <c r="D7165" s="56">
        <v>3.283</v>
      </c>
    </row>
    <row r="7166" ht="15.75" customHeight="1">
      <c r="B7166" s="370">
        <f t="shared" si="2"/>
        <v>0.8290509259</v>
      </c>
      <c r="C7166" s="56">
        <f t="shared" si="3"/>
        <v>71630</v>
      </c>
      <c r="D7166" s="56">
        <v>2.619</v>
      </c>
    </row>
    <row r="7167" ht="15.75" customHeight="1">
      <c r="B7167" s="370">
        <f t="shared" si="2"/>
        <v>0.8291666667</v>
      </c>
      <c r="C7167" s="56">
        <f t="shared" si="3"/>
        <v>71640</v>
      </c>
      <c r="D7167" s="56">
        <v>2.351</v>
      </c>
    </row>
    <row r="7168" ht="15.75" customHeight="1">
      <c r="B7168" s="370">
        <f t="shared" si="2"/>
        <v>0.8292824074</v>
      </c>
      <c r="C7168" s="56">
        <f t="shared" si="3"/>
        <v>71650</v>
      </c>
      <c r="D7168" s="56">
        <v>2.62</v>
      </c>
    </row>
    <row r="7169" ht="15.75" customHeight="1">
      <c r="B7169" s="370">
        <f t="shared" si="2"/>
        <v>0.8293981481</v>
      </c>
      <c r="C7169" s="56">
        <f t="shared" si="3"/>
        <v>71660</v>
      </c>
      <c r="D7169" s="56">
        <v>2.708</v>
      </c>
    </row>
    <row r="7170" ht="15.75" customHeight="1">
      <c r="B7170" s="370">
        <f t="shared" si="2"/>
        <v>0.8295138889</v>
      </c>
      <c r="C7170" s="56">
        <f t="shared" si="3"/>
        <v>71670</v>
      </c>
      <c r="D7170" s="56">
        <v>2.81</v>
      </c>
    </row>
    <row r="7171" ht="15.75" customHeight="1">
      <c r="B7171" s="370">
        <f t="shared" si="2"/>
        <v>0.8296296296</v>
      </c>
      <c r="C7171" s="56">
        <f t="shared" si="3"/>
        <v>71680</v>
      </c>
      <c r="D7171" s="56">
        <v>2.785</v>
      </c>
    </row>
    <row r="7172" ht="15.75" customHeight="1">
      <c r="B7172" s="370">
        <f t="shared" si="2"/>
        <v>0.8297453704</v>
      </c>
      <c r="C7172" s="56">
        <f t="shared" si="3"/>
        <v>71690</v>
      </c>
      <c r="D7172" s="56">
        <v>2.707</v>
      </c>
    </row>
    <row r="7173" ht="15.75" customHeight="1">
      <c r="B7173" s="370">
        <f t="shared" si="2"/>
        <v>0.8298611111</v>
      </c>
      <c r="C7173" s="56">
        <f t="shared" si="3"/>
        <v>71700</v>
      </c>
      <c r="D7173" s="56">
        <v>3.067</v>
      </c>
    </row>
    <row r="7174" ht="15.75" customHeight="1">
      <c r="B7174" s="370">
        <f t="shared" si="2"/>
        <v>0.8299768519</v>
      </c>
      <c r="C7174" s="56">
        <f t="shared" si="3"/>
        <v>71710</v>
      </c>
      <c r="D7174" s="56">
        <v>3.143</v>
      </c>
    </row>
    <row r="7175" ht="15.75" customHeight="1">
      <c r="B7175" s="370">
        <f t="shared" si="2"/>
        <v>0.8300925926</v>
      </c>
      <c r="C7175" s="56">
        <f t="shared" si="3"/>
        <v>71720</v>
      </c>
      <c r="D7175" s="56">
        <v>3.267</v>
      </c>
    </row>
    <row r="7176" ht="15.75" customHeight="1">
      <c r="B7176" s="370">
        <f t="shared" si="2"/>
        <v>0.8302083333</v>
      </c>
      <c r="C7176" s="56">
        <f t="shared" si="3"/>
        <v>71730</v>
      </c>
      <c r="D7176" s="56">
        <v>3.206</v>
      </c>
    </row>
    <row r="7177" ht="15.75" customHeight="1">
      <c r="B7177" s="370">
        <f t="shared" si="2"/>
        <v>0.8303240741</v>
      </c>
      <c r="C7177" s="56">
        <f t="shared" si="3"/>
        <v>71740</v>
      </c>
      <c r="D7177" s="56">
        <v>2.838</v>
      </c>
    </row>
    <row r="7178" ht="15.75" customHeight="1">
      <c r="B7178" s="370">
        <f t="shared" si="2"/>
        <v>0.8304398148</v>
      </c>
      <c r="C7178" s="56">
        <f t="shared" si="3"/>
        <v>71750</v>
      </c>
      <c r="D7178" s="56">
        <v>2.518</v>
      </c>
    </row>
    <row r="7179" ht="15.75" customHeight="1">
      <c r="B7179" s="370">
        <f t="shared" si="2"/>
        <v>0.8305555556</v>
      </c>
      <c r="C7179" s="56">
        <f t="shared" si="3"/>
        <v>71760</v>
      </c>
      <c r="D7179" s="56">
        <v>2.136</v>
      </c>
    </row>
    <row r="7180" ht="15.75" customHeight="1">
      <c r="B7180" s="370">
        <f t="shared" si="2"/>
        <v>0.8306712963</v>
      </c>
      <c r="C7180" s="56">
        <f t="shared" si="3"/>
        <v>71770</v>
      </c>
      <c r="D7180" s="56">
        <v>2.149</v>
      </c>
    </row>
    <row r="7181" ht="15.75" customHeight="1">
      <c r="B7181" s="370">
        <f t="shared" si="2"/>
        <v>0.830787037</v>
      </c>
      <c r="C7181" s="56">
        <f t="shared" si="3"/>
        <v>71780</v>
      </c>
      <c r="D7181" s="56">
        <v>2.825</v>
      </c>
    </row>
    <row r="7182" ht="15.75" customHeight="1">
      <c r="B7182" s="370">
        <f t="shared" si="2"/>
        <v>0.8309027778</v>
      </c>
      <c r="C7182" s="56">
        <f t="shared" si="3"/>
        <v>71790</v>
      </c>
      <c r="D7182" s="56">
        <v>3.431</v>
      </c>
    </row>
    <row r="7183" ht="15.75" customHeight="1">
      <c r="B7183" s="370">
        <f t="shared" si="2"/>
        <v>0.8310185185</v>
      </c>
      <c r="C7183" s="56">
        <f t="shared" si="3"/>
        <v>71800</v>
      </c>
      <c r="D7183" s="56">
        <v>3.511</v>
      </c>
    </row>
    <row r="7184" ht="15.75" customHeight="1">
      <c r="B7184" s="370">
        <f t="shared" si="2"/>
        <v>0.8311342593</v>
      </c>
      <c r="C7184" s="56">
        <f t="shared" si="3"/>
        <v>71810</v>
      </c>
      <c r="D7184" s="56">
        <v>3.49</v>
      </c>
    </row>
    <row r="7185" ht="15.75" customHeight="1">
      <c r="B7185" s="370">
        <f t="shared" si="2"/>
        <v>0.83125</v>
      </c>
      <c r="C7185" s="56">
        <f t="shared" si="3"/>
        <v>71820</v>
      </c>
      <c r="D7185" s="56">
        <v>3.4</v>
      </c>
    </row>
    <row r="7186" ht="15.75" customHeight="1">
      <c r="B7186" s="370">
        <f t="shared" si="2"/>
        <v>0.8313657407</v>
      </c>
      <c r="C7186" s="56">
        <f t="shared" si="3"/>
        <v>71830</v>
      </c>
      <c r="D7186" s="56">
        <v>2.809</v>
      </c>
    </row>
    <row r="7187" ht="15.75" customHeight="1">
      <c r="B7187" s="370">
        <f t="shared" si="2"/>
        <v>0.8314814815</v>
      </c>
      <c r="C7187" s="56">
        <f t="shared" si="3"/>
        <v>71840</v>
      </c>
      <c r="D7187" s="56">
        <v>2.21</v>
      </c>
    </row>
    <row r="7188" ht="15.75" customHeight="1">
      <c r="B7188" s="370">
        <f t="shared" si="2"/>
        <v>0.8315972222</v>
      </c>
      <c r="C7188" s="56">
        <f t="shared" si="3"/>
        <v>71850</v>
      </c>
      <c r="D7188" s="56">
        <v>2.511</v>
      </c>
    </row>
    <row r="7189" ht="15.75" customHeight="1">
      <c r="B7189" s="370">
        <f t="shared" si="2"/>
        <v>0.831712963</v>
      </c>
      <c r="C7189" s="56">
        <f t="shared" si="3"/>
        <v>71860</v>
      </c>
      <c r="D7189" s="56">
        <v>2.658</v>
      </c>
    </row>
    <row r="7190" ht="15.75" customHeight="1">
      <c r="B7190" s="370">
        <f t="shared" si="2"/>
        <v>0.8318287037</v>
      </c>
      <c r="C7190" s="56">
        <f t="shared" si="3"/>
        <v>71870</v>
      </c>
      <c r="D7190" s="56">
        <v>2.835</v>
      </c>
    </row>
    <row r="7191" ht="15.75" customHeight="1">
      <c r="B7191" s="370">
        <f t="shared" si="2"/>
        <v>0.8319444444</v>
      </c>
      <c r="C7191" s="56">
        <f t="shared" si="3"/>
        <v>71880</v>
      </c>
      <c r="D7191" s="56">
        <v>2.906</v>
      </c>
    </row>
    <row r="7192" ht="15.75" customHeight="1">
      <c r="B7192" s="370">
        <f t="shared" si="2"/>
        <v>0.8320601852</v>
      </c>
      <c r="C7192" s="56">
        <f t="shared" si="3"/>
        <v>71890</v>
      </c>
      <c r="D7192" s="56">
        <v>2.935</v>
      </c>
    </row>
    <row r="7193" ht="15.75" customHeight="1">
      <c r="B7193" s="370">
        <f t="shared" si="2"/>
        <v>0.8321759259</v>
      </c>
      <c r="C7193" s="56">
        <f t="shared" si="3"/>
        <v>71900</v>
      </c>
      <c r="D7193" s="56">
        <v>2.868</v>
      </c>
    </row>
    <row r="7194" ht="15.75" customHeight="1">
      <c r="B7194" s="370">
        <f t="shared" si="2"/>
        <v>0.8322916667</v>
      </c>
      <c r="C7194" s="56">
        <f t="shared" si="3"/>
        <v>71910</v>
      </c>
      <c r="D7194" s="56">
        <v>3.008</v>
      </c>
    </row>
    <row r="7195" ht="15.75" customHeight="1">
      <c r="B7195" s="370">
        <f t="shared" si="2"/>
        <v>0.8324074074</v>
      </c>
      <c r="C7195" s="56">
        <f t="shared" si="3"/>
        <v>71920</v>
      </c>
      <c r="D7195" s="56">
        <v>3.096</v>
      </c>
    </row>
    <row r="7196" ht="15.75" customHeight="1">
      <c r="B7196" s="370">
        <f t="shared" si="2"/>
        <v>0.8325231481</v>
      </c>
      <c r="C7196" s="56">
        <f t="shared" si="3"/>
        <v>71930</v>
      </c>
      <c r="D7196" s="56">
        <v>3.133</v>
      </c>
    </row>
    <row r="7197" ht="15.75" customHeight="1">
      <c r="B7197" s="370">
        <f t="shared" si="2"/>
        <v>0.8326388889</v>
      </c>
      <c r="C7197" s="56">
        <f t="shared" si="3"/>
        <v>71940</v>
      </c>
      <c r="D7197" s="56">
        <v>2.869</v>
      </c>
    </row>
    <row r="7198" ht="15.75" customHeight="1">
      <c r="B7198" s="370">
        <f t="shared" si="2"/>
        <v>0.8327546296</v>
      </c>
      <c r="C7198" s="56">
        <f t="shared" si="3"/>
        <v>71950</v>
      </c>
      <c r="D7198" s="56">
        <v>2.623</v>
      </c>
    </row>
    <row r="7199" ht="15.75" customHeight="1">
      <c r="B7199" s="370">
        <f t="shared" si="2"/>
        <v>0.8328703704</v>
      </c>
      <c r="C7199" s="56">
        <f t="shared" si="3"/>
        <v>71960</v>
      </c>
      <c r="D7199" s="56">
        <v>2.37</v>
      </c>
    </row>
    <row r="7200" ht="15.75" customHeight="1">
      <c r="B7200" s="370">
        <f t="shared" si="2"/>
        <v>0.8329861111</v>
      </c>
      <c r="C7200" s="56">
        <f t="shared" si="3"/>
        <v>71970</v>
      </c>
      <c r="D7200" s="56">
        <v>2.025</v>
      </c>
    </row>
    <row r="7201" ht="15.75" customHeight="1">
      <c r="B7201" s="370">
        <f t="shared" si="2"/>
        <v>0.8331018519</v>
      </c>
      <c r="C7201" s="56">
        <f t="shared" si="3"/>
        <v>71980</v>
      </c>
      <c r="D7201" s="56">
        <v>2.683</v>
      </c>
    </row>
    <row r="7202" ht="15.75" customHeight="1">
      <c r="B7202" s="370">
        <f t="shared" si="2"/>
        <v>0.8332175926</v>
      </c>
      <c r="C7202" s="56">
        <f t="shared" si="3"/>
        <v>71990</v>
      </c>
      <c r="D7202" s="56">
        <v>3.387</v>
      </c>
    </row>
    <row r="7203" ht="15.75" customHeight="1">
      <c r="B7203" s="370">
        <f t="shared" si="2"/>
        <v>0.8333333333</v>
      </c>
      <c r="C7203" s="56">
        <f t="shared" si="3"/>
        <v>72000</v>
      </c>
      <c r="D7203" s="56">
        <v>3.524</v>
      </c>
    </row>
    <row r="7204" ht="15.75" customHeight="1">
      <c r="B7204" s="370">
        <f t="shared" si="2"/>
        <v>0.8334490741</v>
      </c>
      <c r="C7204" s="56">
        <f t="shared" si="3"/>
        <v>72010</v>
      </c>
      <c r="D7204" s="56">
        <v>3.512</v>
      </c>
    </row>
    <row r="7205" ht="15.75" customHeight="1">
      <c r="B7205" s="370">
        <f t="shared" si="2"/>
        <v>0.8335648148</v>
      </c>
      <c r="C7205" s="56">
        <f t="shared" si="3"/>
        <v>72020</v>
      </c>
      <c r="D7205" s="56">
        <v>3.467</v>
      </c>
    </row>
    <row r="7206" ht="15.75" customHeight="1">
      <c r="B7206" s="370">
        <f t="shared" si="2"/>
        <v>0.8336805556</v>
      </c>
      <c r="C7206" s="56">
        <f t="shared" si="3"/>
        <v>72030</v>
      </c>
      <c r="D7206" s="56">
        <v>2.957</v>
      </c>
    </row>
    <row r="7207" ht="15.75" customHeight="1">
      <c r="B7207" s="370">
        <f t="shared" si="2"/>
        <v>0.8337962963</v>
      </c>
      <c r="C7207" s="56">
        <f t="shared" si="3"/>
        <v>72040</v>
      </c>
      <c r="D7207" s="56">
        <v>2.034</v>
      </c>
    </row>
    <row r="7208" ht="15.75" customHeight="1">
      <c r="B7208" s="370">
        <f t="shared" si="2"/>
        <v>0.833912037</v>
      </c>
      <c r="C7208" s="56">
        <f t="shared" si="3"/>
        <v>72050</v>
      </c>
      <c r="D7208" s="56">
        <v>2.362</v>
      </c>
    </row>
    <row r="7209" ht="15.75" customHeight="1">
      <c r="B7209" s="370">
        <f t="shared" si="2"/>
        <v>0.8340277778</v>
      </c>
      <c r="C7209" s="56">
        <f t="shared" si="3"/>
        <v>72060</v>
      </c>
      <c r="D7209" s="56">
        <v>2.577</v>
      </c>
    </row>
    <row r="7210" ht="15.75" customHeight="1">
      <c r="B7210" s="370">
        <f t="shared" si="2"/>
        <v>0.8341435185</v>
      </c>
      <c r="C7210" s="56">
        <f t="shared" si="3"/>
        <v>72070</v>
      </c>
      <c r="D7210" s="56">
        <v>2.822</v>
      </c>
    </row>
    <row r="7211" ht="15.75" customHeight="1">
      <c r="B7211" s="370">
        <f t="shared" si="2"/>
        <v>0.8342592593</v>
      </c>
      <c r="C7211" s="56">
        <f t="shared" si="3"/>
        <v>72080</v>
      </c>
      <c r="D7211" s="56">
        <v>2.991</v>
      </c>
    </row>
    <row r="7212" ht="15.75" customHeight="1">
      <c r="B7212" s="370">
        <f t="shared" si="2"/>
        <v>0.834375</v>
      </c>
      <c r="C7212" s="56">
        <f t="shared" si="3"/>
        <v>72090</v>
      </c>
      <c r="D7212" s="56">
        <v>3.058</v>
      </c>
    </row>
    <row r="7213" ht="15.75" customHeight="1">
      <c r="B7213" s="370">
        <f t="shared" si="2"/>
        <v>0.8344907407</v>
      </c>
      <c r="C7213" s="56">
        <f t="shared" si="3"/>
        <v>72100</v>
      </c>
      <c r="D7213" s="56">
        <v>2.963</v>
      </c>
    </row>
    <row r="7214" ht="15.75" customHeight="1">
      <c r="B7214" s="370">
        <f t="shared" si="2"/>
        <v>0.8346064815</v>
      </c>
      <c r="C7214" s="56">
        <f t="shared" si="3"/>
        <v>72110</v>
      </c>
      <c r="D7214" s="56">
        <v>2.873</v>
      </c>
    </row>
    <row r="7215" ht="15.75" customHeight="1">
      <c r="B7215" s="370">
        <f t="shared" si="2"/>
        <v>0.8347222222</v>
      </c>
      <c r="C7215" s="56">
        <f t="shared" si="3"/>
        <v>72120</v>
      </c>
      <c r="D7215" s="56">
        <v>2.965</v>
      </c>
    </row>
    <row r="7216" ht="15.75" customHeight="1">
      <c r="B7216" s="370">
        <f t="shared" si="2"/>
        <v>0.834837963</v>
      </c>
      <c r="C7216" s="56">
        <f t="shared" si="3"/>
        <v>72130</v>
      </c>
      <c r="D7216" s="56">
        <v>3.034</v>
      </c>
    </row>
    <row r="7217" ht="15.75" customHeight="1">
      <c r="B7217" s="370">
        <f t="shared" si="2"/>
        <v>0.8349537037</v>
      </c>
      <c r="C7217" s="56">
        <f t="shared" si="3"/>
        <v>72140</v>
      </c>
      <c r="D7217" s="56">
        <v>2.863</v>
      </c>
    </row>
    <row r="7218" ht="15.75" customHeight="1">
      <c r="B7218" s="370">
        <f t="shared" si="2"/>
        <v>0.8350694444</v>
      </c>
      <c r="C7218" s="56">
        <f t="shared" si="3"/>
        <v>72150</v>
      </c>
      <c r="D7218" s="56">
        <v>2.706</v>
      </c>
    </row>
    <row r="7219" ht="15.75" customHeight="1">
      <c r="B7219" s="370">
        <f t="shared" si="2"/>
        <v>0.8351851852</v>
      </c>
      <c r="C7219" s="56">
        <f t="shared" si="3"/>
        <v>72160</v>
      </c>
      <c r="D7219" s="56">
        <v>2.509</v>
      </c>
    </row>
    <row r="7220" ht="15.75" customHeight="1">
      <c r="B7220" s="370">
        <f t="shared" si="2"/>
        <v>0.8353009259</v>
      </c>
      <c r="C7220" s="56">
        <f t="shared" si="3"/>
        <v>72170</v>
      </c>
      <c r="D7220" s="56">
        <v>2.272</v>
      </c>
    </row>
    <row r="7221" ht="15.75" customHeight="1">
      <c r="B7221" s="370">
        <f t="shared" si="2"/>
        <v>0.8354166667</v>
      </c>
      <c r="C7221" s="56">
        <f t="shared" si="3"/>
        <v>72180</v>
      </c>
      <c r="D7221" s="56">
        <v>2.485</v>
      </c>
    </row>
    <row r="7222" ht="15.75" customHeight="1">
      <c r="B7222" s="370">
        <f t="shared" si="2"/>
        <v>0.8355324074</v>
      </c>
      <c r="C7222" s="56">
        <f t="shared" si="3"/>
        <v>72190</v>
      </c>
      <c r="D7222" s="56">
        <v>3.308</v>
      </c>
    </row>
    <row r="7223" ht="15.75" customHeight="1">
      <c r="B7223" s="370">
        <f t="shared" si="2"/>
        <v>0.8356481481</v>
      </c>
      <c r="C7223" s="56">
        <f t="shared" si="3"/>
        <v>72200</v>
      </c>
      <c r="D7223" s="56">
        <v>3.505</v>
      </c>
    </row>
    <row r="7224" ht="15.75" customHeight="1">
      <c r="B7224" s="370">
        <f t="shared" si="2"/>
        <v>0.8357638889</v>
      </c>
      <c r="C7224" s="56">
        <f t="shared" si="3"/>
        <v>72210</v>
      </c>
      <c r="D7224" s="56">
        <v>3.507</v>
      </c>
    </row>
    <row r="7225" ht="15.75" customHeight="1">
      <c r="B7225" s="370">
        <f t="shared" si="2"/>
        <v>0.8358796296</v>
      </c>
      <c r="C7225" s="56">
        <f t="shared" si="3"/>
        <v>72220</v>
      </c>
      <c r="D7225" s="56">
        <v>3.497</v>
      </c>
    </row>
    <row r="7226" ht="15.75" customHeight="1">
      <c r="B7226" s="370">
        <f t="shared" si="2"/>
        <v>0.8359953704</v>
      </c>
      <c r="C7226" s="56">
        <f t="shared" si="3"/>
        <v>72230</v>
      </c>
      <c r="D7226" s="56">
        <v>3.068</v>
      </c>
    </row>
    <row r="7227" ht="15.75" customHeight="1">
      <c r="B7227" s="370">
        <f t="shared" si="2"/>
        <v>0.8361111111</v>
      </c>
      <c r="C7227" s="56">
        <f t="shared" si="3"/>
        <v>72240</v>
      </c>
      <c r="D7227" s="56">
        <v>2.276</v>
      </c>
    </row>
    <row r="7228" ht="15.75" customHeight="1">
      <c r="B7228" s="370">
        <f t="shared" si="2"/>
        <v>0.8362268519</v>
      </c>
      <c r="C7228" s="56">
        <f t="shared" si="3"/>
        <v>72250</v>
      </c>
      <c r="D7228" s="56">
        <v>2.123</v>
      </c>
    </row>
    <row r="7229" ht="15.75" customHeight="1">
      <c r="B7229" s="370">
        <f t="shared" si="2"/>
        <v>0.8363425926</v>
      </c>
      <c r="C7229" s="56">
        <f t="shared" si="3"/>
        <v>72260</v>
      </c>
      <c r="D7229" s="56">
        <v>2.457</v>
      </c>
    </row>
    <row r="7230" ht="15.75" customHeight="1">
      <c r="B7230" s="370">
        <f t="shared" si="2"/>
        <v>0.8364583333</v>
      </c>
      <c r="C7230" s="56">
        <f t="shared" si="3"/>
        <v>72270</v>
      </c>
      <c r="D7230" s="56">
        <v>2.777</v>
      </c>
    </row>
    <row r="7231" ht="15.75" customHeight="1">
      <c r="B7231" s="370">
        <f t="shared" si="2"/>
        <v>0.8365740741</v>
      </c>
      <c r="C7231" s="56">
        <f t="shared" si="3"/>
        <v>72280</v>
      </c>
      <c r="D7231" s="56">
        <v>3.043</v>
      </c>
    </row>
    <row r="7232" ht="15.75" customHeight="1">
      <c r="B7232" s="370">
        <f t="shared" si="2"/>
        <v>0.8366898148</v>
      </c>
      <c r="C7232" s="56">
        <f t="shared" si="3"/>
        <v>72290</v>
      </c>
      <c r="D7232" s="56">
        <v>3.235</v>
      </c>
    </row>
    <row r="7233" ht="15.75" customHeight="1">
      <c r="B7233" s="370">
        <f t="shared" si="2"/>
        <v>0.8368055556</v>
      </c>
      <c r="C7233" s="56">
        <f t="shared" si="3"/>
        <v>72300</v>
      </c>
      <c r="D7233" s="56">
        <v>3.11</v>
      </c>
    </row>
    <row r="7234" ht="15.75" customHeight="1">
      <c r="B7234" s="370">
        <f t="shared" si="2"/>
        <v>0.8369212963</v>
      </c>
      <c r="C7234" s="56">
        <f t="shared" si="3"/>
        <v>72310</v>
      </c>
      <c r="D7234" s="56">
        <v>3.042</v>
      </c>
    </row>
    <row r="7235" ht="15.75" customHeight="1">
      <c r="B7235" s="370">
        <f t="shared" si="2"/>
        <v>0.837037037</v>
      </c>
      <c r="C7235" s="56">
        <f t="shared" si="3"/>
        <v>72320</v>
      </c>
      <c r="D7235" s="56">
        <v>2.778</v>
      </c>
    </row>
    <row r="7236" ht="15.75" customHeight="1">
      <c r="B7236" s="370">
        <f t="shared" si="2"/>
        <v>0.8371527778</v>
      </c>
      <c r="C7236" s="56">
        <f t="shared" si="3"/>
        <v>72330</v>
      </c>
      <c r="D7236" s="56">
        <v>2.895</v>
      </c>
    </row>
    <row r="7237" ht="15.75" customHeight="1">
      <c r="B7237" s="370">
        <f t="shared" si="2"/>
        <v>0.8372685185</v>
      </c>
      <c r="C7237" s="56">
        <f t="shared" si="3"/>
        <v>72340</v>
      </c>
      <c r="D7237" s="56">
        <v>2.822</v>
      </c>
    </row>
    <row r="7238" ht="15.75" customHeight="1">
      <c r="B7238" s="370">
        <f t="shared" si="2"/>
        <v>0.8373842593</v>
      </c>
      <c r="C7238" s="56">
        <f t="shared" si="3"/>
        <v>72350</v>
      </c>
      <c r="D7238" s="56">
        <v>2.749</v>
      </c>
    </row>
    <row r="7239" ht="15.75" customHeight="1">
      <c r="B7239" s="370">
        <f t="shared" si="2"/>
        <v>0.8375</v>
      </c>
      <c r="C7239" s="56">
        <f t="shared" si="3"/>
        <v>72360</v>
      </c>
      <c r="D7239" s="56">
        <v>2.609</v>
      </c>
    </row>
    <row r="7240" ht="15.75" customHeight="1">
      <c r="B7240" s="370">
        <f t="shared" si="2"/>
        <v>0.8376157407</v>
      </c>
      <c r="C7240" s="56">
        <f t="shared" si="3"/>
        <v>72370</v>
      </c>
      <c r="D7240" s="56">
        <v>2.398</v>
      </c>
    </row>
    <row r="7241" ht="15.75" customHeight="1">
      <c r="B7241" s="370">
        <f t="shared" si="2"/>
        <v>0.8377314815</v>
      </c>
      <c r="C7241" s="56">
        <f t="shared" si="3"/>
        <v>72380</v>
      </c>
      <c r="D7241" s="56">
        <v>2.308</v>
      </c>
    </row>
    <row r="7242" ht="15.75" customHeight="1">
      <c r="B7242" s="370">
        <f t="shared" si="2"/>
        <v>0.8378472222</v>
      </c>
      <c r="C7242" s="56">
        <f t="shared" si="3"/>
        <v>72390</v>
      </c>
      <c r="D7242" s="56">
        <v>3.189</v>
      </c>
    </row>
    <row r="7243" ht="15.75" customHeight="1">
      <c r="B7243" s="370">
        <f t="shared" si="2"/>
        <v>0.837962963</v>
      </c>
      <c r="C7243" s="56">
        <f t="shared" si="3"/>
        <v>72400</v>
      </c>
      <c r="D7243" s="56">
        <v>3.45</v>
      </c>
    </row>
    <row r="7244" ht="15.75" customHeight="1">
      <c r="B7244" s="370">
        <f t="shared" si="2"/>
        <v>0.8380787037</v>
      </c>
      <c r="C7244" s="56">
        <f t="shared" si="3"/>
        <v>72410</v>
      </c>
      <c r="D7244" s="56">
        <v>3.479</v>
      </c>
    </row>
    <row r="7245" ht="15.75" customHeight="1">
      <c r="B7245" s="370">
        <f t="shared" si="2"/>
        <v>0.8381944444</v>
      </c>
      <c r="C7245" s="56">
        <f t="shared" si="3"/>
        <v>72420</v>
      </c>
      <c r="D7245" s="56">
        <v>3.504</v>
      </c>
    </row>
    <row r="7246" ht="15.75" customHeight="1">
      <c r="B7246" s="370">
        <f t="shared" si="2"/>
        <v>0.8383101852</v>
      </c>
      <c r="C7246" s="56">
        <f t="shared" si="3"/>
        <v>72430</v>
      </c>
      <c r="D7246" s="56">
        <v>3.171</v>
      </c>
    </row>
    <row r="7247" ht="15.75" customHeight="1">
      <c r="B7247" s="370">
        <f t="shared" si="2"/>
        <v>0.8384259259</v>
      </c>
      <c r="C7247" s="56">
        <f t="shared" si="3"/>
        <v>72440</v>
      </c>
      <c r="D7247" s="56">
        <v>2.461</v>
      </c>
    </row>
    <row r="7248" ht="15.75" customHeight="1">
      <c r="B7248" s="370">
        <f t="shared" si="2"/>
        <v>0.8385416667</v>
      </c>
      <c r="C7248" s="56">
        <f t="shared" si="3"/>
        <v>72450</v>
      </c>
      <c r="D7248" s="56">
        <v>1.987</v>
      </c>
    </row>
    <row r="7249" ht="15.75" customHeight="1">
      <c r="B7249" s="370">
        <f t="shared" si="2"/>
        <v>0.8386574074</v>
      </c>
      <c r="C7249" s="56">
        <f t="shared" si="3"/>
        <v>72460</v>
      </c>
      <c r="D7249" s="56">
        <v>2.303</v>
      </c>
    </row>
    <row r="7250" ht="15.75" customHeight="1">
      <c r="B7250" s="370">
        <f t="shared" si="2"/>
        <v>0.8387731481</v>
      </c>
      <c r="C7250" s="56">
        <f t="shared" si="3"/>
        <v>72470</v>
      </c>
      <c r="D7250" s="56">
        <v>2.694</v>
      </c>
    </row>
    <row r="7251" ht="15.75" customHeight="1">
      <c r="B7251" s="370">
        <f t="shared" si="2"/>
        <v>0.8388888889</v>
      </c>
      <c r="C7251" s="56">
        <f t="shared" si="3"/>
        <v>72480</v>
      </c>
      <c r="D7251" s="56">
        <v>3.056</v>
      </c>
    </row>
    <row r="7252" ht="15.75" customHeight="1">
      <c r="B7252" s="370">
        <f t="shared" si="2"/>
        <v>0.8390046296</v>
      </c>
      <c r="C7252" s="56">
        <f t="shared" si="3"/>
        <v>72490</v>
      </c>
      <c r="D7252" s="56">
        <v>3.338</v>
      </c>
    </row>
    <row r="7253" ht="15.75" customHeight="1">
      <c r="B7253" s="370">
        <f t="shared" si="2"/>
        <v>0.8391203704</v>
      </c>
      <c r="C7253" s="56">
        <f t="shared" si="3"/>
        <v>72500</v>
      </c>
      <c r="D7253" s="56">
        <v>3.254</v>
      </c>
    </row>
    <row r="7254" ht="15.75" customHeight="1">
      <c r="B7254" s="370">
        <f t="shared" si="2"/>
        <v>0.8392361111</v>
      </c>
      <c r="C7254" s="56">
        <f t="shared" si="3"/>
        <v>72510</v>
      </c>
      <c r="D7254" s="56">
        <v>3.142</v>
      </c>
    </row>
    <row r="7255" ht="15.75" customHeight="1">
      <c r="B7255" s="370">
        <f t="shared" si="2"/>
        <v>0.8393518519</v>
      </c>
      <c r="C7255" s="56">
        <f t="shared" si="3"/>
        <v>72520</v>
      </c>
      <c r="D7255" s="56">
        <v>2.939</v>
      </c>
    </row>
    <row r="7256" ht="15.75" customHeight="1">
      <c r="B7256" s="370">
        <f t="shared" si="2"/>
        <v>0.8394675926</v>
      </c>
      <c r="C7256" s="56">
        <f t="shared" si="3"/>
        <v>72530</v>
      </c>
      <c r="D7256" s="56">
        <v>2.668</v>
      </c>
    </row>
    <row r="7257" ht="15.75" customHeight="1">
      <c r="B7257" s="370">
        <f t="shared" si="2"/>
        <v>0.8395833333</v>
      </c>
      <c r="C7257" s="56">
        <f t="shared" si="3"/>
        <v>72540</v>
      </c>
      <c r="D7257" s="56">
        <v>2.743</v>
      </c>
    </row>
    <row r="7258" ht="15.75" customHeight="1">
      <c r="B7258" s="370">
        <f t="shared" si="2"/>
        <v>0.8396990741</v>
      </c>
      <c r="C7258" s="56">
        <f t="shared" si="3"/>
        <v>72550</v>
      </c>
      <c r="D7258" s="56">
        <v>2.754</v>
      </c>
    </row>
    <row r="7259" ht="15.75" customHeight="1">
      <c r="B7259" s="370">
        <f t="shared" si="2"/>
        <v>0.8398148148</v>
      </c>
      <c r="C7259" s="56">
        <f t="shared" si="3"/>
        <v>72560</v>
      </c>
      <c r="D7259" s="56">
        <v>2.682</v>
      </c>
    </row>
    <row r="7260" ht="15.75" customHeight="1">
      <c r="B7260" s="370">
        <f t="shared" si="2"/>
        <v>0.8399305556</v>
      </c>
      <c r="C7260" s="56">
        <f t="shared" si="3"/>
        <v>72570</v>
      </c>
      <c r="D7260" s="56">
        <v>2.596</v>
      </c>
    </row>
    <row r="7261" ht="15.75" customHeight="1">
      <c r="B7261" s="370">
        <f t="shared" si="2"/>
        <v>0.8400462963</v>
      </c>
      <c r="C7261" s="56">
        <f t="shared" si="3"/>
        <v>72580</v>
      </c>
      <c r="D7261" s="56">
        <v>2.315</v>
      </c>
    </row>
    <row r="7262" ht="15.75" customHeight="1">
      <c r="B7262" s="370">
        <f t="shared" si="2"/>
        <v>0.840162037</v>
      </c>
      <c r="C7262" s="56">
        <f t="shared" si="3"/>
        <v>72590</v>
      </c>
      <c r="D7262" s="56">
        <v>3.05</v>
      </c>
    </row>
    <row r="7263" ht="15.75" customHeight="1">
      <c r="B7263" s="370">
        <f t="shared" si="2"/>
        <v>0.8402777778</v>
      </c>
      <c r="C7263" s="56">
        <f t="shared" si="3"/>
        <v>72600</v>
      </c>
      <c r="D7263" s="56">
        <v>3.381</v>
      </c>
    </row>
    <row r="7264" ht="15.75" customHeight="1">
      <c r="B7264" s="370">
        <f t="shared" si="2"/>
        <v>0.8403935185</v>
      </c>
      <c r="C7264" s="56">
        <f t="shared" si="3"/>
        <v>72610</v>
      </c>
      <c r="D7264" s="56">
        <v>3.418</v>
      </c>
    </row>
    <row r="7265" ht="15.75" customHeight="1">
      <c r="B7265" s="370">
        <f t="shared" si="2"/>
        <v>0.8405092593</v>
      </c>
      <c r="C7265" s="56">
        <f t="shared" si="3"/>
        <v>72620</v>
      </c>
      <c r="D7265" s="56">
        <v>3.475</v>
      </c>
    </row>
    <row r="7266" ht="15.75" customHeight="1">
      <c r="B7266" s="370">
        <f t="shared" si="2"/>
        <v>0.840625</v>
      </c>
      <c r="C7266" s="56">
        <f t="shared" si="3"/>
        <v>72630</v>
      </c>
      <c r="D7266" s="56">
        <v>3.224</v>
      </c>
    </row>
    <row r="7267" ht="15.75" customHeight="1">
      <c r="B7267" s="370">
        <f t="shared" si="2"/>
        <v>0.8407407407</v>
      </c>
      <c r="C7267" s="56">
        <f t="shared" si="3"/>
        <v>72640</v>
      </c>
      <c r="D7267" s="56">
        <v>2.611</v>
      </c>
    </row>
    <row r="7268" ht="15.75" customHeight="1">
      <c r="B7268" s="370">
        <f t="shared" si="2"/>
        <v>0.8408564815</v>
      </c>
      <c r="C7268" s="56">
        <f t="shared" si="3"/>
        <v>72650</v>
      </c>
      <c r="D7268" s="56">
        <v>2.035</v>
      </c>
    </row>
    <row r="7269" ht="15.75" customHeight="1">
      <c r="B7269" s="370">
        <f t="shared" si="2"/>
        <v>0.8409722222</v>
      </c>
      <c r="C7269" s="56">
        <f t="shared" si="3"/>
        <v>72660</v>
      </c>
      <c r="D7269" s="56">
        <v>2.13</v>
      </c>
    </row>
    <row r="7270" ht="15.75" customHeight="1">
      <c r="B7270" s="370">
        <f t="shared" si="2"/>
        <v>0.841087963</v>
      </c>
      <c r="C7270" s="56">
        <f t="shared" si="3"/>
        <v>72670</v>
      </c>
      <c r="D7270" s="56">
        <v>2.567</v>
      </c>
    </row>
    <row r="7271" ht="15.75" customHeight="1">
      <c r="B7271" s="370">
        <f t="shared" si="2"/>
        <v>0.8412037037</v>
      </c>
      <c r="C7271" s="56">
        <f t="shared" si="3"/>
        <v>72680</v>
      </c>
      <c r="D7271" s="56">
        <v>3.033</v>
      </c>
    </row>
    <row r="7272" ht="15.75" customHeight="1">
      <c r="B7272" s="370">
        <f t="shared" si="2"/>
        <v>0.8413194444</v>
      </c>
      <c r="C7272" s="56">
        <f t="shared" si="3"/>
        <v>72690</v>
      </c>
      <c r="D7272" s="56">
        <v>3.401</v>
      </c>
    </row>
    <row r="7273" ht="15.75" customHeight="1">
      <c r="B7273" s="370">
        <f t="shared" si="2"/>
        <v>0.8414351852</v>
      </c>
      <c r="C7273" s="56">
        <f t="shared" si="3"/>
        <v>72700</v>
      </c>
      <c r="D7273" s="56">
        <v>3.352</v>
      </c>
    </row>
    <row r="7274" ht="15.75" customHeight="1">
      <c r="B7274" s="370">
        <f t="shared" si="2"/>
        <v>0.8415509259</v>
      </c>
      <c r="C7274" s="56">
        <f t="shared" si="3"/>
        <v>72710</v>
      </c>
      <c r="D7274" s="56">
        <v>3.305</v>
      </c>
    </row>
    <row r="7275" ht="15.75" customHeight="1">
      <c r="B7275" s="370">
        <f t="shared" si="2"/>
        <v>0.8416666667</v>
      </c>
      <c r="C7275" s="56">
        <f t="shared" si="3"/>
        <v>72720</v>
      </c>
      <c r="D7275" s="56">
        <v>3.105</v>
      </c>
    </row>
    <row r="7276" ht="15.75" customHeight="1">
      <c r="B7276" s="370">
        <f t="shared" si="2"/>
        <v>0.8417824074</v>
      </c>
      <c r="C7276" s="56">
        <f t="shared" si="3"/>
        <v>72730</v>
      </c>
      <c r="D7276" s="56">
        <v>2.529</v>
      </c>
    </row>
    <row r="7277" ht="15.75" customHeight="1">
      <c r="B7277" s="370">
        <f t="shared" si="2"/>
        <v>0.8418981481</v>
      </c>
      <c r="C7277" s="56">
        <f t="shared" si="3"/>
        <v>72740</v>
      </c>
      <c r="D7277" s="56">
        <v>2.629</v>
      </c>
    </row>
    <row r="7278" ht="15.75" customHeight="1">
      <c r="B7278" s="370">
        <f t="shared" si="2"/>
        <v>0.8420138889</v>
      </c>
      <c r="C7278" s="56">
        <f t="shared" si="3"/>
        <v>72750</v>
      </c>
      <c r="D7278" s="56">
        <v>2.725</v>
      </c>
    </row>
    <row r="7279" ht="15.75" customHeight="1">
      <c r="B7279" s="370">
        <f t="shared" si="2"/>
        <v>0.8421296296</v>
      </c>
      <c r="C7279" s="56">
        <f t="shared" si="3"/>
        <v>72760</v>
      </c>
      <c r="D7279" s="56">
        <v>2.717</v>
      </c>
    </row>
    <row r="7280" ht="15.75" customHeight="1">
      <c r="B7280" s="370">
        <f t="shared" si="2"/>
        <v>0.8422453704</v>
      </c>
      <c r="C7280" s="56">
        <f t="shared" si="3"/>
        <v>72770</v>
      </c>
      <c r="D7280" s="56">
        <v>2.709</v>
      </c>
    </row>
    <row r="7281" ht="15.75" customHeight="1">
      <c r="B7281" s="370">
        <f t="shared" si="2"/>
        <v>0.8423611111</v>
      </c>
      <c r="C7281" s="56">
        <f t="shared" si="3"/>
        <v>72780</v>
      </c>
      <c r="D7281" s="56">
        <v>2.552</v>
      </c>
    </row>
    <row r="7282" ht="15.75" customHeight="1">
      <c r="B7282" s="370">
        <f t="shared" si="2"/>
        <v>0.8424768519</v>
      </c>
      <c r="C7282" s="56">
        <f t="shared" si="3"/>
        <v>72790</v>
      </c>
      <c r="D7282" s="56">
        <v>2.85</v>
      </c>
    </row>
    <row r="7283" ht="15.75" customHeight="1">
      <c r="B7283" s="370">
        <f t="shared" si="2"/>
        <v>0.8425925926</v>
      </c>
      <c r="C7283" s="56">
        <f t="shared" si="3"/>
        <v>72800</v>
      </c>
      <c r="D7283" s="56">
        <v>3.269</v>
      </c>
    </row>
    <row r="7284" ht="15.75" customHeight="1">
      <c r="B7284" s="370">
        <f t="shared" si="2"/>
        <v>0.8427083333</v>
      </c>
      <c r="C7284" s="56">
        <f t="shared" si="3"/>
        <v>72810</v>
      </c>
      <c r="D7284" s="56">
        <v>3.33</v>
      </c>
    </row>
    <row r="7285" ht="15.75" customHeight="1">
      <c r="B7285" s="370">
        <f t="shared" si="2"/>
        <v>0.8428240741</v>
      </c>
      <c r="C7285" s="56">
        <f t="shared" si="3"/>
        <v>72820</v>
      </c>
      <c r="D7285" s="56">
        <v>3.407</v>
      </c>
    </row>
    <row r="7286" ht="15.75" customHeight="1">
      <c r="B7286" s="370">
        <f t="shared" si="2"/>
        <v>0.8429398148</v>
      </c>
      <c r="C7286" s="56">
        <f t="shared" si="3"/>
        <v>72830</v>
      </c>
      <c r="D7286" s="56">
        <v>3.241</v>
      </c>
    </row>
    <row r="7287" ht="15.75" customHeight="1">
      <c r="B7287" s="370">
        <f t="shared" si="2"/>
        <v>0.8430555556</v>
      </c>
      <c r="C7287" s="56">
        <f t="shared" si="3"/>
        <v>72840</v>
      </c>
      <c r="D7287" s="56">
        <v>2.718</v>
      </c>
    </row>
    <row r="7288" ht="15.75" customHeight="1">
      <c r="B7288" s="370">
        <f t="shared" si="2"/>
        <v>0.8431712963</v>
      </c>
      <c r="C7288" s="56">
        <f t="shared" si="3"/>
        <v>72850</v>
      </c>
      <c r="D7288" s="56">
        <v>2.298</v>
      </c>
    </row>
    <row r="7289" ht="15.75" customHeight="1">
      <c r="B7289" s="370">
        <f t="shared" si="2"/>
        <v>0.843287037</v>
      </c>
      <c r="C7289" s="56">
        <f t="shared" si="3"/>
        <v>72860</v>
      </c>
      <c r="D7289" s="56">
        <v>1.927</v>
      </c>
    </row>
    <row r="7290" ht="15.75" customHeight="1">
      <c r="B7290" s="370">
        <f t="shared" si="2"/>
        <v>0.8434027778</v>
      </c>
      <c r="C7290" s="56">
        <f t="shared" si="3"/>
        <v>72870</v>
      </c>
      <c r="D7290" s="56">
        <v>2.425</v>
      </c>
    </row>
    <row r="7291" ht="15.75" customHeight="1">
      <c r="B7291" s="370">
        <f t="shared" si="2"/>
        <v>0.8435185185</v>
      </c>
      <c r="C7291" s="56">
        <f t="shared" si="3"/>
        <v>72880</v>
      </c>
      <c r="D7291" s="56">
        <v>2.976</v>
      </c>
    </row>
    <row r="7292" ht="15.75" customHeight="1">
      <c r="B7292" s="370">
        <f t="shared" si="2"/>
        <v>0.8436342593</v>
      </c>
      <c r="C7292" s="56">
        <f t="shared" si="3"/>
        <v>72890</v>
      </c>
      <c r="D7292" s="56">
        <v>3.444</v>
      </c>
    </row>
    <row r="7293" ht="15.75" customHeight="1">
      <c r="B7293" s="370">
        <f t="shared" si="2"/>
        <v>0.84375</v>
      </c>
      <c r="C7293" s="56">
        <f t="shared" si="3"/>
        <v>72900</v>
      </c>
      <c r="D7293" s="56">
        <v>3.447</v>
      </c>
    </row>
    <row r="7294" ht="15.75" customHeight="1">
      <c r="B7294" s="370">
        <f t="shared" si="2"/>
        <v>0.8438657407</v>
      </c>
      <c r="C7294" s="56">
        <f t="shared" si="3"/>
        <v>72910</v>
      </c>
      <c r="D7294" s="56">
        <v>3.4</v>
      </c>
    </row>
    <row r="7295" ht="15.75" customHeight="1">
      <c r="B7295" s="370">
        <f t="shared" si="2"/>
        <v>0.8439814815</v>
      </c>
      <c r="C7295" s="56">
        <f t="shared" si="3"/>
        <v>72920</v>
      </c>
      <c r="D7295" s="56">
        <v>3.243</v>
      </c>
    </row>
    <row r="7296" ht="15.75" customHeight="1">
      <c r="B7296" s="370">
        <f t="shared" si="2"/>
        <v>0.8440972222</v>
      </c>
      <c r="C7296" s="56">
        <f t="shared" si="3"/>
        <v>72930</v>
      </c>
      <c r="D7296" s="56">
        <v>2.438</v>
      </c>
    </row>
    <row r="7297" ht="15.75" customHeight="1">
      <c r="B7297" s="370">
        <f t="shared" si="2"/>
        <v>0.844212963</v>
      </c>
      <c r="C7297" s="56">
        <f t="shared" si="3"/>
        <v>72940</v>
      </c>
      <c r="D7297" s="56">
        <v>2.482</v>
      </c>
    </row>
    <row r="7298" ht="15.75" customHeight="1">
      <c r="B7298" s="370">
        <f t="shared" si="2"/>
        <v>0.8443287037</v>
      </c>
      <c r="C7298" s="56">
        <f t="shared" si="3"/>
        <v>72950</v>
      </c>
      <c r="D7298" s="56">
        <v>2.664</v>
      </c>
    </row>
    <row r="7299" ht="15.75" customHeight="1">
      <c r="B7299" s="370">
        <f t="shared" si="2"/>
        <v>0.8444444444</v>
      </c>
      <c r="C7299" s="56">
        <f t="shared" si="3"/>
        <v>72960</v>
      </c>
      <c r="D7299" s="56">
        <v>2.718</v>
      </c>
    </row>
    <row r="7300" ht="15.75" customHeight="1">
      <c r="B7300" s="370">
        <f t="shared" si="2"/>
        <v>0.8445601852</v>
      </c>
      <c r="C7300" s="56">
        <f t="shared" si="3"/>
        <v>72970</v>
      </c>
      <c r="D7300" s="56">
        <v>2.785</v>
      </c>
    </row>
    <row r="7301" ht="15.75" customHeight="1">
      <c r="B7301" s="370">
        <f t="shared" si="2"/>
        <v>0.8446759259</v>
      </c>
      <c r="C7301" s="56">
        <f t="shared" si="3"/>
        <v>72980</v>
      </c>
      <c r="D7301" s="56">
        <v>2.67</v>
      </c>
    </row>
    <row r="7302" ht="15.75" customHeight="1">
      <c r="B7302" s="370">
        <f t="shared" si="2"/>
        <v>0.8447916667</v>
      </c>
      <c r="C7302" s="56">
        <f t="shared" si="3"/>
        <v>72990</v>
      </c>
      <c r="D7302" s="56">
        <v>2.692</v>
      </c>
    </row>
    <row r="7303" ht="15.75" customHeight="1">
      <c r="B7303" s="370">
        <f t="shared" si="2"/>
        <v>0.8449074074</v>
      </c>
      <c r="C7303" s="56">
        <f t="shared" si="3"/>
        <v>73000</v>
      </c>
      <c r="D7303" s="56">
        <v>3.092</v>
      </c>
    </row>
    <row r="7304" ht="15.75" customHeight="1">
      <c r="B7304" s="370">
        <f t="shared" si="2"/>
        <v>0.8450231481</v>
      </c>
      <c r="C7304" s="56">
        <f t="shared" si="3"/>
        <v>73010</v>
      </c>
      <c r="D7304" s="56">
        <v>3.215</v>
      </c>
    </row>
    <row r="7305" ht="15.75" customHeight="1">
      <c r="B7305" s="370">
        <f t="shared" si="2"/>
        <v>0.8451388889</v>
      </c>
      <c r="C7305" s="56">
        <f t="shared" si="3"/>
        <v>73020</v>
      </c>
      <c r="D7305" s="56">
        <v>3.324</v>
      </c>
    </row>
    <row r="7306" ht="15.75" customHeight="1">
      <c r="B7306" s="370">
        <f t="shared" si="2"/>
        <v>0.8452546296</v>
      </c>
      <c r="C7306" s="56">
        <f t="shared" si="3"/>
        <v>73030</v>
      </c>
      <c r="D7306" s="56">
        <v>3.225</v>
      </c>
    </row>
    <row r="7307" ht="15.75" customHeight="1">
      <c r="B7307" s="370">
        <f t="shared" si="2"/>
        <v>0.8453703704</v>
      </c>
      <c r="C7307" s="56">
        <f t="shared" si="3"/>
        <v>73040</v>
      </c>
      <c r="D7307" s="56">
        <v>2.811</v>
      </c>
    </row>
    <row r="7308" ht="15.75" customHeight="1">
      <c r="B7308" s="370">
        <f t="shared" si="2"/>
        <v>0.8454861111</v>
      </c>
      <c r="C7308" s="56">
        <f t="shared" si="3"/>
        <v>73050</v>
      </c>
      <c r="D7308" s="56">
        <v>2.46</v>
      </c>
    </row>
    <row r="7309" ht="15.75" customHeight="1">
      <c r="B7309" s="370">
        <f t="shared" si="2"/>
        <v>0.8456018519</v>
      </c>
      <c r="C7309" s="56">
        <f t="shared" si="3"/>
        <v>73060</v>
      </c>
      <c r="D7309" s="56">
        <v>2.113</v>
      </c>
    </row>
    <row r="7310" ht="15.75" customHeight="1">
      <c r="B7310" s="370">
        <f t="shared" si="2"/>
        <v>0.8457175926</v>
      </c>
      <c r="C7310" s="56">
        <f t="shared" si="3"/>
        <v>73070</v>
      </c>
      <c r="D7310" s="56">
        <v>2.216</v>
      </c>
    </row>
    <row r="7311" ht="15.75" customHeight="1">
      <c r="B7311" s="370">
        <f t="shared" si="2"/>
        <v>0.8458333333</v>
      </c>
      <c r="C7311" s="56">
        <f t="shared" si="3"/>
        <v>73080</v>
      </c>
      <c r="D7311" s="56">
        <v>2.882</v>
      </c>
    </row>
    <row r="7312" ht="15.75" customHeight="1">
      <c r="B7312" s="370">
        <f t="shared" si="2"/>
        <v>0.8459490741</v>
      </c>
      <c r="C7312" s="56">
        <f t="shared" si="3"/>
        <v>73090</v>
      </c>
      <c r="D7312" s="56">
        <v>3.446</v>
      </c>
    </row>
    <row r="7313" ht="15.75" customHeight="1">
      <c r="B7313" s="370">
        <f t="shared" si="2"/>
        <v>0.8460648148</v>
      </c>
      <c r="C7313" s="56">
        <f t="shared" si="3"/>
        <v>73100</v>
      </c>
      <c r="D7313" s="56">
        <v>3.499</v>
      </c>
    </row>
    <row r="7314" ht="15.75" customHeight="1">
      <c r="B7314" s="370">
        <f t="shared" si="2"/>
        <v>0.8461805556</v>
      </c>
      <c r="C7314" s="56">
        <f t="shared" si="3"/>
        <v>73110</v>
      </c>
      <c r="D7314" s="56">
        <v>3.463</v>
      </c>
    </row>
    <row r="7315" ht="15.75" customHeight="1">
      <c r="B7315" s="370">
        <f t="shared" si="2"/>
        <v>0.8462962963</v>
      </c>
      <c r="C7315" s="56">
        <f t="shared" si="3"/>
        <v>73120</v>
      </c>
      <c r="D7315" s="56">
        <v>3.348</v>
      </c>
    </row>
    <row r="7316" ht="15.75" customHeight="1">
      <c r="B7316" s="370">
        <f t="shared" si="2"/>
        <v>0.846412037</v>
      </c>
      <c r="C7316" s="56">
        <f t="shared" si="3"/>
        <v>73130</v>
      </c>
      <c r="D7316" s="56">
        <v>2.724</v>
      </c>
    </row>
    <row r="7317" ht="15.75" customHeight="1">
      <c r="B7317" s="370">
        <f t="shared" si="2"/>
        <v>0.8465277778</v>
      </c>
      <c r="C7317" s="56">
        <f t="shared" si="3"/>
        <v>73140</v>
      </c>
      <c r="D7317" s="56">
        <v>2.235</v>
      </c>
    </row>
    <row r="7318" ht="15.75" customHeight="1">
      <c r="B7318" s="370">
        <f t="shared" si="2"/>
        <v>0.8466435185</v>
      </c>
      <c r="C7318" s="56">
        <f t="shared" si="3"/>
        <v>73150</v>
      </c>
      <c r="D7318" s="56">
        <v>2.563</v>
      </c>
    </row>
    <row r="7319" ht="15.75" customHeight="1">
      <c r="B7319" s="370">
        <f t="shared" si="2"/>
        <v>0.8467592593</v>
      </c>
      <c r="C7319" s="56">
        <f t="shared" si="3"/>
        <v>73160</v>
      </c>
      <c r="D7319" s="56">
        <v>2.687</v>
      </c>
    </row>
    <row r="7320" ht="15.75" customHeight="1">
      <c r="B7320" s="370">
        <f t="shared" si="2"/>
        <v>0.846875</v>
      </c>
      <c r="C7320" s="56">
        <f t="shared" si="3"/>
        <v>73170</v>
      </c>
      <c r="D7320" s="56">
        <v>2.827</v>
      </c>
    </row>
    <row r="7321" ht="15.75" customHeight="1">
      <c r="B7321" s="370">
        <f t="shared" si="2"/>
        <v>0.8469907407</v>
      </c>
      <c r="C7321" s="56">
        <f t="shared" si="3"/>
        <v>73180</v>
      </c>
      <c r="D7321" s="56">
        <v>2.853</v>
      </c>
    </row>
    <row r="7322" ht="15.75" customHeight="1">
      <c r="B7322" s="370">
        <f t="shared" si="2"/>
        <v>0.8471064815</v>
      </c>
      <c r="C7322" s="56">
        <f t="shared" si="3"/>
        <v>73190</v>
      </c>
      <c r="D7322" s="56">
        <v>2.823</v>
      </c>
    </row>
    <row r="7323" ht="15.75" customHeight="1">
      <c r="B7323" s="370">
        <f t="shared" si="2"/>
        <v>0.8472222222</v>
      </c>
      <c r="C7323" s="56">
        <f t="shared" si="3"/>
        <v>73200</v>
      </c>
      <c r="D7323" s="56">
        <v>2.979</v>
      </c>
    </row>
    <row r="7324" ht="15.75" customHeight="1">
      <c r="B7324" s="370">
        <f t="shared" si="2"/>
        <v>0.847337963</v>
      </c>
      <c r="C7324" s="56">
        <f t="shared" si="3"/>
        <v>73210</v>
      </c>
      <c r="D7324" s="56">
        <v>3.055</v>
      </c>
    </row>
    <row r="7325" ht="15.75" customHeight="1">
      <c r="B7325" s="370">
        <f t="shared" si="2"/>
        <v>0.8474537037</v>
      </c>
      <c r="C7325" s="56">
        <f t="shared" si="3"/>
        <v>73220</v>
      </c>
      <c r="D7325" s="56">
        <v>3.196</v>
      </c>
    </row>
    <row r="7326" ht="15.75" customHeight="1">
      <c r="B7326" s="370">
        <f t="shared" si="2"/>
        <v>0.8475694444</v>
      </c>
      <c r="C7326" s="56">
        <f t="shared" si="3"/>
        <v>73230</v>
      </c>
      <c r="D7326" s="56">
        <v>3.173</v>
      </c>
    </row>
    <row r="7327" ht="15.75" customHeight="1">
      <c r="B7327" s="370">
        <f t="shared" si="2"/>
        <v>0.8476851852</v>
      </c>
      <c r="C7327" s="56">
        <f t="shared" si="3"/>
        <v>73240</v>
      </c>
      <c r="D7327" s="56">
        <v>2.859</v>
      </c>
    </row>
    <row r="7328" ht="15.75" customHeight="1">
      <c r="B7328" s="370">
        <f t="shared" si="2"/>
        <v>0.8478009259</v>
      </c>
      <c r="C7328" s="56">
        <f t="shared" si="3"/>
        <v>73250</v>
      </c>
      <c r="D7328" s="56">
        <v>2.582</v>
      </c>
    </row>
    <row r="7329" ht="15.75" customHeight="1">
      <c r="B7329" s="370">
        <f t="shared" si="2"/>
        <v>0.8479166667</v>
      </c>
      <c r="C7329" s="56">
        <f t="shared" si="3"/>
        <v>73260</v>
      </c>
      <c r="D7329" s="56">
        <v>2.242</v>
      </c>
    </row>
    <row r="7330" ht="15.75" customHeight="1">
      <c r="B7330" s="370">
        <f t="shared" si="2"/>
        <v>0.8480324074</v>
      </c>
      <c r="C7330" s="56">
        <f t="shared" si="3"/>
        <v>73270</v>
      </c>
      <c r="D7330" s="56">
        <v>2.038</v>
      </c>
    </row>
    <row r="7331" ht="15.75" customHeight="1">
      <c r="B7331" s="370">
        <f t="shared" si="2"/>
        <v>0.8481481481</v>
      </c>
      <c r="C7331" s="56">
        <f t="shared" si="3"/>
        <v>73280</v>
      </c>
      <c r="D7331" s="56">
        <v>2.734</v>
      </c>
    </row>
    <row r="7332" ht="15.75" customHeight="1">
      <c r="B7332" s="370">
        <f t="shared" si="2"/>
        <v>0.8482638889</v>
      </c>
      <c r="C7332" s="56">
        <f t="shared" si="3"/>
        <v>73290</v>
      </c>
      <c r="D7332" s="56">
        <v>3.409</v>
      </c>
    </row>
    <row r="7333" ht="15.75" customHeight="1">
      <c r="B7333" s="370">
        <f t="shared" si="2"/>
        <v>0.8483796296</v>
      </c>
      <c r="C7333" s="56">
        <f t="shared" si="3"/>
        <v>73300</v>
      </c>
      <c r="D7333" s="56">
        <v>3.52</v>
      </c>
    </row>
    <row r="7334" ht="15.75" customHeight="1">
      <c r="B7334" s="370">
        <f t="shared" si="2"/>
        <v>0.8484953704</v>
      </c>
      <c r="C7334" s="56">
        <f t="shared" si="3"/>
        <v>73310</v>
      </c>
      <c r="D7334" s="56">
        <v>3.499</v>
      </c>
    </row>
    <row r="7335" ht="15.75" customHeight="1">
      <c r="B7335" s="370">
        <f t="shared" si="2"/>
        <v>0.8486111111</v>
      </c>
      <c r="C7335" s="56">
        <f t="shared" si="3"/>
        <v>73320</v>
      </c>
      <c r="D7335" s="56">
        <v>3.44</v>
      </c>
    </row>
    <row r="7336" ht="15.75" customHeight="1">
      <c r="B7336" s="370">
        <f t="shared" si="2"/>
        <v>0.8487268519</v>
      </c>
      <c r="C7336" s="56">
        <f t="shared" si="3"/>
        <v>73330</v>
      </c>
      <c r="D7336" s="56">
        <v>2.895</v>
      </c>
    </row>
    <row r="7337" ht="15.75" customHeight="1">
      <c r="B7337" s="370">
        <f t="shared" si="2"/>
        <v>0.8488425926</v>
      </c>
      <c r="C7337" s="56">
        <f t="shared" si="3"/>
        <v>73340</v>
      </c>
      <c r="D7337" s="56">
        <v>2.095</v>
      </c>
    </row>
    <row r="7338" ht="15.75" customHeight="1">
      <c r="B7338" s="370">
        <f t="shared" si="2"/>
        <v>0.8489583333</v>
      </c>
      <c r="C7338" s="56">
        <f t="shared" si="3"/>
        <v>73350</v>
      </c>
      <c r="D7338" s="56">
        <v>2.437</v>
      </c>
    </row>
    <row r="7339" ht="15.75" customHeight="1">
      <c r="B7339" s="370">
        <f t="shared" si="2"/>
        <v>0.8490740741</v>
      </c>
      <c r="C7339" s="56">
        <f t="shared" si="3"/>
        <v>73360</v>
      </c>
      <c r="D7339" s="56">
        <v>2.618</v>
      </c>
    </row>
    <row r="7340" ht="15.75" customHeight="1">
      <c r="B7340" s="370">
        <f t="shared" si="2"/>
        <v>0.8491898148</v>
      </c>
      <c r="C7340" s="56">
        <f t="shared" si="3"/>
        <v>73370</v>
      </c>
      <c r="D7340" s="56">
        <v>2.833</v>
      </c>
    </row>
    <row r="7341" ht="15.75" customHeight="1">
      <c r="B7341" s="370">
        <f t="shared" si="2"/>
        <v>0.8493055556</v>
      </c>
      <c r="C7341" s="56">
        <f t="shared" si="3"/>
        <v>73380</v>
      </c>
      <c r="D7341" s="56">
        <v>2.956</v>
      </c>
    </row>
    <row r="7342" ht="15.75" customHeight="1">
      <c r="B7342" s="370">
        <f t="shared" si="2"/>
        <v>0.8494212963</v>
      </c>
      <c r="C7342" s="56">
        <f t="shared" si="3"/>
        <v>73390</v>
      </c>
      <c r="D7342" s="56">
        <v>3.026</v>
      </c>
    </row>
    <row r="7343" ht="15.75" customHeight="1">
      <c r="B7343" s="370">
        <f t="shared" si="2"/>
        <v>0.849537037</v>
      </c>
      <c r="C7343" s="56">
        <f t="shared" si="3"/>
        <v>73400</v>
      </c>
      <c r="D7343" s="56">
        <v>2.861</v>
      </c>
    </row>
    <row r="7344" ht="15.75" customHeight="1">
      <c r="B7344" s="370">
        <f t="shared" si="2"/>
        <v>0.8496527778</v>
      </c>
      <c r="C7344" s="56">
        <f t="shared" si="3"/>
        <v>73410</v>
      </c>
      <c r="D7344" s="56">
        <v>2.923</v>
      </c>
    </row>
    <row r="7345" ht="15.75" customHeight="1">
      <c r="B7345" s="370">
        <f t="shared" si="2"/>
        <v>0.8497685185</v>
      </c>
      <c r="C7345" s="56">
        <f t="shared" si="3"/>
        <v>73420</v>
      </c>
      <c r="D7345" s="56">
        <v>2.996</v>
      </c>
    </row>
    <row r="7346" ht="15.75" customHeight="1">
      <c r="B7346" s="370">
        <f t="shared" si="2"/>
        <v>0.8498842593</v>
      </c>
      <c r="C7346" s="56">
        <f t="shared" si="3"/>
        <v>73430</v>
      </c>
      <c r="D7346" s="56">
        <v>3.081</v>
      </c>
    </row>
    <row r="7347" ht="15.75" customHeight="1">
      <c r="B7347" s="370">
        <f t="shared" si="2"/>
        <v>0.85</v>
      </c>
      <c r="C7347" s="56">
        <f t="shared" si="3"/>
        <v>73440</v>
      </c>
      <c r="D7347" s="56">
        <v>2.87</v>
      </c>
    </row>
    <row r="7348" ht="15.75" customHeight="1">
      <c r="B7348" s="370">
        <f t="shared" si="2"/>
        <v>0.8501157407</v>
      </c>
      <c r="C7348" s="56">
        <f t="shared" si="3"/>
        <v>73450</v>
      </c>
      <c r="D7348" s="56">
        <v>2.676</v>
      </c>
    </row>
    <row r="7349" ht="15.75" customHeight="1">
      <c r="B7349" s="370">
        <f t="shared" si="2"/>
        <v>0.8502314815</v>
      </c>
      <c r="C7349" s="56">
        <f t="shared" si="3"/>
        <v>73460</v>
      </c>
      <c r="D7349" s="56">
        <v>2.448</v>
      </c>
    </row>
    <row r="7350" ht="15.75" customHeight="1">
      <c r="B7350" s="370">
        <f t="shared" si="2"/>
        <v>0.8503472222</v>
      </c>
      <c r="C7350" s="56">
        <f t="shared" si="3"/>
        <v>73470</v>
      </c>
      <c r="D7350" s="56">
        <v>2.151</v>
      </c>
    </row>
    <row r="7351" ht="15.75" customHeight="1">
      <c r="B7351" s="370">
        <f t="shared" si="2"/>
        <v>0.850462963</v>
      </c>
      <c r="C7351" s="56">
        <f t="shared" si="3"/>
        <v>73480</v>
      </c>
      <c r="D7351" s="56">
        <v>2.593</v>
      </c>
    </row>
    <row r="7352" ht="15.75" customHeight="1">
      <c r="B7352" s="370">
        <f t="shared" si="2"/>
        <v>0.8505787037</v>
      </c>
      <c r="C7352" s="56">
        <f t="shared" si="3"/>
        <v>73490</v>
      </c>
      <c r="D7352" s="56">
        <v>3.351</v>
      </c>
    </row>
    <row r="7353" ht="15.75" customHeight="1">
      <c r="B7353" s="370">
        <f t="shared" si="2"/>
        <v>0.8506944444</v>
      </c>
      <c r="C7353" s="56">
        <f t="shared" si="3"/>
        <v>73500</v>
      </c>
      <c r="D7353" s="56">
        <v>3.518</v>
      </c>
    </row>
    <row r="7354" ht="15.75" customHeight="1">
      <c r="B7354" s="370">
        <f t="shared" si="2"/>
        <v>0.8508101852</v>
      </c>
      <c r="C7354" s="56">
        <f t="shared" si="3"/>
        <v>73510</v>
      </c>
      <c r="D7354" s="56">
        <v>3.515</v>
      </c>
    </row>
    <row r="7355" ht="15.75" customHeight="1">
      <c r="B7355" s="370">
        <f t="shared" si="2"/>
        <v>0.8509259259</v>
      </c>
      <c r="C7355" s="56">
        <f t="shared" si="3"/>
        <v>73520</v>
      </c>
      <c r="D7355" s="56">
        <v>3.487</v>
      </c>
    </row>
    <row r="7356" ht="15.75" customHeight="1">
      <c r="B7356" s="370">
        <f t="shared" si="2"/>
        <v>0.8510416667</v>
      </c>
      <c r="C7356" s="56">
        <f t="shared" si="3"/>
        <v>73530</v>
      </c>
      <c r="D7356" s="56">
        <v>3.027</v>
      </c>
    </row>
    <row r="7357" ht="15.75" customHeight="1">
      <c r="B7357" s="370">
        <f t="shared" si="2"/>
        <v>0.8511574074</v>
      </c>
      <c r="C7357" s="56">
        <f t="shared" si="3"/>
        <v>73540</v>
      </c>
      <c r="D7357" s="56">
        <v>2.092</v>
      </c>
    </row>
    <row r="7358" ht="15.75" customHeight="1">
      <c r="B7358" s="370">
        <f t="shared" si="2"/>
        <v>0.8512731481</v>
      </c>
      <c r="C7358" s="56">
        <f t="shared" si="3"/>
        <v>73550</v>
      </c>
      <c r="D7358" s="56">
        <v>2.271</v>
      </c>
    </row>
    <row r="7359" ht="15.75" customHeight="1">
      <c r="B7359" s="370">
        <f t="shared" si="2"/>
        <v>0.8513888889</v>
      </c>
      <c r="C7359" s="56">
        <f t="shared" si="3"/>
        <v>73560</v>
      </c>
      <c r="D7359" s="56">
        <v>2.518</v>
      </c>
    </row>
    <row r="7360" ht="15.75" customHeight="1">
      <c r="B7360" s="370">
        <f t="shared" si="2"/>
        <v>0.8515046296</v>
      </c>
      <c r="C7360" s="56">
        <f t="shared" si="3"/>
        <v>73570</v>
      </c>
      <c r="D7360" s="56">
        <v>2.803</v>
      </c>
    </row>
    <row r="7361" ht="15.75" customHeight="1">
      <c r="B7361" s="370">
        <f t="shared" si="2"/>
        <v>0.8516203704</v>
      </c>
      <c r="C7361" s="56">
        <f t="shared" si="3"/>
        <v>73580</v>
      </c>
      <c r="D7361" s="56">
        <v>3.021</v>
      </c>
    </row>
    <row r="7362" ht="15.75" customHeight="1">
      <c r="B7362" s="370">
        <f t="shared" si="2"/>
        <v>0.8517361111</v>
      </c>
      <c r="C7362" s="56">
        <f t="shared" si="3"/>
        <v>73590</v>
      </c>
      <c r="D7362" s="56">
        <v>3.144</v>
      </c>
    </row>
    <row r="7363" ht="15.75" customHeight="1">
      <c r="B7363" s="370">
        <f t="shared" si="2"/>
        <v>0.8518518519</v>
      </c>
      <c r="C7363" s="56">
        <f t="shared" si="3"/>
        <v>73600</v>
      </c>
      <c r="D7363" s="56">
        <v>3.05</v>
      </c>
    </row>
    <row r="7364" ht="15.75" customHeight="1">
      <c r="B7364" s="370">
        <f t="shared" si="2"/>
        <v>0.8519675926</v>
      </c>
      <c r="C7364" s="56">
        <f t="shared" si="3"/>
        <v>73610</v>
      </c>
      <c r="D7364" s="56">
        <v>2.924</v>
      </c>
    </row>
    <row r="7365" ht="15.75" customHeight="1">
      <c r="B7365" s="370">
        <f t="shared" si="2"/>
        <v>0.8520833333</v>
      </c>
      <c r="C7365" s="56">
        <f t="shared" si="3"/>
        <v>73620</v>
      </c>
      <c r="D7365" s="56">
        <v>2.863</v>
      </c>
    </row>
    <row r="7366" ht="15.75" customHeight="1">
      <c r="B7366" s="370">
        <f t="shared" si="2"/>
        <v>0.8521990741</v>
      </c>
      <c r="C7366" s="56">
        <f t="shared" si="3"/>
        <v>73630</v>
      </c>
      <c r="D7366" s="56">
        <v>2.965</v>
      </c>
    </row>
    <row r="7367" ht="15.75" customHeight="1">
      <c r="B7367" s="370">
        <f t="shared" si="2"/>
        <v>0.8523148148</v>
      </c>
      <c r="C7367" s="56">
        <f t="shared" si="3"/>
        <v>73640</v>
      </c>
      <c r="D7367" s="56">
        <v>2.845</v>
      </c>
    </row>
    <row r="7368" ht="15.75" customHeight="1">
      <c r="B7368" s="370">
        <f t="shared" si="2"/>
        <v>0.8524305556</v>
      </c>
      <c r="C7368" s="56">
        <f t="shared" si="3"/>
        <v>73650</v>
      </c>
      <c r="D7368" s="56">
        <v>2.732</v>
      </c>
    </row>
    <row r="7369" ht="15.75" customHeight="1">
      <c r="B7369" s="370">
        <f t="shared" si="2"/>
        <v>0.8525462963</v>
      </c>
      <c r="C7369" s="56">
        <f t="shared" si="3"/>
        <v>73660</v>
      </c>
      <c r="D7369" s="56">
        <v>2.568</v>
      </c>
    </row>
    <row r="7370" ht="15.75" customHeight="1">
      <c r="B7370" s="370">
        <f t="shared" si="2"/>
        <v>0.852662037</v>
      </c>
      <c r="C7370" s="56">
        <f t="shared" si="3"/>
        <v>73670</v>
      </c>
      <c r="D7370" s="56">
        <v>2.371</v>
      </c>
    </row>
    <row r="7371" ht="15.75" customHeight="1">
      <c r="B7371" s="370">
        <f t="shared" si="2"/>
        <v>0.8527777778</v>
      </c>
      <c r="C7371" s="56">
        <f t="shared" si="3"/>
        <v>73680</v>
      </c>
      <c r="D7371" s="56">
        <v>2.366</v>
      </c>
    </row>
    <row r="7372" ht="15.75" customHeight="1">
      <c r="B7372" s="370">
        <f t="shared" si="2"/>
        <v>0.8528935185</v>
      </c>
      <c r="C7372" s="56">
        <f t="shared" si="3"/>
        <v>73690</v>
      </c>
      <c r="D7372" s="56">
        <v>3.253</v>
      </c>
    </row>
    <row r="7373" ht="15.75" customHeight="1">
      <c r="B7373" s="370">
        <f t="shared" si="2"/>
        <v>0.8530092593</v>
      </c>
      <c r="C7373" s="56">
        <f t="shared" si="3"/>
        <v>73700</v>
      </c>
      <c r="D7373" s="56">
        <v>3.482</v>
      </c>
    </row>
    <row r="7374" ht="15.75" customHeight="1">
      <c r="B7374" s="370">
        <f t="shared" si="2"/>
        <v>0.853125</v>
      </c>
      <c r="C7374" s="56">
        <f t="shared" si="3"/>
        <v>73710</v>
      </c>
      <c r="D7374" s="56">
        <v>3.494</v>
      </c>
    </row>
    <row r="7375" ht="15.75" customHeight="1">
      <c r="B7375" s="370">
        <f t="shared" si="2"/>
        <v>0.8532407407</v>
      </c>
      <c r="C7375" s="56">
        <f t="shared" si="3"/>
        <v>73720</v>
      </c>
      <c r="D7375" s="56">
        <v>3.503</v>
      </c>
    </row>
    <row r="7376" ht="15.75" customHeight="1">
      <c r="B7376" s="370">
        <f t="shared" si="2"/>
        <v>0.8533564815</v>
      </c>
      <c r="C7376" s="56">
        <f t="shared" si="3"/>
        <v>73730</v>
      </c>
      <c r="D7376" s="56">
        <v>3.132</v>
      </c>
    </row>
    <row r="7377" ht="15.75" customHeight="1">
      <c r="B7377" s="370">
        <f t="shared" si="2"/>
        <v>0.8534722222</v>
      </c>
      <c r="C7377" s="56">
        <f t="shared" si="3"/>
        <v>73740</v>
      </c>
      <c r="D7377" s="56">
        <v>2.378</v>
      </c>
    </row>
    <row r="7378" ht="15.75" customHeight="1">
      <c r="B7378" s="370">
        <f t="shared" si="2"/>
        <v>0.853587963</v>
      </c>
      <c r="C7378" s="56">
        <f t="shared" si="3"/>
        <v>73750</v>
      </c>
      <c r="D7378" s="56">
        <v>2.004</v>
      </c>
    </row>
    <row r="7379" ht="15.75" customHeight="1">
      <c r="B7379" s="370">
        <f t="shared" si="2"/>
        <v>0.8537037037</v>
      </c>
      <c r="C7379" s="56">
        <f t="shared" si="3"/>
        <v>73760</v>
      </c>
      <c r="D7379" s="56">
        <v>2.38</v>
      </c>
    </row>
    <row r="7380" ht="15.75" customHeight="1">
      <c r="B7380" s="370">
        <f t="shared" si="2"/>
        <v>0.8538194444</v>
      </c>
      <c r="C7380" s="56">
        <f t="shared" si="3"/>
        <v>73770</v>
      </c>
      <c r="D7380" s="56">
        <v>2.737</v>
      </c>
    </row>
    <row r="7381" ht="15.75" customHeight="1">
      <c r="B7381" s="370">
        <f t="shared" si="2"/>
        <v>0.8539351852</v>
      </c>
      <c r="C7381" s="56">
        <f t="shared" si="3"/>
        <v>73780</v>
      </c>
      <c r="D7381" s="56">
        <v>3.053</v>
      </c>
    </row>
    <row r="7382" ht="15.75" customHeight="1">
      <c r="B7382" s="370">
        <f t="shared" si="2"/>
        <v>0.8540509259</v>
      </c>
      <c r="C7382" s="56">
        <f t="shared" si="3"/>
        <v>73790</v>
      </c>
      <c r="D7382" s="56">
        <v>3.293</v>
      </c>
    </row>
    <row r="7383" ht="15.75" customHeight="1">
      <c r="B7383" s="370">
        <f t="shared" si="2"/>
        <v>0.8541666667</v>
      </c>
      <c r="C7383" s="56">
        <f t="shared" si="3"/>
        <v>73800</v>
      </c>
      <c r="D7383" s="56">
        <v>3.196</v>
      </c>
    </row>
    <row r="7384" ht="15.75" customHeight="1">
      <c r="B7384" s="370">
        <f t="shared" si="2"/>
        <v>0.8542824074</v>
      </c>
      <c r="C7384" s="56">
        <f t="shared" si="3"/>
        <v>73810</v>
      </c>
      <c r="D7384" s="56">
        <v>3.122</v>
      </c>
    </row>
    <row r="7385" ht="15.75" customHeight="1">
      <c r="B7385" s="370">
        <f t="shared" si="2"/>
        <v>0.8543981481</v>
      </c>
      <c r="C7385" s="56">
        <f t="shared" si="3"/>
        <v>73820</v>
      </c>
      <c r="D7385" s="56">
        <v>2.789</v>
      </c>
    </row>
    <row r="7386" ht="15.75" customHeight="1">
      <c r="B7386" s="370">
        <f t="shared" si="2"/>
        <v>0.8545138889</v>
      </c>
      <c r="C7386" s="56">
        <f t="shared" si="3"/>
        <v>73830</v>
      </c>
      <c r="D7386" s="56">
        <v>2.808</v>
      </c>
    </row>
    <row r="7387" ht="15.75" customHeight="1">
      <c r="B7387" s="370">
        <f t="shared" si="2"/>
        <v>0.8546296296</v>
      </c>
      <c r="C7387" s="56">
        <f t="shared" si="3"/>
        <v>73840</v>
      </c>
      <c r="D7387" s="56">
        <v>2.783</v>
      </c>
    </row>
    <row r="7388" ht="15.75" customHeight="1">
      <c r="B7388" s="370">
        <f t="shared" si="2"/>
        <v>0.8547453704</v>
      </c>
      <c r="C7388" s="56">
        <f t="shared" si="3"/>
        <v>73850</v>
      </c>
      <c r="D7388" s="56">
        <v>2.756</v>
      </c>
    </row>
    <row r="7389" ht="15.75" customHeight="1">
      <c r="B7389" s="370">
        <f t="shared" si="2"/>
        <v>0.8548611111</v>
      </c>
      <c r="C7389" s="56">
        <f t="shared" si="3"/>
        <v>73860</v>
      </c>
      <c r="D7389" s="56">
        <v>2.651</v>
      </c>
    </row>
    <row r="7390" ht="15.75" customHeight="1">
      <c r="B7390" s="370">
        <f t="shared" si="2"/>
        <v>0.8549768519</v>
      </c>
      <c r="C7390" s="56">
        <f t="shared" si="3"/>
        <v>73870</v>
      </c>
      <c r="D7390" s="56">
        <v>2.492</v>
      </c>
    </row>
    <row r="7391" ht="15.75" customHeight="1">
      <c r="B7391" s="370">
        <f t="shared" si="2"/>
        <v>0.8550925926</v>
      </c>
      <c r="C7391" s="56">
        <f t="shared" si="3"/>
        <v>73880</v>
      </c>
      <c r="D7391" s="56">
        <v>2.259</v>
      </c>
    </row>
    <row r="7392" ht="15.75" customHeight="1">
      <c r="B7392" s="370">
        <f t="shared" si="2"/>
        <v>0.8552083333</v>
      </c>
      <c r="C7392" s="56">
        <f t="shared" si="3"/>
        <v>73890</v>
      </c>
      <c r="D7392" s="56">
        <v>3.099</v>
      </c>
    </row>
    <row r="7393" ht="15.75" customHeight="1">
      <c r="B7393" s="370">
        <f t="shared" si="2"/>
        <v>0.8553240741</v>
      </c>
      <c r="C7393" s="56">
        <f t="shared" si="3"/>
        <v>73900</v>
      </c>
      <c r="D7393" s="56">
        <v>3.411</v>
      </c>
    </row>
    <row r="7394" ht="15.75" customHeight="1">
      <c r="B7394" s="370">
        <f t="shared" si="2"/>
        <v>0.8554398148</v>
      </c>
      <c r="C7394" s="56">
        <f t="shared" si="3"/>
        <v>73910</v>
      </c>
      <c r="D7394" s="56">
        <v>3.451</v>
      </c>
    </row>
    <row r="7395" ht="15.75" customHeight="1">
      <c r="B7395" s="370">
        <f t="shared" si="2"/>
        <v>0.8555555556</v>
      </c>
      <c r="C7395" s="56">
        <f t="shared" si="3"/>
        <v>73920</v>
      </c>
      <c r="D7395" s="56">
        <v>3.491</v>
      </c>
    </row>
    <row r="7396" ht="15.75" customHeight="1">
      <c r="B7396" s="370">
        <f t="shared" si="2"/>
        <v>0.8556712963</v>
      </c>
      <c r="C7396" s="56">
        <f t="shared" si="3"/>
        <v>73930</v>
      </c>
      <c r="D7396" s="56">
        <v>3.204</v>
      </c>
    </row>
    <row r="7397" ht="15.75" customHeight="1">
      <c r="B7397" s="370">
        <f t="shared" si="2"/>
        <v>0.855787037</v>
      </c>
      <c r="C7397" s="56">
        <f t="shared" si="3"/>
        <v>73940</v>
      </c>
      <c r="D7397" s="56">
        <v>2.546</v>
      </c>
    </row>
    <row r="7398" ht="15.75" customHeight="1">
      <c r="B7398" s="370">
        <f t="shared" si="2"/>
        <v>0.8559027778</v>
      </c>
      <c r="C7398" s="56">
        <f t="shared" si="3"/>
        <v>73950</v>
      </c>
      <c r="D7398" s="56">
        <v>2.017</v>
      </c>
    </row>
    <row r="7399" ht="15.75" customHeight="1">
      <c r="B7399" s="370">
        <f t="shared" si="2"/>
        <v>0.8560185185</v>
      </c>
      <c r="C7399" s="56">
        <f t="shared" si="3"/>
        <v>73960</v>
      </c>
      <c r="D7399" s="56">
        <v>2.198</v>
      </c>
    </row>
    <row r="7400" ht="15.75" customHeight="1">
      <c r="B7400" s="370">
        <f t="shared" si="2"/>
        <v>0.8561342593</v>
      </c>
      <c r="C7400" s="56">
        <f t="shared" si="3"/>
        <v>73970</v>
      </c>
      <c r="D7400" s="56">
        <v>2.635</v>
      </c>
    </row>
    <row r="7401" ht="15.75" customHeight="1">
      <c r="B7401" s="370">
        <f t="shared" si="2"/>
        <v>0.85625</v>
      </c>
      <c r="C7401" s="56">
        <f t="shared" si="3"/>
        <v>73980</v>
      </c>
      <c r="D7401" s="56">
        <v>3.049</v>
      </c>
    </row>
    <row r="7402" ht="15.75" customHeight="1">
      <c r="B7402" s="370">
        <f t="shared" si="2"/>
        <v>0.8563657407</v>
      </c>
      <c r="C7402" s="56">
        <f t="shared" si="3"/>
        <v>73990</v>
      </c>
      <c r="D7402" s="56">
        <v>3.377</v>
      </c>
    </row>
    <row r="7403" ht="15.75" customHeight="1">
      <c r="B7403" s="370">
        <f t="shared" si="2"/>
        <v>0.8564814815</v>
      </c>
      <c r="C7403" s="56">
        <f t="shared" si="3"/>
        <v>74000</v>
      </c>
      <c r="D7403" s="56">
        <v>3.316</v>
      </c>
    </row>
    <row r="7404" ht="15.75" customHeight="1">
      <c r="B7404" s="370">
        <f t="shared" si="2"/>
        <v>0.8565972222</v>
      </c>
      <c r="C7404" s="56">
        <f t="shared" si="3"/>
        <v>74010</v>
      </c>
      <c r="D7404" s="56">
        <v>3.223</v>
      </c>
    </row>
    <row r="7405" ht="15.75" customHeight="1">
      <c r="B7405" s="370">
        <f t="shared" si="2"/>
        <v>0.856712963</v>
      </c>
      <c r="C7405" s="56">
        <f t="shared" si="3"/>
        <v>74020</v>
      </c>
      <c r="D7405" s="56">
        <v>3.032</v>
      </c>
    </row>
    <row r="7406" ht="15.75" customHeight="1">
      <c r="B7406" s="370">
        <f t="shared" si="2"/>
        <v>0.8568287037</v>
      </c>
      <c r="C7406" s="56">
        <f t="shared" si="3"/>
        <v>74030</v>
      </c>
      <c r="D7406" s="56">
        <v>2.55</v>
      </c>
    </row>
    <row r="7407" ht="15.75" customHeight="1">
      <c r="B7407" s="370">
        <f t="shared" si="2"/>
        <v>0.8569444444</v>
      </c>
      <c r="C7407" s="56">
        <f t="shared" si="3"/>
        <v>74040</v>
      </c>
      <c r="D7407" s="56">
        <v>2.685</v>
      </c>
    </row>
    <row r="7408" ht="15.75" customHeight="1">
      <c r="B7408" s="370">
        <f t="shared" si="2"/>
        <v>0.8570601852</v>
      </c>
      <c r="C7408" s="56">
        <f t="shared" si="3"/>
        <v>74050</v>
      </c>
      <c r="D7408" s="56">
        <v>2.743</v>
      </c>
    </row>
    <row r="7409" ht="15.75" customHeight="1">
      <c r="B7409" s="370">
        <f t="shared" si="2"/>
        <v>0.8571759259</v>
      </c>
      <c r="C7409" s="56">
        <f t="shared" si="3"/>
        <v>74060</v>
      </c>
      <c r="D7409" s="56">
        <v>2.706</v>
      </c>
    </row>
    <row r="7410" ht="15.75" customHeight="1">
      <c r="B7410" s="370">
        <f t="shared" si="2"/>
        <v>0.8572916667</v>
      </c>
      <c r="C7410" s="56">
        <f t="shared" si="3"/>
        <v>74070</v>
      </c>
      <c r="D7410" s="56">
        <v>2.661</v>
      </c>
    </row>
    <row r="7411" ht="15.75" customHeight="1">
      <c r="B7411" s="370">
        <f t="shared" si="2"/>
        <v>0.8574074074</v>
      </c>
      <c r="C7411" s="56">
        <f t="shared" si="3"/>
        <v>74080</v>
      </c>
      <c r="D7411" s="56">
        <v>2.44</v>
      </c>
    </row>
    <row r="7412" ht="15.75" customHeight="1">
      <c r="B7412" s="370">
        <f t="shared" si="2"/>
        <v>0.8575231481</v>
      </c>
      <c r="C7412" s="56">
        <f t="shared" si="3"/>
        <v>74090</v>
      </c>
      <c r="D7412" s="56">
        <v>2.96</v>
      </c>
    </row>
    <row r="7413" ht="15.75" customHeight="1">
      <c r="B7413" s="370">
        <f t="shared" si="2"/>
        <v>0.8576388889</v>
      </c>
      <c r="C7413" s="56">
        <f t="shared" si="3"/>
        <v>74100</v>
      </c>
      <c r="D7413" s="56">
        <v>3.324</v>
      </c>
    </row>
    <row r="7414" ht="15.75" customHeight="1">
      <c r="B7414" s="370">
        <f t="shared" si="2"/>
        <v>0.8577546296</v>
      </c>
      <c r="C7414" s="56">
        <f t="shared" si="3"/>
        <v>74110</v>
      </c>
      <c r="D7414" s="56">
        <v>3.374</v>
      </c>
    </row>
    <row r="7415" ht="15.75" customHeight="1">
      <c r="B7415" s="370">
        <f t="shared" si="2"/>
        <v>0.8578703704</v>
      </c>
      <c r="C7415" s="56">
        <f t="shared" si="3"/>
        <v>74120</v>
      </c>
      <c r="D7415" s="56">
        <v>3.446</v>
      </c>
    </row>
    <row r="7416" ht="15.75" customHeight="1">
      <c r="B7416" s="370">
        <f t="shared" si="2"/>
        <v>0.8579861111</v>
      </c>
      <c r="C7416" s="56">
        <f t="shared" si="3"/>
        <v>74130</v>
      </c>
      <c r="D7416" s="56">
        <v>3.238</v>
      </c>
    </row>
    <row r="7417" ht="15.75" customHeight="1">
      <c r="B7417" s="370">
        <f t="shared" si="2"/>
        <v>0.8581018519</v>
      </c>
      <c r="C7417" s="56">
        <f t="shared" si="3"/>
        <v>74140</v>
      </c>
      <c r="D7417" s="56">
        <v>2.679</v>
      </c>
    </row>
    <row r="7418" ht="15.75" customHeight="1">
      <c r="B7418" s="370">
        <f t="shared" si="2"/>
        <v>0.8582175926</v>
      </c>
      <c r="C7418" s="56">
        <f t="shared" si="3"/>
        <v>74150</v>
      </c>
      <c r="D7418" s="56">
        <v>2.147</v>
      </c>
    </row>
    <row r="7419" ht="15.75" customHeight="1">
      <c r="B7419" s="370">
        <f t="shared" si="2"/>
        <v>0.8583333333</v>
      </c>
      <c r="C7419" s="56">
        <f t="shared" si="3"/>
        <v>74160</v>
      </c>
      <c r="D7419" s="56">
        <v>2.024</v>
      </c>
    </row>
    <row r="7420" ht="15.75" customHeight="1">
      <c r="B7420" s="370">
        <f t="shared" si="2"/>
        <v>0.8584490741</v>
      </c>
      <c r="C7420" s="56">
        <f t="shared" si="3"/>
        <v>74170</v>
      </c>
      <c r="D7420" s="56">
        <v>2.473</v>
      </c>
    </row>
    <row r="7421" ht="15.75" customHeight="1">
      <c r="B7421" s="370">
        <f t="shared" si="2"/>
        <v>0.8585648148</v>
      </c>
      <c r="C7421" s="56">
        <f t="shared" si="3"/>
        <v>74180</v>
      </c>
      <c r="D7421" s="56">
        <v>3.006</v>
      </c>
    </row>
    <row r="7422" ht="15.75" customHeight="1">
      <c r="B7422" s="370">
        <f t="shared" si="2"/>
        <v>0.8586805556</v>
      </c>
      <c r="C7422" s="56">
        <f t="shared" si="3"/>
        <v>74190</v>
      </c>
      <c r="D7422" s="56">
        <v>3.427</v>
      </c>
    </row>
    <row r="7423" ht="15.75" customHeight="1">
      <c r="B7423" s="370">
        <f t="shared" si="2"/>
        <v>0.8587962963</v>
      </c>
      <c r="C7423" s="56">
        <f t="shared" si="3"/>
        <v>74200</v>
      </c>
      <c r="D7423" s="56">
        <v>3.408</v>
      </c>
    </row>
    <row r="7424" ht="15.75" customHeight="1">
      <c r="B7424" s="370">
        <f t="shared" si="2"/>
        <v>0.858912037</v>
      </c>
      <c r="C7424" s="56">
        <f t="shared" si="3"/>
        <v>74210</v>
      </c>
      <c r="D7424" s="56">
        <v>3.358</v>
      </c>
    </row>
    <row r="7425" ht="15.75" customHeight="1">
      <c r="B7425" s="370">
        <f t="shared" si="2"/>
        <v>0.8590277778</v>
      </c>
      <c r="C7425" s="56">
        <f t="shared" si="3"/>
        <v>74220</v>
      </c>
      <c r="D7425" s="56">
        <v>3.188</v>
      </c>
    </row>
    <row r="7426" ht="15.75" customHeight="1">
      <c r="B7426" s="370">
        <f t="shared" si="2"/>
        <v>0.8591435185</v>
      </c>
      <c r="C7426" s="56">
        <f t="shared" si="3"/>
        <v>74230</v>
      </c>
      <c r="D7426" s="56">
        <v>1.324</v>
      </c>
    </row>
    <row r="7427" ht="15.75" customHeight="1">
      <c r="B7427" s="370">
        <f t="shared" si="2"/>
        <v>0.8592592593</v>
      </c>
      <c r="C7427" s="56">
        <f t="shared" si="3"/>
        <v>74240</v>
      </c>
      <c r="D7427" s="56">
        <v>0.0</v>
      </c>
    </row>
    <row r="7428" ht="15.75" customHeight="1">
      <c r="B7428" s="370">
        <f t="shared" si="2"/>
        <v>0.859375</v>
      </c>
      <c r="C7428" s="56">
        <f t="shared" si="3"/>
        <v>74250</v>
      </c>
      <c r="D7428" s="56">
        <v>0.0</v>
      </c>
    </row>
    <row r="7429" ht="15.75" customHeight="1">
      <c r="B7429" s="370">
        <f t="shared" si="2"/>
        <v>0.8594907407</v>
      </c>
      <c r="C7429" s="56">
        <f t="shared" si="3"/>
        <v>74260</v>
      </c>
      <c r="D7429" s="56">
        <v>0.0</v>
      </c>
    </row>
    <row r="7430" ht="15.75" customHeight="1">
      <c r="B7430" s="370">
        <f t="shared" si="2"/>
        <v>0.8596064815</v>
      </c>
      <c r="C7430" s="56">
        <f t="shared" si="3"/>
        <v>74270</v>
      </c>
      <c r="D7430" s="56">
        <v>0.0</v>
      </c>
    </row>
    <row r="7431" ht="15.75" customHeight="1">
      <c r="B7431" s="370">
        <f t="shared" si="2"/>
        <v>0.8597222222</v>
      </c>
      <c r="C7431" s="56">
        <f t="shared" si="3"/>
        <v>74280</v>
      </c>
      <c r="D7431" s="56">
        <v>0.0</v>
      </c>
    </row>
    <row r="7432" ht="15.75" customHeight="1">
      <c r="B7432" s="370">
        <f t="shared" si="2"/>
        <v>0.859837963</v>
      </c>
      <c r="C7432" s="56">
        <f t="shared" si="3"/>
        <v>74290</v>
      </c>
      <c r="D7432" s="56">
        <v>0.0</v>
      </c>
    </row>
    <row r="7433" ht="15.75" customHeight="1">
      <c r="B7433" s="370">
        <f t="shared" si="2"/>
        <v>0.8599537037</v>
      </c>
      <c r="C7433" s="56">
        <f t="shared" si="3"/>
        <v>74300</v>
      </c>
      <c r="D7433" s="56">
        <v>0.0</v>
      </c>
    </row>
    <row r="7434" ht="15.75" customHeight="1">
      <c r="B7434" s="370">
        <f t="shared" si="2"/>
        <v>0.8600694444</v>
      </c>
      <c r="C7434" s="56">
        <f t="shared" si="3"/>
        <v>74310</v>
      </c>
      <c r="D7434" s="56">
        <v>0.0</v>
      </c>
    </row>
    <row r="7435" ht="15.75" customHeight="1">
      <c r="B7435" s="370">
        <f t="shared" si="2"/>
        <v>0.8601851852</v>
      </c>
      <c r="C7435" s="56">
        <f t="shared" si="3"/>
        <v>74320</v>
      </c>
      <c r="D7435" s="56">
        <v>0.0</v>
      </c>
    </row>
    <row r="7436" ht="15.75" customHeight="1">
      <c r="B7436" s="370">
        <f t="shared" si="2"/>
        <v>0.8603009259</v>
      </c>
      <c r="C7436" s="56">
        <f t="shared" si="3"/>
        <v>74330</v>
      </c>
      <c r="D7436" s="56">
        <v>0.0</v>
      </c>
    </row>
    <row r="7437" ht="15.75" customHeight="1">
      <c r="B7437" s="370">
        <f t="shared" si="2"/>
        <v>0.8604166667</v>
      </c>
      <c r="C7437" s="56">
        <f t="shared" si="3"/>
        <v>74340</v>
      </c>
      <c r="D7437" s="56">
        <v>0.0</v>
      </c>
    </row>
    <row r="7438" ht="15.75" customHeight="1">
      <c r="B7438" s="370">
        <f t="shared" si="2"/>
        <v>0.8605324074</v>
      </c>
      <c r="C7438" s="56">
        <f t="shared" si="3"/>
        <v>74350</v>
      </c>
      <c r="D7438" s="56">
        <v>0.0</v>
      </c>
    </row>
    <row r="7439" ht="15.75" customHeight="1">
      <c r="B7439" s="370">
        <f t="shared" si="2"/>
        <v>0.8606481481</v>
      </c>
      <c r="C7439" s="56">
        <f t="shared" si="3"/>
        <v>74360</v>
      </c>
      <c r="D7439" s="56">
        <v>0.0</v>
      </c>
    </row>
    <row r="7440" ht="15.75" customHeight="1">
      <c r="B7440" s="370">
        <f t="shared" si="2"/>
        <v>0.8607638889</v>
      </c>
      <c r="C7440" s="56">
        <f t="shared" si="3"/>
        <v>74370</v>
      </c>
      <c r="D7440" s="56">
        <v>0.0</v>
      </c>
    </row>
    <row r="7441" ht="15.75" customHeight="1">
      <c r="B7441" s="370">
        <f t="shared" si="2"/>
        <v>0.8608796296</v>
      </c>
      <c r="C7441" s="56">
        <f t="shared" si="3"/>
        <v>74380</v>
      </c>
      <c r="D7441" s="56">
        <v>0.0</v>
      </c>
    </row>
    <row r="7442" ht="15.75" customHeight="1">
      <c r="B7442" s="370">
        <f t="shared" si="2"/>
        <v>0.8609953704</v>
      </c>
      <c r="C7442" s="56">
        <f t="shared" si="3"/>
        <v>74390</v>
      </c>
      <c r="D7442" s="56">
        <v>0.0</v>
      </c>
    </row>
    <row r="7443" ht="15.75" customHeight="1">
      <c r="B7443" s="370">
        <f t="shared" si="2"/>
        <v>0.8611111111</v>
      </c>
      <c r="C7443" s="56">
        <f t="shared" si="3"/>
        <v>74400</v>
      </c>
      <c r="D7443" s="56">
        <v>0.0</v>
      </c>
    </row>
    <row r="7444" ht="15.75" customHeight="1">
      <c r="B7444" s="370">
        <f t="shared" si="2"/>
        <v>0.8612268519</v>
      </c>
      <c r="C7444" s="56">
        <f t="shared" si="3"/>
        <v>74410</v>
      </c>
      <c r="D7444" s="56">
        <v>0.0</v>
      </c>
    </row>
    <row r="7445" ht="15.75" customHeight="1">
      <c r="B7445" s="370">
        <f t="shared" si="2"/>
        <v>0.8613425926</v>
      </c>
      <c r="C7445" s="56">
        <f t="shared" si="3"/>
        <v>74420</v>
      </c>
      <c r="D7445" s="56">
        <v>0.0</v>
      </c>
    </row>
    <row r="7446" ht="15.75" customHeight="1">
      <c r="B7446" s="370">
        <f t="shared" si="2"/>
        <v>0.8614583333</v>
      </c>
      <c r="C7446" s="56">
        <f t="shared" si="3"/>
        <v>74430</v>
      </c>
      <c r="D7446" s="56">
        <v>0.0</v>
      </c>
    </row>
    <row r="7447" ht="15.75" customHeight="1">
      <c r="B7447" s="370">
        <f t="shared" si="2"/>
        <v>0.8615740741</v>
      </c>
      <c r="C7447" s="56">
        <f t="shared" si="3"/>
        <v>74440</v>
      </c>
      <c r="D7447" s="56">
        <v>0.0</v>
      </c>
    </row>
    <row r="7448" ht="15.75" customHeight="1">
      <c r="B7448" s="370">
        <f t="shared" si="2"/>
        <v>0.8616898148</v>
      </c>
      <c r="C7448" s="56">
        <f t="shared" si="3"/>
        <v>74450</v>
      </c>
      <c r="D7448" s="56">
        <v>0.0</v>
      </c>
    </row>
    <row r="7449" ht="15.75" customHeight="1">
      <c r="B7449" s="370">
        <f t="shared" si="2"/>
        <v>0.8618055556</v>
      </c>
      <c r="C7449" s="56">
        <f t="shared" si="3"/>
        <v>74460</v>
      </c>
      <c r="D7449" s="56">
        <v>0.0</v>
      </c>
    </row>
    <row r="7450" ht="15.75" customHeight="1">
      <c r="B7450" s="370">
        <f t="shared" si="2"/>
        <v>0.8619212963</v>
      </c>
      <c r="C7450" s="56">
        <f t="shared" si="3"/>
        <v>74470</v>
      </c>
      <c r="D7450" s="56">
        <v>0.0</v>
      </c>
    </row>
    <row r="7451" ht="15.75" customHeight="1">
      <c r="B7451" s="370">
        <f t="shared" si="2"/>
        <v>0.862037037</v>
      </c>
      <c r="C7451" s="56">
        <f t="shared" si="3"/>
        <v>74480</v>
      </c>
      <c r="D7451" s="56">
        <v>0.0</v>
      </c>
    </row>
    <row r="7452" ht="15.75" customHeight="1">
      <c r="B7452" s="370">
        <f t="shared" si="2"/>
        <v>0.8621527778</v>
      </c>
      <c r="C7452" s="56">
        <f t="shared" si="3"/>
        <v>74490</v>
      </c>
      <c r="D7452" s="56">
        <v>0.0</v>
      </c>
    </row>
    <row r="7453" ht="15.75" customHeight="1">
      <c r="B7453" s="370">
        <f t="shared" si="2"/>
        <v>0.8622685185</v>
      </c>
      <c r="C7453" s="56">
        <f t="shared" si="3"/>
        <v>74500</v>
      </c>
      <c r="D7453" s="56">
        <v>0.0</v>
      </c>
    </row>
    <row r="7454" ht="15.75" customHeight="1">
      <c r="B7454" s="370">
        <f t="shared" si="2"/>
        <v>0.8623842593</v>
      </c>
      <c r="C7454" s="56">
        <f t="shared" si="3"/>
        <v>74510</v>
      </c>
      <c r="D7454" s="56">
        <v>0.0</v>
      </c>
    </row>
    <row r="7455" ht="15.75" customHeight="1">
      <c r="B7455" s="370">
        <f t="shared" si="2"/>
        <v>0.8625</v>
      </c>
      <c r="C7455" s="56">
        <f t="shared" si="3"/>
        <v>74520</v>
      </c>
      <c r="D7455" s="56">
        <v>0.0</v>
      </c>
    </row>
    <row r="7456" ht="15.75" customHeight="1">
      <c r="B7456" s="370">
        <f t="shared" si="2"/>
        <v>0.8626157407</v>
      </c>
      <c r="C7456" s="56">
        <f t="shared" si="3"/>
        <v>74530</v>
      </c>
      <c r="D7456" s="56">
        <v>0.0</v>
      </c>
    </row>
    <row r="7457" ht="15.75" customHeight="1">
      <c r="B7457" s="370">
        <f t="shared" si="2"/>
        <v>0.8627314815</v>
      </c>
      <c r="C7457" s="56">
        <f t="shared" si="3"/>
        <v>74540</v>
      </c>
      <c r="D7457" s="56">
        <v>0.0</v>
      </c>
    </row>
    <row r="7458" ht="15.75" customHeight="1">
      <c r="B7458" s="370">
        <f t="shared" si="2"/>
        <v>0.8628472222</v>
      </c>
      <c r="C7458" s="56">
        <f t="shared" si="3"/>
        <v>74550</v>
      </c>
      <c r="D7458" s="56">
        <v>0.0</v>
      </c>
    </row>
    <row r="7459" ht="15.75" customHeight="1">
      <c r="B7459" s="370">
        <f t="shared" si="2"/>
        <v>0.862962963</v>
      </c>
      <c r="C7459" s="56">
        <f t="shared" si="3"/>
        <v>74560</v>
      </c>
      <c r="D7459" s="56">
        <v>0.0</v>
      </c>
    </row>
    <row r="7460" ht="15.75" customHeight="1">
      <c r="B7460" s="370">
        <f t="shared" si="2"/>
        <v>0.8630787037</v>
      </c>
      <c r="C7460" s="56">
        <f t="shared" si="3"/>
        <v>74570</v>
      </c>
      <c r="D7460" s="56">
        <v>0.0</v>
      </c>
    </row>
    <row r="7461" ht="15.75" customHeight="1">
      <c r="B7461" s="370">
        <f t="shared" si="2"/>
        <v>0.8631944444</v>
      </c>
      <c r="C7461" s="56">
        <f t="shared" si="3"/>
        <v>74580</v>
      </c>
      <c r="D7461" s="56">
        <v>0.0</v>
      </c>
    </row>
    <row r="7462" ht="15.75" customHeight="1">
      <c r="B7462" s="370">
        <f t="shared" si="2"/>
        <v>0.8633101852</v>
      </c>
      <c r="C7462" s="56">
        <f t="shared" si="3"/>
        <v>74590</v>
      </c>
      <c r="D7462" s="56">
        <v>0.0</v>
      </c>
    </row>
    <row r="7463" ht="15.75" customHeight="1">
      <c r="B7463" s="370">
        <f t="shared" si="2"/>
        <v>0.8634259259</v>
      </c>
      <c r="C7463" s="56">
        <f t="shared" si="3"/>
        <v>74600</v>
      </c>
      <c r="D7463" s="56">
        <v>0.0</v>
      </c>
    </row>
    <row r="7464" ht="15.75" customHeight="1">
      <c r="B7464" s="370">
        <f t="shared" si="2"/>
        <v>0.8635416667</v>
      </c>
      <c r="C7464" s="56">
        <f t="shared" si="3"/>
        <v>74610</v>
      </c>
      <c r="D7464" s="56">
        <v>0.0</v>
      </c>
    </row>
    <row r="7465" ht="15.75" customHeight="1">
      <c r="B7465" s="370">
        <f t="shared" si="2"/>
        <v>0.8636574074</v>
      </c>
      <c r="C7465" s="56">
        <f t="shared" si="3"/>
        <v>74620</v>
      </c>
      <c r="D7465" s="56">
        <v>0.0</v>
      </c>
    </row>
    <row r="7466" ht="15.75" customHeight="1">
      <c r="B7466" s="370">
        <f t="shared" si="2"/>
        <v>0.8637731481</v>
      </c>
      <c r="C7466" s="56">
        <f t="shared" si="3"/>
        <v>74630</v>
      </c>
      <c r="D7466" s="56">
        <v>0.0</v>
      </c>
    </row>
    <row r="7467" ht="15.75" customHeight="1">
      <c r="B7467" s="370">
        <f t="shared" si="2"/>
        <v>0.8638888889</v>
      </c>
      <c r="C7467" s="56">
        <f t="shared" si="3"/>
        <v>74640</v>
      </c>
      <c r="D7467" s="56">
        <v>0.0</v>
      </c>
    </row>
    <row r="7468" ht="15.75" customHeight="1">
      <c r="B7468" s="370">
        <f t="shared" si="2"/>
        <v>0.8640046296</v>
      </c>
      <c r="C7468" s="56">
        <f t="shared" si="3"/>
        <v>74650</v>
      </c>
      <c r="D7468" s="56">
        <v>0.0</v>
      </c>
    </row>
    <row r="7469" ht="15.75" customHeight="1">
      <c r="B7469" s="370">
        <f t="shared" si="2"/>
        <v>0.8641203704</v>
      </c>
      <c r="C7469" s="56">
        <f t="shared" si="3"/>
        <v>74660</v>
      </c>
      <c r="D7469" s="56">
        <v>0.0</v>
      </c>
    </row>
    <row r="7470" ht="15.75" customHeight="1">
      <c r="B7470" s="370">
        <f t="shared" si="2"/>
        <v>0.8642361111</v>
      </c>
      <c r="C7470" s="56">
        <f t="shared" si="3"/>
        <v>74670</v>
      </c>
      <c r="D7470" s="56">
        <v>0.0</v>
      </c>
    </row>
    <row r="7471" ht="15.75" customHeight="1">
      <c r="B7471" s="370">
        <f t="shared" si="2"/>
        <v>0.8643518519</v>
      </c>
      <c r="C7471" s="56">
        <f t="shared" si="3"/>
        <v>74680</v>
      </c>
      <c r="D7471" s="56">
        <v>0.0</v>
      </c>
    </row>
    <row r="7472" ht="15.75" customHeight="1">
      <c r="B7472" s="370">
        <f t="shared" si="2"/>
        <v>0.8644675926</v>
      </c>
      <c r="C7472" s="56">
        <f t="shared" si="3"/>
        <v>74690</v>
      </c>
      <c r="D7472" s="56">
        <v>0.0</v>
      </c>
    </row>
    <row r="7473" ht="15.75" customHeight="1">
      <c r="B7473" s="370">
        <f t="shared" si="2"/>
        <v>0.8645833333</v>
      </c>
      <c r="C7473" s="56">
        <f t="shared" si="3"/>
        <v>74700</v>
      </c>
      <c r="D7473" s="56">
        <v>0.0</v>
      </c>
    </row>
    <row r="7474" ht="15.75" customHeight="1">
      <c r="B7474" s="370">
        <f t="shared" si="2"/>
        <v>0.8646990741</v>
      </c>
      <c r="C7474" s="56">
        <f t="shared" si="3"/>
        <v>74710</v>
      </c>
      <c r="D7474" s="56">
        <v>0.0</v>
      </c>
    </row>
    <row r="7475" ht="15.75" customHeight="1">
      <c r="B7475" s="370">
        <f t="shared" si="2"/>
        <v>0.8648148148</v>
      </c>
      <c r="C7475" s="56">
        <f t="shared" si="3"/>
        <v>74720</v>
      </c>
      <c r="D7475" s="56">
        <v>0.0</v>
      </c>
    </row>
    <row r="7476" ht="15.75" customHeight="1">
      <c r="B7476" s="370">
        <f t="shared" si="2"/>
        <v>0.8649305556</v>
      </c>
      <c r="C7476" s="56">
        <f t="shared" si="3"/>
        <v>74730</v>
      </c>
      <c r="D7476" s="56">
        <v>0.0</v>
      </c>
    </row>
    <row r="7477" ht="15.75" customHeight="1">
      <c r="B7477" s="370">
        <f t="shared" si="2"/>
        <v>0.8650462963</v>
      </c>
      <c r="C7477" s="56">
        <f t="shared" si="3"/>
        <v>74740</v>
      </c>
      <c r="D7477" s="56">
        <v>0.0</v>
      </c>
    </row>
    <row r="7478" ht="15.75" customHeight="1">
      <c r="B7478" s="370">
        <f t="shared" si="2"/>
        <v>0.865162037</v>
      </c>
      <c r="C7478" s="56">
        <f t="shared" si="3"/>
        <v>74750</v>
      </c>
      <c r="D7478" s="56">
        <v>0.0</v>
      </c>
    </row>
    <row r="7479" ht="15.75" customHeight="1">
      <c r="B7479" s="370">
        <f t="shared" si="2"/>
        <v>0.8652777778</v>
      </c>
      <c r="C7479" s="56">
        <f t="shared" si="3"/>
        <v>74760</v>
      </c>
      <c r="D7479" s="56">
        <v>0.0</v>
      </c>
    </row>
    <row r="7480" ht="15.75" customHeight="1">
      <c r="B7480" s="370">
        <f t="shared" si="2"/>
        <v>0.8653935185</v>
      </c>
      <c r="C7480" s="56">
        <f t="shared" si="3"/>
        <v>74770</v>
      </c>
      <c r="D7480" s="56">
        <v>0.0</v>
      </c>
    </row>
    <row r="7481" ht="15.75" customHeight="1">
      <c r="B7481" s="370">
        <f t="shared" si="2"/>
        <v>0.8655092593</v>
      </c>
      <c r="C7481" s="56">
        <f t="shared" si="3"/>
        <v>74780</v>
      </c>
      <c r="D7481" s="56">
        <v>0.0</v>
      </c>
    </row>
    <row r="7482" ht="15.75" customHeight="1">
      <c r="B7482" s="370">
        <f t="shared" si="2"/>
        <v>0.865625</v>
      </c>
      <c r="C7482" s="56">
        <f t="shared" si="3"/>
        <v>74790</v>
      </c>
      <c r="D7482" s="56">
        <v>0.0</v>
      </c>
    </row>
    <row r="7483" ht="15.75" customHeight="1">
      <c r="B7483" s="370">
        <f t="shared" si="2"/>
        <v>0.8657407407</v>
      </c>
      <c r="C7483" s="56">
        <f t="shared" si="3"/>
        <v>74800</v>
      </c>
      <c r="D7483" s="56">
        <v>0.0</v>
      </c>
    </row>
    <row r="7484" ht="15.75" customHeight="1">
      <c r="B7484" s="370">
        <f t="shared" si="2"/>
        <v>0.8658564815</v>
      </c>
      <c r="C7484" s="56">
        <f t="shared" si="3"/>
        <v>74810</v>
      </c>
      <c r="D7484" s="56">
        <v>0.0</v>
      </c>
    </row>
    <row r="7485" ht="15.75" customHeight="1">
      <c r="B7485" s="370">
        <f t="shared" si="2"/>
        <v>0.8659722222</v>
      </c>
      <c r="C7485" s="56">
        <f t="shared" si="3"/>
        <v>74820</v>
      </c>
      <c r="D7485" s="56">
        <v>0.0</v>
      </c>
    </row>
    <row r="7486" ht="15.75" customHeight="1">
      <c r="B7486" s="370">
        <f t="shared" si="2"/>
        <v>0.866087963</v>
      </c>
      <c r="C7486" s="56">
        <f t="shared" si="3"/>
        <v>74830</v>
      </c>
      <c r="D7486" s="56">
        <v>0.0</v>
      </c>
    </row>
    <row r="7487" ht="15.75" customHeight="1">
      <c r="B7487" s="370">
        <f t="shared" si="2"/>
        <v>0.8662037037</v>
      </c>
      <c r="C7487" s="56">
        <f t="shared" si="3"/>
        <v>74840</v>
      </c>
      <c r="D7487" s="56">
        <v>0.0</v>
      </c>
    </row>
    <row r="7488" ht="15.75" customHeight="1">
      <c r="B7488" s="370">
        <f t="shared" si="2"/>
        <v>0.8663194444</v>
      </c>
      <c r="C7488" s="56">
        <f t="shared" si="3"/>
        <v>74850</v>
      </c>
      <c r="D7488" s="56">
        <v>0.0</v>
      </c>
    </row>
    <row r="7489" ht="15.75" customHeight="1">
      <c r="B7489" s="370">
        <f t="shared" si="2"/>
        <v>0.8664351852</v>
      </c>
      <c r="C7489" s="56">
        <f t="shared" si="3"/>
        <v>74860</v>
      </c>
      <c r="D7489" s="56">
        <v>0.0</v>
      </c>
    </row>
    <row r="7490" ht="15.75" customHeight="1">
      <c r="B7490" s="370">
        <f t="shared" si="2"/>
        <v>0.8665509259</v>
      </c>
      <c r="C7490" s="56">
        <f t="shared" si="3"/>
        <v>74870</v>
      </c>
      <c r="D7490" s="56">
        <v>0.0</v>
      </c>
    </row>
    <row r="7491" ht="15.75" customHeight="1">
      <c r="B7491" s="370">
        <f t="shared" si="2"/>
        <v>0.8666666667</v>
      </c>
      <c r="C7491" s="56">
        <f t="shared" si="3"/>
        <v>74880</v>
      </c>
      <c r="D7491" s="56">
        <v>0.0</v>
      </c>
    </row>
    <row r="7492" ht="15.75" customHeight="1">
      <c r="B7492" s="370">
        <f t="shared" si="2"/>
        <v>0.8667824074</v>
      </c>
      <c r="C7492" s="56">
        <f t="shared" si="3"/>
        <v>74890</v>
      </c>
      <c r="D7492" s="56">
        <v>0.0</v>
      </c>
    </row>
    <row r="7493" ht="15.75" customHeight="1">
      <c r="B7493" s="370">
        <f t="shared" si="2"/>
        <v>0.8668981481</v>
      </c>
      <c r="C7493" s="56">
        <f t="shared" si="3"/>
        <v>74900</v>
      </c>
      <c r="D7493" s="56">
        <v>0.0</v>
      </c>
    </row>
    <row r="7494" ht="15.75" customHeight="1">
      <c r="B7494" s="370">
        <f t="shared" si="2"/>
        <v>0.8670138889</v>
      </c>
      <c r="C7494" s="56">
        <f t="shared" si="3"/>
        <v>74910</v>
      </c>
      <c r="D7494" s="56">
        <v>0.0</v>
      </c>
    </row>
    <row r="7495" ht="15.75" customHeight="1">
      <c r="B7495" s="370">
        <f t="shared" si="2"/>
        <v>0.8671296296</v>
      </c>
      <c r="C7495" s="56">
        <f t="shared" si="3"/>
        <v>74920</v>
      </c>
      <c r="D7495" s="56">
        <v>0.0</v>
      </c>
    </row>
    <row r="7496" ht="15.75" customHeight="1">
      <c r="B7496" s="370">
        <f t="shared" si="2"/>
        <v>0.8672453704</v>
      </c>
      <c r="C7496" s="56">
        <f t="shared" si="3"/>
        <v>74930</v>
      </c>
      <c r="D7496" s="56">
        <v>0.0</v>
      </c>
    </row>
    <row r="7497" ht="15.75" customHeight="1">
      <c r="B7497" s="370">
        <f t="shared" si="2"/>
        <v>0.8673611111</v>
      </c>
      <c r="C7497" s="56">
        <f t="shared" si="3"/>
        <v>74940</v>
      </c>
      <c r="D7497" s="56">
        <v>0.0</v>
      </c>
    </row>
    <row r="7498" ht="15.75" customHeight="1">
      <c r="B7498" s="370">
        <f t="shared" si="2"/>
        <v>0.8674768519</v>
      </c>
      <c r="C7498" s="56">
        <f t="shared" si="3"/>
        <v>74950</v>
      </c>
      <c r="D7498" s="56">
        <v>0.0</v>
      </c>
    </row>
    <row r="7499" ht="15.75" customHeight="1">
      <c r="B7499" s="370">
        <f t="shared" si="2"/>
        <v>0.8675925926</v>
      </c>
      <c r="C7499" s="56">
        <f t="shared" si="3"/>
        <v>74960</v>
      </c>
      <c r="D7499" s="56">
        <v>0.0</v>
      </c>
    </row>
    <row r="7500" ht="15.75" customHeight="1">
      <c r="B7500" s="370">
        <f t="shared" si="2"/>
        <v>0.8677083333</v>
      </c>
      <c r="C7500" s="56">
        <f t="shared" si="3"/>
        <v>74970</v>
      </c>
      <c r="D7500" s="56">
        <v>0.0</v>
      </c>
    </row>
    <row r="7501" ht="15.75" customHeight="1">
      <c r="B7501" s="370">
        <f t="shared" si="2"/>
        <v>0.8678240741</v>
      </c>
      <c r="C7501" s="56">
        <f t="shared" si="3"/>
        <v>74980</v>
      </c>
      <c r="D7501" s="56">
        <v>0.0</v>
      </c>
    </row>
    <row r="7502" ht="15.75" customHeight="1">
      <c r="B7502" s="370">
        <f t="shared" si="2"/>
        <v>0.8679398148</v>
      </c>
      <c r="C7502" s="56">
        <f t="shared" si="3"/>
        <v>74990</v>
      </c>
      <c r="D7502" s="56">
        <v>0.0</v>
      </c>
    </row>
    <row r="7503" ht="15.75" customHeight="1">
      <c r="B7503" s="370">
        <f t="shared" si="2"/>
        <v>0.8680555556</v>
      </c>
      <c r="C7503" s="56">
        <f t="shared" si="3"/>
        <v>75000</v>
      </c>
      <c r="D7503" s="56">
        <v>0.0</v>
      </c>
    </row>
    <row r="7504" ht="15.75" customHeight="1">
      <c r="B7504" s="370">
        <f t="shared" si="2"/>
        <v>0.8681712963</v>
      </c>
      <c r="C7504" s="56">
        <f t="shared" si="3"/>
        <v>75010</v>
      </c>
      <c r="D7504" s="56">
        <v>0.0</v>
      </c>
    </row>
    <row r="7505" ht="15.75" customHeight="1">
      <c r="B7505" s="370">
        <f t="shared" si="2"/>
        <v>0.868287037</v>
      </c>
      <c r="C7505" s="56">
        <f t="shared" si="3"/>
        <v>75020</v>
      </c>
      <c r="D7505" s="56">
        <v>0.0</v>
      </c>
    </row>
    <row r="7506" ht="15.75" customHeight="1">
      <c r="B7506" s="370">
        <f t="shared" si="2"/>
        <v>0.8684027778</v>
      </c>
      <c r="C7506" s="56">
        <f t="shared" si="3"/>
        <v>75030</v>
      </c>
      <c r="D7506" s="56">
        <v>0.0</v>
      </c>
    </row>
    <row r="7507" ht="15.75" customHeight="1">
      <c r="B7507" s="370">
        <f t="shared" si="2"/>
        <v>0.8685185185</v>
      </c>
      <c r="C7507" s="56">
        <f t="shared" si="3"/>
        <v>75040</v>
      </c>
      <c r="D7507" s="56">
        <v>0.0</v>
      </c>
    </row>
    <row r="7508" ht="15.75" customHeight="1">
      <c r="B7508" s="370">
        <f t="shared" si="2"/>
        <v>0.8686342593</v>
      </c>
      <c r="C7508" s="56">
        <f t="shared" si="3"/>
        <v>75050</v>
      </c>
      <c r="D7508" s="56">
        <v>0.0</v>
      </c>
    </row>
    <row r="7509" ht="15.75" customHeight="1">
      <c r="B7509" s="370">
        <f t="shared" si="2"/>
        <v>0.86875</v>
      </c>
      <c r="C7509" s="56">
        <f t="shared" si="3"/>
        <v>75060</v>
      </c>
      <c r="D7509" s="56">
        <v>0.0</v>
      </c>
    </row>
    <row r="7510" ht="15.75" customHeight="1">
      <c r="B7510" s="370">
        <f t="shared" si="2"/>
        <v>0.8688657407</v>
      </c>
      <c r="C7510" s="56">
        <f t="shared" si="3"/>
        <v>75070</v>
      </c>
      <c r="D7510" s="56">
        <v>0.0</v>
      </c>
    </row>
    <row r="7511" ht="15.75" customHeight="1">
      <c r="B7511" s="370">
        <f t="shared" si="2"/>
        <v>0.8689814815</v>
      </c>
      <c r="C7511" s="56">
        <f t="shared" si="3"/>
        <v>75080</v>
      </c>
      <c r="D7511" s="56">
        <v>0.0</v>
      </c>
    </row>
    <row r="7512" ht="15.75" customHeight="1">
      <c r="B7512" s="370">
        <f t="shared" si="2"/>
        <v>0.8690972222</v>
      </c>
      <c r="C7512" s="56">
        <f t="shared" si="3"/>
        <v>75090</v>
      </c>
      <c r="D7512" s="56">
        <v>0.0</v>
      </c>
    </row>
    <row r="7513" ht="15.75" customHeight="1">
      <c r="B7513" s="370">
        <f t="shared" si="2"/>
        <v>0.869212963</v>
      </c>
      <c r="C7513" s="56">
        <f t="shared" si="3"/>
        <v>75100</v>
      </c>
      <c r="D7513" s="56">
        <v>0.0</v>
      </c>
    </row>
    <row r="7514" ht="15.75" customHeight="1">
      <c r="B7514" s="370">
        <f t="shared" si="2"/>
        <v>0.8693287037</v>
      </c>
      <c r="C7514" s="56">
        <f t="shared" si="3"/>
        <v>75110</v>
      </c>
      <c r="D7514" s="56">
        <v>0.0</v>
      </c>
    </row>
    <row r="7515" ht="15.75" customHeight="1">
      <c r="B7515" s="370">
        <f t="shared" si="2"/>
        <v>0.8694444444</v>
      </c>
      <c r="C7515" s="56">
        <f t="shared" si="3"/>
        <v>75120</v>
      </c>
      <c r="D7515" s="56">
        <v>0.0</v>
      </c>
    </row>
    <row r="7516" ht="15.75" customHeight="1">
      <c r="B7516" s="370">
        <f t="shared" si="2"/>
        <v>0.8695601852</v>
      </c>
      <c r="C7516" s="56">
        <f t="shared" si="3"/>
        <v>75130</v>
      </c>
      <c r="D7516" s="56">
        <v>0.0</v>
      </c>
    </row>
    <row r="7517" ht="15.75" customHeight="1">
      <c r="B7517" s="370">
        <f t="shared" si="2"/>
        <v>0.8696759259</v>
      </c>
      <c r="C7517" s="56">
        <f t="shared" si="3"/>
        <v>75140</v>
      </c>
      <c r="D7517" s="56">
        <v>0.0</v>
      </c>
    </row>
    <row r="7518" ht="15.75" customHeight="1">
      <c r="B7518" s="370">
        <f t="shared" si="2"/>
        <v>0.8697916667</v>
      </c>
      <c r="C7518" s="56">
        <f t="shared" si="3"/>
        <v>75150</v>
      </c>
      <c r="D7518" s="56">
        <v>0.0</v>
      </c>
    </row>
    <row r="7519" ht="15.75" customHeight="1">
      <c r="B7519" s="370">
        <f t="shared" si="2"/>
        <v>0.8699074074</v>
      </c>
      <c r="C7519" s="56">
        <f t="shared" si="3"/>
        <v>75160</v>
      </c>
      <c r="D7519" s="56">
        <v>0.0</v>
      </c>
    </row>
    <row r="7520" ht="15.75" customHeight="1">
      <c r="B7520" s="370">
        <f t="shared" si="2"/>
        <v>0.8700231481</v>
      </c>
      <c r="C7520" s="56">
        <f t="shared" si="3"/>
        <v>75170</v>
      </c>
      <c r="D7520" s="56">
        <v>0.0</v>
      </c>
    </row>
    <row r="7521" ht="15.75" customHeight="1">
      <c r="B7521" s="370">
        <f t="shared" si="2"/>
        <v>0.8701388889</v>
      </c>
      <c r="C7521" s="56">
        <f t="shared" si="3"/>
        <v>75180</v>
      </c>
      <c r="D7521" s="56">
        <v>0.0</v>
      </c>
    </row>
    <row r="7522" ht="15.75" customHeight="1">
      <c r="B7522" s="370">
        <f t="shared" si="2"/>
        <v>0.8702546296</v>
      </c>
      <c r="C7522" s="56">
        <f t="shared" si="3"/>
        <v>75190</v>
      </c>
      <c r="D7522" s="56">
        <v>0.0</v>
      </c>
    </row>
    <row r="7523" ht="15.75" customHeight="1">
      <c r="B7523" s="370">
        <f t="shared" si="2"/>
        <v>0.8703703704</v>
      </c>
      <c r="C7523" s="56">
        <f t="shared" si="3"/>
        <v>75200</v>
      </c>
      <c r="D7523" s="56">
        <v>0.0</v>
      </c>
    </row>
    <row r="7524" ht="15.75" customHeight="1">
      <c r="B7524" s="370">
        <f t="shared" si="2"/>
        <v>0.8704861111</v>
      </c>
      <c r="C7524" s="56">
        <f t="shared" si="3"/>
        <v>75210</v>
      </c>
      <c r="D7524" s="56">
        <v>0.0</v>
      </c>
    </row>
    <row r="7525" ht="15.75" customHeight="1">
      <c r="B7525" s="370">
        <f t="shared" si="2"/>
        <v>0.8706018519</v>
      </c>
      <c r="C7525" s="56">
        <f t="shared" si="3"/>
        <v>75220</v>
      </c>
      <c r="D7525" s="56">
        <v>0.0</v>
      </c>
    </row>
    <row r="7526" ht="15.75" customHeight="1">
      <c r="B7526" s="370">
        <f t="shared" si="2"/>
        <v>0.8707175926</v>
      </c>
      <c r="C7526" s="56">
        <f t="shared" si="3"/>
        <v>75230</v>
      </c>
      <c r="D7526" s="56">
        <v>0.0</v>
      </c>
    </row>
    <row r="7527" ht="15.75" customHeight="1">
      <c r="B7527" s="370">
        <f t="shared" si="2"/>
        <v>0.8708333333</v>
      </c>
      <c r="C7527" s="56">
        <f t="shared" si="3"/>
        <v>75240</v>
      </c>
      <c r="D7527" s="56">
        <v>0.0</v>
      </c>
    </row>
    <row r="7528" ht="15.75" customHeight="1">
      <c r="B7528" s="370">
        <f t="shared" si="2"/>
        <v>0.8709490741</v>
      </c>
      <c r="C7528" s="56">
        <f t="shared" si="3"/>
        <v>75250</v>
      </c>
      <c r="D7528" s="56">
        <v>0.0</v>
      </c>
    </row>
    <row r="7529" ht="15.75" customHeight="1">
      <c r="B7529" s="370">
        <f t="shared" si="2"/>
        <v>0.8710648148</v>
      </c>
      <c r="C7529" s="56">
        <f t="shared" si="3"/>
        <v>75260</v>
      </c>
      <c r="D7529" s="56">
        <v>0.0</v>
      </c>
    </row>
    <row r="7530" ht="15.75" customHeight="1">
      <c r="B7530" s="370">
        <f t="shared" si="2"/>
        <v>0.8711805556</v>
      </c>
      <c r="C7530" s="56">
        <f t="shared" si="3"/>
        <v>75270</v>
      </c>
      <c r="D7530" s="56">
        <v>0.0</v>
      </c>
    </row>
    <row r="7531" ht="15.75" customHeight="1">
      <c r="B7531" s="370">
        <f t="shared" si="2"/>
        <v>0.8712962963</v>
      </c>
      <c r="C7531" s="56">
        <f t="shared" si="3"/>
        <v>75280</v>
      </c>
      <c r="D7531" s="56">
        <v>0.0</v>
      </c>
    </row>
    <row r="7532" ht="15.75" customHeight="1">
      <c r="B7532" s="370">
        <f t="shared" si="2"/>
        <v>0.871412037</v>
      </c>
      <c r="C7532" s="56">
        <f t="shared" si="3"/>
        <v>75290</v>
      </c>
      <c r="D7532" s="56">
        <v>0.0</v>
      </c>
    </row>
    <row r="7533" ht="15.75" customHeight="1">
      <c r="B7533" s="370">
        <f t="shared" si="2"/>
        <v>0.8715277778</v>
      </c>
      <c r="C7533" s="56">
        <f t="shared" si="3"/>
        <v>75300</v>
      </c>
      <c r="D7533" s="56">
        <v>0.0</v>
      </c>
    </row>
    <row r="7534" ht="15.75" customHeight="1">
      <c r="B7534" s="370">
        <f t="shared" si="2"/>
        <v>0.8716435185</v>
      </c>
      <c r="C7534" s="56">
        <f t="shared" si="3"/>
        <v>75310</v>
      </c>
      <c r="D7534" s="56">
        <v>0.0</v>
      </c>
    </row>
    <row r="7535" ht="15.75" customHeight="1">
      <c r="B7535" s="370">
        <f t="shared" si="2"/>
        <v>0.8717592593</v>
      </c>
      <c r="C7535" s="56">
        <f t="shared" si="3"/>
        <v>75320</v>
      </c>
      <c r="D7535" s="56">
        <v>0.0</v>
      </c>
    </row>
    <row r="7536" ht="15.75" customHeight="1">
      <c r="B7536" s="370">
        <f t="shared" si="2"/>
        <v>0.871875</v>
      </c>
      <c r="C7536" s="56">
        <f t="shared" si="3"/>
        <v>75330</v>
      </c>
      <c r="D7536" s="56">
        <v>0.0</v>
      </c>
    </row>
    <row r="7537" ht="15.75" customHeight="1">
      <c r="B7537" s="370">
        <f t="shared" si="2"/>
        <v>0.8719907407</v>
      </c>
      <c r="C7537" s="56">
        <f t="shared" si="3"/>
        <v>75340</v>
      </c>
      <c r="D7537" s="56">
        <v>0.0</v>
      </c>
    </row>
    <row r="7538" ht="15.75" customHeight="1">
      <c r="B7538" s="370">
        <f t="shared" si="2"/>
        <v>0.8721064815</v>
      </c>
      <c r="C7538" s="56">
        <f t="shared" si="3"/>
        <v>75350</v>
      </c>
      <c r="D7538" s="56">
        <v>0.0</v>
      </c>
    </row>
    <row r="7539" ht="15.75" customHeight="1">
      <c r="B7539" s="370">
        <f t="shared" si="2"/>
        <v>0.8722222222</v>
      </c>
      <c r="C7539" s="56">
        <f t="shared" si="3"/>
        <v>75360</v>
      </c>
      <c r="D7539" s="56">
        <v>0.0</v>
      </c>
    </row>
    <row r="7540" ht="15.75" customHeight="1">
      <c r="B7540" s="370">
        <f t="shared" si="2"/>
        <v>0.872337963</v>
      </c>
      <c r="C7540" s="56">
        <f t="shared" si="3"/>
        <v>75370</v>
      </c>
      <c r="D7540" s="56">
        <v>0.0</v>
      </c>
    </row>
    <row r="7541" ht="15.75" customHeight="1">
      <c r="B7541" s="370">
        <f t="shared" si="2"/>
        <v>0.8724537037</v>
      </c>
      <c r="C7541" s="56">
        <f t="shared" si="3"/>
        <v>75380</v>
      </c>
      <c r="D7541" s="56">
        <v>0.0</v>
      </c>
    </row>
    <row r="7542" ht="15.75" customHeight="1">
      <c r="B7542" s="370">
        <f t="shared" si="2"/>
        <v>0.8725694444</v>
      </c>
      <c r="C7542" s="56">
        <f t="shared" si="3"/>
        <v>75390</v>
      </c>
      <c r="D7542" s="56">
        <v>0.0</v>
      </c>
    </row>
    <row r="7543" ht="15.75" customHeight="1">
      <c r="B7543" s="370">
        <f t="shared" si="2"/>
        <v>0.8726851852</v>
      </c>
      <c r="C7543" s="56">
        <f t="shared" si="3"/>
        <v>75400</v>
      </c>
      <c r="D7543" s="56">
        <v>0.0</v>
      </c>
    </row>
    <row r="7544" ht="15.75" customHeight="1">
      <c r="B7544" s="370">
        <f t="shared" si="2"/>
        <v>0.8728009259</v>
      </c>
      <c r="C7544" s="56">
        <f t="shared" si="3"/>
        <v>75410</v>
      </c>
      <c r="D7544" s="56">
        <v>0.0</v>
      </c>
    </row>
    <row r="7545" ht="15.75" customHeight="1">
      <c r="B7545" s="370">
        <f t="shared" si="2"/>
        <v>0.8729166667</v>
      </c>
      <c r="C7545" s="56">
        <f t="shared" si="3"/>
        <v>75420</v>
      </c>
      <c r="D7545" s="56">
        <v>0.0</v>
      </c>
    </row>
    <row r="7546" ht="15.75" customHeight="1">
      <c r="B7546" s="370">
        <f t="shared" si="2"/>
        <v>0.8730324074</v>
      </c>
      <c r="C7546" s="56">
        <f t="shared" si="3"/>
        <v>75430</v>
      </c>
      <c r="D7546" s="56">
        <v>0.0</v>
      </c>
    </row>
    <row r="7547" ht="15.75" customHeight="1">
      <c r="B7547" s="370">
        <f t="shared" si="2"/>
        <v>0.8731481481</v>
      </c>
      <c r="C7547" s="56">
        <f t="shared" si="3"/>
        <v>75440</v>
      </c>
      <c r="D7547" s="56">
        <v>0.0</v>
      </c>
    </row>
    <row r="7548" ht="15.75" customHeight="1">
      <c r="B7548" s="370">
        <f t="shared" si="2"/>
        <v>0.8732638889</v>
      </c>
      <c r="C7548" s="56">
        <f t="shared" si="3"/>
        <v>75450</v>
      </c>
      <c r="D7548" s="56">
        <v>0.0</v>
      </c>
    </row>
    <row r="7549" ht="15.75" customHeight="1">
      <c r="B7549" s="370">
        <f t="shared" si="2"/>
        <v>0.8733796296</v>
      </c>
      <c r="C7549" s="56">
        <f t="shared" si="3"/>
        <v>75460</v>
      </c>
      <c r="D7549" s="56">
        <v>0.0</v>
      </c>
    </row>
    <row r="7550" ht="15.75" customHeight="1">
      <c r="B7550" s="370">
        <f t="shared" si="2"/>
        <v>0.8734953704</v>
      </c>
      <c r="C7550" s="56">
        <f t="shared" si="3"/>
        <v>75470</v>
      </c>
      <c r="D7550" s="56">
        <v>0.0</v>
      </c>
    </row>
    <row r="7551" ht="15.75" customHeight="1">
      <c r="B7551" s="370">
        <f t="shared" si="2"/>
        <v>0.8736111111</v>
      </c>
      <c r="C7551" s="56">
        <f t="shared" si="3"/>
        <v>75480</v>
      </c>
      <c r="D7551" s="56">
        <v>0.0</v>
      </c>
    </row>
    <row r="7552" ht="15.75" customHeight="1">
      <c r="B7552" s="370">
        <f t="shared" si="2"/>
        <v>0.8737268519</v>
      </c>
      <c r="C7552" s="56">
        <f t="shared" si="3"/>
        <v>75490</v>
      </c>
      <c r="D7552" s="56">
        <v>0.0</v>
      </c>
    </row>
    <row r="7553" ht="15.75" customHeight="1">
      <c r="B7553" s="370">
        <f t="shared" si="2"/>
        <v>0.8738425926</v>
      </c>
      <c r="C7553" s="56">
        <f t="shared" si="3"/>
        <v>75500</v>
      </c>
      <c r="D7553" s="56">
        <v>0.0</v>
      </c>
    </row>
    <row r="7554" ht="15.75" customHeight="1">
      <c r="B7554" s="370">
        <f t="shared" si="2"/>
        <v>0.8739583333</v>
      </c>
      <c r="C7554" s="56">
        <f t="shared" si="3"/>
        <v>75510</v>
      </c>
      <c r="D7554" s="56">
        <v>0.0</v>
      </c>
    </row>
    <row r="7555" ht="15.75" customHeight="1">
      <c r="B7555" s="370">
        <f t="shared" si="2"/>
        <v>0.8740740741</v>
      </c>
      <c r="C7555" s="56">
        <f t="shared" si="3"/>
        <v>75520</v>
      </c>
      <c r="D7555" s="56">
        <v>0.0</v>
      </c>
    </row>
    <row r="7556" ht="15.75" customHeight="1">
      <c r="B7556" s="370">
        <f t="shared" si="2"/>
        <v>0.8741898148</v>
      </c>
      <c r="C7556" s="56">
        <f t="shared" si="3"/>
        <v>75530</v>
      </c>
      <c r="D7556" s="56">
        <v>0.0</v>
      </c>
    </row>
    <row r="7557" ht="15.75" customHeight="1">
      <c r="B7557" s="370">
        <f t="shared" si="2"/>
        <v>0.8743055556</v>
      </c>
      <c r="C7557" s="56">
        <f t="shared" si="3"/>
        <v>75540</v>
      </c>
      <c r="D7557" s="56">
        <v>0.0</v>
      </c>
    </row>
    <row r="7558" ht="15.75" customHeight="1">
      <c r="B7558" s="370">
        <f t="shared" si="2"/>
        <v>0.8744212963</v>
      </c>
      <c r="C7558" s="56">
        <f t="shared" si="3"/>
        <v>75550</v>
      </c>
      <c r="D7558" s="56">
        <v>0.0</v>
      </c>
    </row>
    <row r="7559" ht="15.75" customHeight="1">
      <c r="B7559" s="370">
        <f t="shared" si="2"/>
        <v>0.874537037</v>
      </c>
      <c r="C7559" s="56">
        <f t="shared" si="3"/>
        <v>75560</v>
      </c>
      <c r="D7559" s="56">
        <v>0.0</v>
      </c>
    </row>
    <row r="7560" ht="15.75" customHeight="1">
      <c r="B7560" s="370">
        <f t="shared" si="2"/>
        <v>0.8746527778</v>
      </c>
      <c r="C7560" s="56">
        <f t="shared" si="3"/>
        <v>75570</v>
      </c>
      <c r="D7560" s="56">
        <v>0.0</v>
      </c>
    </row>
    <row r="7561" ht="15.75" customHeight="1">
      <c r="B7561" s="370">
        <f t="shared" si="2"/>
        <v>0.8747685185</v>
      </c>
      <c r="C7561" s="56">
        <f t="shared" si="3"/>
        <v>75580</v>
      </c>
      <c r="D7561" s="56">
        <v>0.0</v>
      </c>
    </row>
    <row r="7562" ht="15.75" customHeight="1">
      <c r="B7562" s="370">
        <f t="shared" si="2"/>
        <v>0.8748842593</v>
      </c>
      <c r="C7562" s="56">
        <f t="shared" si="3"/>
        <v>75590</v>
      </c>
      <c r="D7562" s="56">
        <v>0.0</v>
      </c>
    </row>
    <row r="7563" ht="15.75" customHeight="1">
      <c r="B7563" s="370">
        <f t="shared" si="2"/>
        <v>0.875</v>
      </c>
      <c r="C7563" s="56">
        <f t="shared" si="3"/>
        <v>75600</v>
      </c>
      <c r="D7563" s="56">
        <v>0.0</v>
      </c>
    </row>
    <row r="7564" ht="15.75" customHeight="1">
      <c r="B7564" s="370">
        <f t="shared" si="2"/>
        <v>0.8751157407</v>
      </c>
      <c r="C7564" s="56">
        <f t="shared" si="3"/>
        <v>75610</v>
      </c>
      <c r="D7564" s="56">
        <v>0.0</v>
      </c>
    </row>
    <row r="7565" ht="15.75" customHeight="1">
      <c r="B7565" s="370">
        <f t="shared" si="2"/>
        <v>0.8752314815</v>
      </c>
      <c r="C7565" s="56">
        <f t="shared" si="3"/>
        <v>75620</v>
      </c>
      <c r="D7565" s="56">
        <v>0.0</v>
      </c>
    </row>
    <row r="7566" ht="15.75" customHeight="1">
      <c r="B7566" s="370">
        <f t="shared" si="2"/>
        <v>0.8753472222</v>
      </c>
      <c r="C7566" s="56">
        <f t="shared" si="3"/>
        <v>75630</v>
      </c>
      <c r="D7566" s="56">
        <v>0.0</v>
      </c>
    </row>
    <row r="7567" ht="15.75" customHeight="1">
      <c r="B7567" s="370">
        <f t="shared" si="2"/>
        <v>0.875462963</v>
      </c>
      <c r="C7567" s="56">
        <f t="shared" si="3"/>
        <v>75640</v>
      </c>
      <c r="D7567" s="56">
        <v>0.0</v>
      </c>
    </row>
    <row r="7568" ht="15.75" customHeight="1">
      <c r="B7568" s="370">
        <f t="shared" si="2"/>
        <v>0.8755787037</v>
      </c>
      <c r="C7568" s="56">
        <f t="shared" si="3"/>
        <v>75650</v>
      </c>
      <c r="D7568" s="56">
        <v>0.0</v>
      </c>
    </row>
    <row r="7569" ht="15.75" customHeight="1">
      <c r="B7569" s="370">
        <f t="shared" si="2"/>
        <v>0.8756944444</v>
      </c>
      <c r="C7569" s="56">
        <f t="shared" si="3"/>
        <v>75660</v>
      </c>
      <c r="D7569" s="56">
        <v>0.0</v>
      </c>
    </row>
    <row r="7570" ht="15.75" customHeight="1">
      <c r="B7570" s="370">
        <f t="shared" si="2"/>
        <v>0.8758101852</v>
      </c>
      <c r="C7570" s="56">
        <f t="shared" si="3"/>
        <v>75670</v>
      </c>
      <c r="D7570" s="56">
        <v>0.0</v>
      </c>
    </row>
    <row r="7571" ht="15.75" customHeight="1">
      <c r="B7571" s="370">
        <f t="shared" si="2"/>
        <v>0.8759259259</v>
      </c>
      <c r="C7571" s="56">
        <f t="shared" si="3"/>
        <v>75680</v>
      </c>
      <c r="D7571" s="56">
        <v>0.0</v>
      </c>
    </row>
    <row r="7572" ht="15.75" customHeight="1">
      <c r="B7572" s="370">
        <f t="shared" si="2"/>
        <v>0.8760416667</v>
      </c>
      <c r="C7572" s="56">
        <f t="shared" si="3"/>
        <v>75690</v>
      </c>
      <c r="D7572" s="56">
        <v>0.0</v>
      </c>
    </row>
    <row r="7573" ht="15.75" customHeight="1">
      <c r="B7573" s="370">
        <f t="shared" si="2"/>
        <v>0.8761574074</v>
      </c>
      <c r="C7573" s="56">
        <f t="shared" si="3"/>
        <v>75700</v>
      </c>
      <c r="D7573" s="56">
        <v>0.0</v>
      </c>
    </row>
    <row r="7574" ht="15.75" customHeight="1">
      <c r="B7574" s="370">
        <f t="shared" si="2"/>
        <v>0.8762731481</v>
      </c>
      <c r="C7574" s="56">
        <f t="shared" si="3"/>
        <v>75710</v>
      </c>
      <c r="D7574" s="56">
        <v>0.0</v>
      </c>
    </row>
    <row r="7575" ht="15.75" customHeight="1">
      <c r="B7575" s="370">
        <f t="shared" si="2"/>
        <v>0.8763888889</v>
      </c>
      <c r="C7575" s="56">
        <f t="shared" si="3"/>
        <v>75720</v>
      </c>
      <c r="D7575" s="56">
        <v>0.0</v>
      </c>
    </row>
    <row r="7576" ht="15.75" customHeight="1">
      <c r="B7576" s="370">
        <f t="shared" si="2"/>
        <v>0.8765046296</v>
      </c>
      <c r="C7576" s="56">
        <f t="shared" si="3"/>
        <v>75730</v>
      </c>
      <c r="D7576" s="56">
        <v>0.0</v>
      </c>
    </row>
    <row r="7577" ht="15.75" customHeight="1">
      <c r="B7577" s="370">
        <f t="shared" si="2"/>
        <v>0.8766203704</v>
      </c>
      <c r="C7577" s="56">
        <f t="shared" si="3"/>
        <v>75740</v>
      </c>
      <c r="D7577" s="56">
        <v>0.0</v>
      </c>
    </row>
    <row r="7578" ht="15.75" customHeight="1">
      <c r="B7578" s="370">
        <f t="shared" si="2"/>
        <v>0.8767361111</v>
      </c>
      <c r="C7578" s="56">
        <f t="shared" si="3"/>
        <v>75750</v>
      </c>
      <c r="D7578" s="56">
        <v>0.0</v>
      </c>
    </row>
    <row r="7579" ht="15.75" customHeight="1">
      <c r="B7579" s="370">
        <f t="shared" si="2"/>
        <v>0.8768518519</v>
      </c>
      <c r="C7579" s="56">
        <f t="shared" si="3"/>
        <v>75760</v>
      </c>
      <c r="D7579" s="56">
        <v>0.0</v>
      </c>
    </row>
    <row r="7580" ht="15.75" customHeight="1">
      <c r="B7580" s="370">
        <f t="shared" si="2"/>
        <v>0.8769675926</v>
      </c>
      <c r="C7580" s="56">
        <f t="shared" si="3"/>
        <v>75770</v>
      </c>
      <c r="D7580" s="56">
        <v>0.0</v>
      </c>
    </row>
    <row r="7581" ht="15.75" customHeight="1">
      <c r="B7581" s="370">
        <f t="shared" si="2"/>
        <v>0.8770833333</v>
      </c>
      <c r="C7581" s="56">
        <f t="shared" si="3"/>
        <v>75780</v>
      </c>
      <c r="D7581" s="56">
        <v>0.0</v>
      </c>
    </row>
    <row r="7582" ht="15.75" customHeight="1">
      <c r="B7582" s="370">
        <f t="shared" si="2"/>
        <v>0.8771990741</v>
      </c>
      <c r="C7582" s="56">
        <f t="shared" si="3"/>
        <v>75790</v>
      </c>
      <c r="D7582" s="56">
        <v>0.0</v>
      </c>
    </row>
    <row r="7583" ht="15.75" customHeight="1">
      <c r="B7583" s="370">
        <f t="shared" si="2"/>
        <v>0.8773148148</v>
      </c>
      <c r="C7583" s="56">
        <f t="shared" si="3"/>
        <v>75800</v>
      </c>
      <c r="D7583" s="56">
        <v>0.0</v>
      </c>
    </row>
    <row r="7584" ht="15.75" customHeight="1">
      <c r="B7584" s="370">
        <f t="shared" si="2"/>
        <v>0.8774305556</v>
      </c>
      <c r="C7584" s="56">
        <f t="shared" si="3"/>
        <v>75810</v>
      </c>
      <c r="D7584" s="56">
        <v>0.0</v>
      </c>
    </row>
    <row r="7585" ht="15.75" customHeight="1">
      <c r="B7585" s="370">
        <f t="shared" si="2"/>
        <v>0.8775462963</v>
      </c>
      <c r="C7585" s="56">
        <f t="shared" si="3"/>
        <v>75820</v>
      </c>
      <c r="D7585" s="56">
        <v>0.0</v>
      </c>
    </row>
    <row r="7586" ht="15.75" customHeight="1">
      <c r="B7586" s="370">
        <f t="shared" si="2"/>
        <v>0.877662037</v>
      </c>
      <c r="C7586" s="56">
        <f t="shared" si="3"/>
        <v>75830</v>
      </c>
      <c r="D7586" s="56">
        <v>0.0</v>
      </c>
    </row>
    <row r="7587" ht="15.75" customHeight="1">
      <c r="B7587" s="370">
        <f t="shared" si="2"/>
        <v>0.8777777778</v>
      </c>
      <c r="C7587" s="56">
        <f t="shared" si="3"/>
        <v>75840</v>
      </c>
      <c r="D7587" s="56">
        <v>0.0</v>
      </c>
    </row>
    <row r="7588" ht="15.75" customHeight="1">
      <c r="B7588" s="370">
        <f t="shared" si="2"/>
        <v>0.8778935185</v>
      </c>
      <c r="C7588" s="56">
        <f t="shared" si="3"/>
        <v>75850</v>
      </c>
      <c r="D7588" s="56">
        <v>0.0</v>
      </c>
    </row>
    <row r="7589" ht="15.75" customHeight="1">
      <c r="B7589" s="370">
        <f t="shared" si="2"/>
        <v>0.8780092593</v>
      </c>
      <c r="C7589" s="56">
        <f t="shared" si="3"/>
        <v>75860</v>
      </c>
      <c r="D7589" s="56">
        <v>0.0</v>
      </c>
    </row>
    <row r="7590" ht="15.75" customHeight="1">
      <c r="B7590" s="370">
        <f t="shared" si="2"/>
        <v>0.878125</v>
      </c>
      <c r="C7590" s="56">
        <f t="shared" si="3"/>
        <v>75870</v>
      </c>
      <c r="D7590" s="56">
        <v>0.0</v>
      </c>
    </row>
    <row r="7591" ht="15.75" customHeight="1">
      <c r="B7591" s="370">
        <f t="shared" si="2"/>
        <v>0.8782407407</v>
      </c>
      <c r="C7591" s="56">
        <f t="shared" si="3"/>
        <v>75880</v>
      </c>
      <c r="D7591" s="56">
        <v>0.0</v>
      </c>
    </row>
    <row r="7592" ht="15.75" customHeight="1">
      <c r="B7592" s="370">
        <f t="shared" si="2"/>
        <v>0.8783564815</v>
      </c>
      <c r="C7592" s="56">
        <f t="shared" si="3"/>
        <v>75890</v>
      </c>
      <c r="D7592" s="56">
        <v>0.0</v>
      </c>
    </row>
    <row r="7593" ht="15.75" customHeight="1">
      <c r="B7593" s="370">
        <f t="shared" si="2"/>
        <v>0.8784722222</v>
      </c>
      <c r="C7593" s="56">
        <f t="shared" si="3"/>
        <v>75900</v>
      </c>
      <c r="D7593" s="56">
        <v>0.0</v>
      </c>
    </row>
    <row r="7594" ht="15.75" customHeight="1">
      <c r="B7594" s="370">
        <f t="shared" si="2"/>
        <v>0.878587963</v>
      </c>
      <c r="C7594" s="56">
        <f t="shared" si="3"/>
        <v>75910</v>
      </c>
      <c r="D7594" s="56">
        <v>0.0</v>
      </c>
    </row>
    <row r="7595" ht="15.75" customHeight="1">
      <c r="B7595" s="370">
        <f t="shared" si="2"/>
        <v>0.8787037037</v>
      </c>
      <c r="C7595" s="56">
        <f t="shared" si="3"/>
        <v>75920</v>
      </c>
      <c r="D7595" s="56">
        <v>0.0</v>
      </c>
    </row>
    <row r="7596" ht="15.75" customHeight="1">
      <c r="B7596" s="370">
        <f t="shared" si="2"/>
        <v>0.8788194444</v>
      </c>
      <c r="C7596" s="56">
        <f t="shared" si="3"/>
        <v>75930</v>
      </c>
      <c r="D7596" s="56">
        <v>0.0</v>
      </c>
    </row>
    <row r="7597" ht="15.75" customHeight="1">
      <c r="B7597" s="370">
        <f t="shared" si="2"/>
        <v>0.8789351852</v>
      </c>
      <c r="C7597" s="56">
        <f t="shared" si="3"/>
        <v>75940</v>
      </c>
      <c r="D7597" s="56">
        <v>0.0</v>
      </c>
    </row>
    <row r="7598" ht="15.75" customHeight="1">
      <c r="B7598" s="370">
        <f t="shared" si="2"/>
        <v>0.8790509259</v>
      </c>
      <c r="C7598" s="56">
        <f t="shared" si="3"/>
        <v>75950</v>
      </c>
      <c r="D7598" s="56">
        <v>0.0</v>
      </c>
    </row>
    <row r="7599" ht="15.75" customHeight="1">
      <c r="B7599" s="370">
        <f t="shared" si="2"/>
        <v>0.8791666667</v>
      </c>
      <c r="C7599" s="56">
        <f t="shared" si="3"/>
        <v>75960</v>
      </c>
      <c r="D7599" s="56">
        <v>0.0</v>
      </c>
    </row>
    <row r="7600" ht="15.75" customHeight="1">
      <c r="B7600" s="370">
        <f t="shared" si="2"/>
        <v>0.8792824074</v>
      </c>
      <c r="C7600" s="56">
        <f t="shared" si="3"/>
        <v>75970</v>
      </c>
      <c r="D7600" s="56">
        <v>0.0</v>
      </c>
    </row>
    <row r="7601" ht="15.75" customHeight="1">
      <c r="B7601" s="370">
        <f t="shared" si="2"/>
        <v>0.8793981481</v>
      </c>
      <c r="C7601" s="56">
        <f t="shared" si="3"/>
        <v>75980</v>
      </c>
      <c r="D7601" s="56">
        <v>0.0</v>
      </c>
    </row>
    <row r="7602" ht="15.75" customHeight="1">
      <c r="B7602" s="370">
        <f t="shared" si="2"/>
        <v>0.8795138889</v>
      </c>
      <c r="C7602" s="56">
        <f t="shared" si="3"/>
        <v>75990</v>
      </c>
      <c r="D7602" s="56">
        <v>0.0</v>
      </c>
    </row>
    <row r="7603" ht="15.75" customHeight="1">
      <c r="B7603" s="370">
        <f t="shared" si="2"/>
        <v>0.8796296296</v>
      </c>
      <c r="C7603" s="56">
        <f t="shared" si="3"/>
        <v>76000</v>
      </c>
      <c r="D7603" s="56">
        <v>0.0</v>
      </c>
    </row>
    <row r="7604" ht="15.75" customHeight="1">
      <c r="B7604" s="370">
        <f t="shared" si="2"/>
        <v>0.8797453704</v>
      </c>
      <c r="C7604" s="56">
        <f t="shared" si="3"/>
        <v>76010</v>
      </c>
      <c r="D7604" s="56">
        <v>0.0</v>
      </c>
    </row>
    <row r="7605" ht="15.75" customHeight="1">
      <c r="B7605" s="370">
        <f t="shared" si="2"/>
        <v>0.8798611111</v>
      </c>
      <c r="C7605" s="56">
        <f t="shared" si="3"/>
        <v>76020</v>
      </c>
      <c r="D7605" s="56">
        <v>0.0</v>
      </c>
    </row>
    <row r="7606" ht="15.75" customHeight="1">
      <c r="B7606" s="370">
        <f t="shared" si="2"/>
        <v>0.8799768519</v>
      </c>
      <c r="C7606" s="56">
        <f t="shared" si="3"/>
        <v>76030</v>
      </c>
      <c r="D7606" s="56">
        <v>0.0</v>
      </c>
    </row>
    <row r="7607" ht="15.75" customHeight="1">
      <c r="B7607" s="370">
        <f t="shared" si="2"/>
        <v>0.8800925926</v>
      </c>
      <c r="C7607" s="56">
        <f t="shared" si="3"/>
        <v>76040</v>
      </c>
      <c r="D7607" s="56">
        <v>0.0</v>
      </c>
    </row>
    <row r="7608" ht="15.75" customHeight="1">
      <c r="B7608" s="370">
        <f t="shared" si="2"/>
        <v>0.8802083333</v>
      </c>
      <c r="C7608" s="56">
        <f t="shared" si="3"/>
        <v>76050</v>
      </c>
      <c r="D7608" s="56">
        <v>0.0</v>
      </c>
    </row>
    <row r="7609" ht="15.75" customHeight="1">
      <c r="B7609" s="370">
        <f t="shared" si="2"/>
        <v>0.8803240741</v>
      </c>
      <c r="C7609" s="56">
        <f t="shared" si="3"/>
        <v>76060</v>
      </c>
      <c r="D7609" s="56">
        <v>0.0</v>
      </c>
    </row>
    <row r="7610" ht="15.75" customHeight="1">
      <c r="B7610" s="370">
        <f t="shared" si="2"/>
        <v>0.8804398148</v>
      </c>
      <c r="C7610" s="56">
        <f t="shared" si="3"/>
        <v>76070</v>
      </c>
      <c r="D7610" s="56">
        <v>0.0</v>
      </c>
    </row>
    <row r="7611" ht="15.75" customHeight="1">
      <c r="B7611" s="370">
        <f t="shared" si="2"/>
        <v>0.8805555556</v>
      </c>
      <c r="C7611" s="56">
        <f t="shared" si="3"/>
        <v>76080</v>
      </c>
      <c r="D7611" s="56">
        <v>0.0</v>
      </c>
    </row>
    <row r="7612" ht="15.75" customHeight="1">
      <c r="B7612" s="370">
        <f t="shared" si="2"/>
        <v>0.8806712963</v>
      </c>
      <c r="C7612" s="56">
        <f t="shared" si="3"/>
        <v>76090</v>
      </c>
      <c r="D7612" s="56">
        <v>0.0</v>
      </c>
    </row>
    <row r="7613" ht="15.75" customHeight="1">
      <c r="B7613" s="370">
        <f t="shared" si="2"/>
        <v>0.880787037</v>
      </c>
      <c r="C7613" s="56">
        <f t="shared" si="3"/>
        <v>76100</v>
      </c>
      <c r="D7613" s="56">
        <v>0.0</v>
      </c>
    </row>
    <row r="7614" ht="15.75" customHeight="1">
      <c r="B7614" s="370">
        <f t="shared" si="2"/>
        <v>0.8809027778</v>
      </c>
      <c r="C7614" s="56">
        <f t="shared" si="3"/>
        <v>76110</v>
      </c>
      <c r="D7614" s="56">
        <v>0.0</v>
      </c>
    </row>
    <row r="7615" ht="15.75" customHeight="1">
      <c r="B7615" s="370">
        <f t="shared" si="2"/>
        <v>0.8810185185</v>
      </c>
      <c r="C7615" s="56">
        <f t="shared" si="3"/>
        <v>76120</v>
      </c>
      <c r="D7615" s="56">
        <v>0.0</v>
      </c>
    </row>
    <row r="7616" ht="15.75" customHeight="1">
      <c r="B7616" s="370">
        <f t="shared" si="2"/>
        <v>0.8811342593</v>
      </c>
      <c r="C7616" s="56">
        <f t="shared" si="3"/>
        <v>76130</v>
      </c>
      <c r="D7616" s="56">
        <v>0.0</v>
      </c>
    </row>
    <row r="7617" ht="15.75" customHeight="1">
      <c r="B7617" s="370">
        <f t="shared" si="2"/>
        <v>0.88125</v>
      </c>
      <c r="C7617" s="56">
        <f t="shared" si="3"/>
        <v>76140</v>
      </c>
      <c r="D7617" s="56">
        <v>0.0</v>
      </c>
    </row>
    <row r="7618" ht="15.75" customHeight="1">
      <c r="B7618" s="370">
        <f t="shared" si="2"/>
        <v>0.8813657407</v>
      </c>
      <c r="C7618" s="56">
        <f t="shared" si="3"/>
        <v>76150</v>
      </c>
      <c r="D7618" s="56">
        <v>0.0</v>
      </c>
    </row>
    <row r="7619" ht="15.75" customHeight="1">
      <c r="B7619" s="370">
        <f t="shared" si="2"/>
        <v>0.8814814815</v>
      </c>
      <c r="C7619" s="56">
        <f t="shared" si="3"/>
        <v>76160</v>
      </c>
      <c r="D7619" s="56">
        <v>0.0</v>
      </c>
    </row>
    <row r="7620" ht="15.75" customHeight="1">
      <c r="B7620" s="370">
        <f t="shared" si="2"/>
        <v>0.8815972222</v>
      </c>
      <c r="C7620" s="56">
        <f t="shared" si="3"/>
        <v>76170</v>
      </c>
      <c r="D7620" s="56">
        <v>0.0</v>
      </c>
    </row>
    <row r="7621" ht="15.75" customHeight="1">
      <c r="B7621" s="370">
        <f t="shared" si="2"/>
        <v>0.881712963</v>
      </c>
      <c r="C7621" s="56">
        <f t="shared" si="3"/>
        <v>76180</v>
      </c>
      <c r="D7621" s="56">
        <v>0.0</v>
      </c>
    </row>
    <row r="7622" ht="15.75" customHeight="1">
      <c r="B7622" s="370">
        <f t="shared" si="2"/>
        <v>0.8818287037</v>
      </c>
      <c r="C7622" s="56">
        <f t="shared" si="3"/>
        <v>76190</v>
      </c>
      <c r="D7622" s="56">
        <v>0.0</v>
      </c>
    </row>
    <row r="7623" ht="15.75" customHeight="1">
      <c r="B7623" s="370">
        <f t="shared" si="2"/>
        <v>0.8819444444</v>
      </c>
      <c r="C7623" s="56">
        <f t="shared" si="3"/>
        <v>76200</v>
      </c>
      <c r="D7623" s="56">
        <v>0.0</v>
      </c>
    </row>
    <row r="7624" ht="15.75" customHeight="1">
      <c r="B7624" s="370">
        <f t="shared" si="2"/>
        <v>0.8820601852</v>
      </c>
      <c r="C7624" s="56">
        <f t="shared" si="3"/>
        <v>76210</v>
      </c>
      <c r="D7624" s="56">
        <v>0.0</v>
      </c>
    </row>
    <row r="7625" ht="15.75" customHeight="1">
      <c r="B7625" s="370">
        <f t="shared" si="2"/>
        <v>0.8821759259</v>
      </c>
      <c r="C7625" s="56">
        <f t="shared" si="3"/>
        <v>76220</v>
      </c>
      <c r="D7625" s="56">
        <v>0.0</v>
      </c>
    </row>
    <row r="7626" ht="15.75" customHeight="1">
      <c r="B7626" s="370">
        <f t="shared" si="2"/>
        <v>0.8822916667</v>
      </c>
      <c r="C7626" s="56">
        <f t="shared" si="3"/>
        <v>76230</v>
      </c>
      <c r="D7626" s="56">
        <v>0.0</v>
      </c>
    </row>
    <row r="7627" ht="15.75" customHeight="1">
      <c r="B7627" s="370">
        <f t="shared" si="2"/>
        <v>0.8824074074</v>
      </c>
      <c r="C7627" s="56">
        <f t="shared" si="3"/>
        <v>76240</v>
      </c>
      <c r="D7627" s="56">
        <v>0.0</v>
      </c>
    </row>
    <row r="7628" ht="15.75" customHeight="1">
      <c r="B7628" s="370">
        <f t="shared" si="2"/>
        <v>0.8825231481</v>
      </c>
      <c r="C7628" s="56">
        <f t="shared" si="3"/>
        <v>76250</v>
      </c>
      <c r="D7628" s="56">
        <v>0.0</v>
      </c>
    </row>
    <row r="7629" ht="15.75" customHeight="1">
      <c r="B7629" s="370">
        <f t="shared" si="2"/>
        <v>0.8826388889</v>
      </c>
      <c r="C7629" s="56">
        <f t="shared" si="3"/>
        <v>76260</v>
      </c>
      <c r="D7629" s="56">
        <v>0.0</v>
      </c>
    </row>
    <row r="7630" ht="15.75" customHeight="1">
      <c r="B7630" s="370">
        <f t="shared" si="2"/>
        <v>0.8827546296</v>
      </c>
      <c r="C7630" s="56">
        <f t="shared" si="3"/>
        <v>76270</v>
      </c>
      <c r="D7630" s="56">
        <v>0.0</v>
      </c>
    </row>
    <row r="7631" ht="15.75" customHeight="1">
      <c r="B7631" s="370">
        <f t="shared" si="2"/>
        <v>0.8828703704</v>
      </c>
      <c r="C7631" s="56">
        <f t="shared" si="3"/>
        <v>76280</v>
      </c>
      <c r="D7631" s="56">
        <v>0.0</v>
      </c>
    </row>
    <row r="7632" ht="15.75" customHeight="1">
      <c r="B7632" s="370">
        <f t="shared" si="2"/>
        <v>0.8829861111</v>
      </c>
      <c r="C7632" s="56">
        <f t="shared" si="3"/>
        <v>76290</v>
      </c>
      <c r="D7632" s="56">
        <v>0.0</v>
      </c>
    </row>
    <row r="7633" ht="15.75" customHeight="1">
      <c r="B7633" s="370">
        <f t="shared" si="2"/>
        <v>0.8831018519</v>
      </c>
      <c r="C7633" s="56">
        <f t="shared" si="3"/>
        <v>76300</v>
      </c>
      <c r="D7633" s="56">
        <v>2.104</v>
      </c>
    </row>
    <row r="7634" ht="15.75" customHeight="1">
      <c r="B7634" s="370">
        <f t="shared" si="2"/>
        <v>0.8832175926</v>
      </c>
      <c r="C7634" s="56">
        <f t="shared" si="3"/>
        <v>76310</v>
      </c>
      <c r="D7634" s="56">
        <v>3.513</v>
      </c>
    </row>
    <row r="7635" ht="15.75" customHeight="1">
      <c r="B7635" s="370">
        <f t="shared" si="2"/>
        <v>0.8833333333</v>
      </c>
      <c r="C7635" s="56">
        <f t="shared" si="3"/>
        <v>76320</v>
      </c>
      <c r="D7635" s="56">
        <v>3.492</v>
      </c>
    </row>
    <row r="7636" ht="15.75" customHeight="1">
      <c r="B7636" s="370">
        <f t="shared" si="2"/>
        <v>0.8834490741</v>
      </c>
      <c r="C7636" s="56">
        <f t="shared" si="3"/>
        <v>76330</v>
      </c>
      <c r="D7636" s="56">
        <v>3.041</v>
      </c>
    </row>
    <row r="7637" ht="15.75" customHeight="1">
      <c r="B7637" s="370">
        <f t="shared" si="2"/>
        <v>0.8835648148</v>
      </c>
      <c r="C7637" s="56">
        <f t="shared" si="3"/>
        <v>76340</v>
      </c>
      <c r="D7637" s="56">
        <v>2.197</v>
      </c>
    </row>
    <row r="7638" ht="15.75" customHeight="1">
      <c r="B7638" s="370">
        <f t="shared" si="2"/>
        <v>0.8836805556</v>
      </c>
      <c r="C7638" s="56">
        <f t="shared" si="3"/>
        <v>76350</v>
      </c>
      <c r="D7638" s="56">
        <v>2.241</v>
      </c>
    </row>
    <row r="7639" ht="15.75" customHeight="1">
      <c r="B7639" s="370">
        <f t="shared" si="2"/>
        <v>0.8837962963</v>
      </c>
      <c r="C7639" s="56">
        <f t="shared" si="3"/>
        <v>76360</v>
      </c>
      <c r="D7639" s="56">
        <v>2.508</v>
      </c>
    </row>
    <row r="7640" ht="15.75" customHeight="1">
      <c r="B7640" s="370">
        <f t="shared" si="2"/>
        <v>0.883912037</v>
      </c>
      <c r="C7640" s="56">
        <f t="shared" si="3"/>
        <v>76370</v>
      </c>
      <c r="D7640" s="56">
        <v>2.799</v>
      </c>
    </row>
    <row r="7641" ht="15.75" customHeight="1">
      <c r="B7641" s="370">
        <f t="shared" si="2"/>
        <v>0.8840277778</v>
      </c>
      <c r="C7641" s="56">
        <f t="shared" si="3"/>
        <v>76380</v>
      </c>
      <c r="D7641" s="56">
        <v>3.026</v>
      </c>
    </row>
    <row r="7642" ht="15.75" customHeight="1">
      <c r="B7642" s="370">
        <f t="shared" si="2"/>
        <v>0.8841435185</v>
      </c>
      <c r="C7642" s="56">
        <f t="shared" si="3"/>
        <v>76390</v>
      </c>
      <c r="D7642" s="56">
        <v>3.182</v>
      </c>
    </row>
    <row r="7643" ht="15.75" customHeight="1">
      <c r="B7643" s="370">
        <f t="shared" si="2"/>
        <v>0.8842592593</v>
      </c>
      <c r="C7643" s="56">
        <f t="shared" si="3"/>
        <v>76400</v>
      </c>
      <c r="D7643" s="56">
        <v>2.99</v>
      </c>
    </row>
    <row r="7644" ht="15.75" customHeight="1">
      <c r="B7644" s="370">
        <f t="shared" si="2"/>
        <v>0.884375</v>
      </c>
      <c r="C7644" s="56">
        <f t="shared" si="3"/>
        <v>76410</v>
      </c>
      <c r="D7644" s="56">
        <v>2.982</v>
      </c>
    </row>
    <row r="7645" ht="15.75" customHeight="1">
      <c r="B7645" s="370">
        <f t="shared" si="2"/>
        <v>0.8844907407</v>
      </c>
      <c r="C7645" s="56">
        <f t="shared" si="3"/>
        <v>76420</v>
      </c>
      <c r="D7645" s="56">
        <v>2.791</v>
      </c>
    </row>
    <row r="7646" ht="15.75" customHeight="1">
      <c r="B7646" s="370">
        <f t="shared" si="2"/>
        <v>0.8846064815</v>
      </c>
      <c r="C7646" s="56">
        <f t="shared" si="3"/>
        <v>76430</v>
      </c>
      <c r="D7646" s="56">
        <v>2.948</v>
      </c>
    </row>
    <row r="7647" ht="15.75" customHeight="1">
      <c r="B7647" s="370">
        <f t="shared" si="2"/>
        <v>0.8847222222</v>
      </c>
      <c r="C7647" s="56">
        <f t="shared" si="3"/>
        <v>76440</v>
      </c>
      <c r="D7647" s="56">
        <v>2.841</v>
      </c>
    </row>
    <row r="7648" ht="15.75" customHeight="1">
      <c r="B7648" s="370">
        <f t="shared" si="2"/>
        <v>0.884837963</v>
      </c>
      <c r="C7648" s="56">
        <f t="shared" si="3"/>
        <v>76450</v>
      </c>
      <c r="D7648" s="56">
        <v>2.736</v>
      </c>
    </row>
    <row r="7649" ht="15.75" customHeight="1">
      <c r="B7649" s="370">
        <f t="shared" si="2"/>
        <v>0.8849537037</v>
      </c>
      <c r="C7649" s="56">
        <f t="shared" si="3"/>
        <v>76460</v>
      </c>
      <c r="D7649" s="56">
        <v>2.574</v>
      </c>
    </row>
    <row r="7650" ht="15.75" customHeight="1">
      <c r="B7650" s="370">
        <f t="shared" si="2"/>
        <v>0.8850694444</v>
      </c>
      <c r="C7650" s="56">
        <f t="shared" si="3"/>
        <v>76470</v>
      </c>
      <c r="D7650" s="56">
        <v>2.387</v>
      </c>
    </row>
    <row r="7651" ht="15.75" customHeight="1">
      <c r="B7651" s="370">
        <f t="shared" si="2"/>
        <v>0.8851851852</v>
      </c>
      <c r="C7651" s="56">
        <f t="shared" si="3"/>
        <v>76480</v>
      </c>
      <c r="D7651" s="56">
        <v>2.39</v>
      </c>
    </row>
    <row r="7652" ht="15.75" customHeight="1">
      <c r="B7652" s="370">
        <f t="shared" si="2"/>
        <v>0.8853009259</v>
      </c>
      <c r="C7652" s="56">
        <f t="shared" si="3"/>
        <v>76490</v>
      </c>
      <c r="D7652" s="56">
        <v>3.246</v>
      </c>
    </row>
    <row r="7653" ht="15.75" customHeight="1">
      <c r="B7653" s="370">
        <f t="shared" si="2"/>
        <v>0.8854166667</v>
      </c>
      <c r="C7653" s="56">
        <f t="shared" si="3"/>
        <v>76500</v>
      </c>
      <c r="D7653" s="56">
        <v>3.476</v>
      </c>
    </row>
    <row r="7654" ht="15.75" customHeight="1">
      <c r="B7654" s="370">
        <f t="shared" si="2"/>
        <v>0.8855324074</v>
      </c>
      <c r="C7654" s="56">
        <f t="shared" si="3"/>
        <v>76510</v>
      </c>
      <c r="D7654" s="56">
        <v>3.495</v>
      </c>
    </row>
    <row r="7655" ht="15.75" customHeight="1">
      <c r="B7655" s="370">
        <f t="shared" si="2"/>
        <v>0.8856481481</v>
      </c>
      <c r="C7655" s="56">
        <f t="shared" si="3"/>
        <v>76520</v>
      </c>
      <c r="D7655" s="56">
        <v>3.504</v>
      </c>
    </row>
    <row r="7656" ht="15.75" customHeight="1">
      <c r="B7656" s="370">
        <f t="shared" si="2"/>
        <v>0.8857638889</v>
      </c>
      <c r="C7656" s="56">
        <f t="shared" si="3"/>
        <v>76530</v>
      </c>
      <c r="D7656" s="56">
        <v>3.139</v>
      </c>
    </row>
    <row r="7657" ht="15.75" customHeight="1">
      <c r="B7657" s="370">
        <f t="shared" si="2"/>
        <v>0.8858796296</v>
      </c>
      <c r="C7657" s="56">
        <f t="shared" si="3"/>
        <v>76540</v>
      </c>
      <c r="D7657" s="56">
        <v>2.324</v>
      </c>
    </row>
    <row r="7658" ht="15.75" customHeight="1">
      <c r="B7658" s="370">
        <f t="shared" si="2"/>
        <v>0.8859953704</v>
      </c>
      <c r="C7658" s="56">
        <f t="shared" si="3"/>
        <v>76550</v>
      </c>
      <c r="D7658" s="56">
        <v>2.065</v>
      </c>
    </row>
    <row r="7659" ht="15.75" customHeight="1">
      <c r="B7659" s="370">
        <f t="shared" si="2"/>
        <v>0.8861111111</v>
      </c>
      <c r="C7659" s="56">
        <f t="shared" si="3"/>
        <v>76560</v>
      </c>
      <c r="D7659" s="56">
        <v>2.344</v>
      </c>
    </row>
    <row r="7660" ht="15.75" customHeight="1">
      <c r="B7660" s="370">
        <f t="shared" si="2"/>
        <v>0.8862268519</v>
      </c>
      <c r="C7660" s="56">
        <f t="shared" si="3"/>
        <v>76570</v>
      </c>
      <c r="D7660" s="56">
        <v>2.729</v>
      </c>
    </row>
    <row r="7661" ht="15.75" customHeight="1">
      <c r="B7661" s="370">
        <f t="shared" si="2"/>
        <v>0.8863425926</v>
      </c>
      <c r="C7661" s="56">
        <f t="shared" si="3"/>
        <v>76580</v>
      </c>
      <c r="D7661" s="56">
        <v>3.053</v>
      </c>
    </row>
    <row r="7662" ht="15.75" customHeight="1">
      <c r="B7662" s="370">
        <f t="shared" si="2"/>
        <v>0.8864583333</v>
      </c>
      <c r="C7662" s="56">
        <f t="shared" si="3"/>
        <v>76590</v>
      </c>
      <c r="D7662" s="56">
        <v>3.289</v>
      </c>
    </row>
    <row r="7663" ht="15.75" customHeight="1">
      <c r="B7663" s="370">
        <f t="shared" si="2"/>
        <v>0.8865740741</v>
      </c>
      <c r="C7663" s="56">
        <f t="shared" si="3"/>
        <v>76600</v>
      </c>
      <c r="D7663" s="56">
        <v>3.206</v>
      </c>
    </row>
    <row r="7664" ht="15.75" customHeight="1">
      <c r="B7664" s="370">
        <f t="shared" si="2"/>
        <v>0.8866898148</v>
      </c>
      <c r="C7664" s="56">
        <f t="shared" si="3"/>
        <v>76610</v>
      </c>
      <c r="D7664" s="56">
        <v>3.125</v>
      </c>
    </row>
    <row r="7665" ht="15.75" customHeight="1">
      <c r="B7665" s="370">
        <f t="shared" si="2"/>
        <v>0.8868055556</v>
      </c>
      <c r="C7665" s="56">
        <f t="shared" si="3"/>
        <v>76620</v>
      </c>
      <c r="D7665" s="56">
        <v>2.869</v>
      </c>
    </row>
    <row r="7666" ht="15.75" customHeight="1">
      <c r="B7666" s="370">
        <f t="shared" si="2"/>
        <v>0.8869212963</v>
      </c>
      <c r="C7666" s="56">
        <f t="shared" si="3"/>
        <v>76630</v>
      </c>
      <c r="D7666" s="56">
        <v>2.783</v>
      </c>
    </row>
    <row r="7667" ht="15.75" customHeight="1">
      <c r="B7667" s="370">
        <f t="shared" si="2"/>
        <v>0.887037037</v>
      </c>
      <c r="C7667" s="56">
        <f t="shared" si="3"/>
        <v>76640</v>
      </c>
      <c r="D7667" s="56">
        <v>2.778</v>
      </c>
    </row>
    <row r="7668" ht="15.75" customHeight="1">
      <c r="B7668" s="370">
        <f t="shared" si="2"/>
        <v>0.8871527778</v>
      </c>
      <c r="C7668" s="56">
        <f t="shared" si="3"/>
        <v>76650</v>
      </c>
      <c r="D7668" s="56">
        <v>2.757</v>
      </c>
    </row>
    <row r="7669" ht="15.75" customHeight="1">
      <c r="B7669" s="370">
        <f t="shared" si="2"/>
        <v>0.8872685185</v>
      </c>
      <c r="C7669" s="56">
        <f t="shared" si="3"/>
        <v>76660</v>
      </c>
      <c r="D7669" s="56">
        <v>2.658</v>
      </c>
    </row>
    <row r="7670" ht="15.75" customHeight="1">
      <c r="B7670" s="370">
        <f t="shared" si="2"/>
        <v>0.8873842593</v>
      </c>
      <c r="C7670" s="56">
        <f t="shared" si="3"/>
        <v>76670</v>
      </c>
      <c r="D7670" s="56">
        <v>2.542</v>
      </c>
    </row>
    <row r="7671" ht="15.75" customHeight="1">
      <c r="B7671" s="370">
        <f t="shared" si="2"/>
        <v>0.8875</v>
      </c>
      <c r="C7671" s="56">
        <f t="shared" si="3"/>
        <v>76680</v>
      </c>
      <c r="D7671" s="56">
        <v>2.226</v>
      </c>
    </row>
    <row r="7672" ht="15.75" customHeight="1">
      <c r="B7672" s="370">
        <f t="shared" si="2"/>
        <v>0.8876157407</v>
      </c>
      <c r="C7672" s="56">
        <f t="shared" si="3"/>
        <v>76690</v>
      </c>
      <c r="D7672" s="56">
        <v>3.112</v>
      </c>
    </row>
    <row r="7673" ht="15.75" customHeight="1">
      <c r="B7673" s="370">
        <f t="shared" si="2"/>
        <v>0.8877314815</v>
      </c>
      <c r="C7673" s="56">
        <f t="shared" si="3"/>
        <v>76700</v>
      </c>
      <c r="D7673" s="56">
        <v>3.411</v>
      </c>
    </row>
    <row r="7674" ht="15.75" customHeight="1">
      <c r="B7674" s="370">
        <f t="shared" si="2"/>
        <v>0.8878472222</v>
      </c>
      <c r="C7674" s="56">
        <f t="shared" si="3"/>
        <v>76710</v>
      </c>
      <c r="D7674" s="56">
        <v>3.442</v>
      </c>
    </row>
    <row r="7675" ht="15.75" customHeight="1">
      <c r="B7675" s="370">
        <f t="shared" si="2"/>
        <v>0.887962963</v>
      </c>
      <c r="C7675" s="56">
        <f t="shared" si="3"/>
        <v>76720</v>
      </c>
      <c r="D7675" s="56">
        <v>3.488</v>
      </c>
    </row>
    <row r="7676" ht="15.75" customHeight="1">
      <c r="B7676" s="370">
        <f t="shared" si="2"/>
        <v>0.8880787037</v>
      </c>
      <c r="C7676" s="56">
        <f t="shared" si="3"/>
        <v>76730</v>
      </c>
      <c r="D7676" s="56">
        <v>3.209</v>
      </c>
    </row>
    <row r="7677" ht="15.75" customHeight="1">
      <c r="B7677" s="370">
        <f t="shared" si="2"/>
        <v>0.8881944444</v>
      </c>
      <c r="C7677" s="56">
        <f t="shared" si="3"/>
        <v>76740</v>
      </c>
      <c r="D7677" s="56">
        <v>2.556</v>
      </c>
    </row>
    <row r="7678" ht="15.75" customHeight="1">
      <c r="B7678" s="370">
        <f t="shared" si="2"/>
        <v>0.8883101852</v>
      </c>
      <c r="C7678" s="56">
        <f t="shared" si="3"/>
        <v>76750</v>
      </c>
      <c r="D7678" s="56">
        <v>1.992</v>
      </c>
    </row>
    <row r="7679" ht="15.75" customHeight="1">
      <c r="B7679" s="370">
        <f t="shared" si="2"/>
        <v>0.8884259259</v>
      </c>
      <c r="C7679" s="56">
        <f t="shared" si="3"/>
        <v>76760</v>
      </c>
      <c r="D7679" s="56">
        <v>2.202</v>
      </c>
    </row>
    <row r="7680" ht="15.75" customHeight="1">
      <c r="B7680" s="370">
        <f t="shared" si="2"/>
        <v>0.8885416667</v>
      </c>
      <c r="C7680" s="56">
        <f t="shared" si="3"/>
        <v>76770</v>
      </c>
      <c r="D7680" s="56">
        <v>2.627</v>
      </c>
    </row>
    <row r="7681" ht="15.75" customHeight="1">
      <c r="B7681" s="370">
        <f t="shared" si="2"/>
        <v>0.8886574074</v>
      </c>
      <c r="C7681" s="56">
        <f t="shared" si="3"/>
        <v>76780</v>
      </c>
      <c r="D7681" s="56">
        <v>3.046</v>
      </c>
    </row>
    <row r="7682" ht="15.75" customHeight="1">
      <c r="B7682" s="370">
        <f t="shared" si="2"/>
        <v>0.8887731481</v>
      </c>
      <c r="C7682" s="56">
        <f t="shared" si="3"/>
        <v>76790</v>
      </c>
      <c r="D7682" s="56">
        <v>3.383</v>
      </c>
    </row>
    <row r="7683" ht="15.75" customHeight="1">
      <c r="B7683" s="370">
        <f t="shared" si="2"/>
        <v>0.8888888889</v>
      </c>
      <c r="C7683" s="56">
        <f t="shared" si="3"/>
        <v>76800</v>
      </c>
      <c r="D7683" s="56">
        <v>3.328</v>
      </c>
    </row>
    <row r="7684" ht="15.75" customHeight="1">
      <c r="B7684" s="370">
        <f t="shared" si="2"/>
        <v>0.8890046296</v>
      </c>
      <c r="C7684" s="56">
        <f t="shared" si="3"/>
        <v>76810</v>
      </c>
      <c r="D7684" s="56">
        <v>3.259</v>
      </c>
    </row>
    <row r="7685" ht="15.75" customHeight="1">
      <c r="B7685" s="370">
        <f t="shared" si="2"/>
        <v>0.8891203704</v>
      </c>
      <c r="C7685" s="56">
        <f t="shared" si="3"/>
        <v>76820</v>
      </c>
      <c r="D7685" s="56">
        <v>2.987</v>
      </c>
    </row>
    <row r="7686" ht="15.75" customHeight="1">
      <c r="B7686" s="370">
        <f t="shared" si="2"/>
        <v>0.8892361111</v>
      </c>
      <c r="C7686" s="56">
        <f t="shared" si="3"/>
        <v>76830</v>
      </c>
      <c r="D7686" s="56">
        <v>2.608</v>
      </c>
    </row>
    <row r="7687" ht="15.75" customHeight="1">
      <c r="B7687" s="370">
        <f t="shared" si="2"/>
        <v>0.8893518519</v>
      </c>
      <c r="C7687" s="56">
        <f t="shared" si="3"/>
        <v>76840</v>
      </c>
      <c r="D7687" s="56">
        <v>2.677</v>
      </c>
    </row>
    <row r="7688" ht="15.75" customHeight="1">
      <c r="B7688" s="370">
        <f t="shared" si="2"/>
        <v>0.8894675926</v>
      </c>
      <c r="C7688" s="56">
        <f t="shared" si="3"/>
        <v>76850</v>
      </c>
      <c r="D7688" s="56">
        <v>2.741</v>
      </c>
    </row>
    <row r="7689" ht="15.75" customHeight="1">
      <c r="B7689" s="370">
        <f t="shared" si="2"/>
        <v>0.8895833333</v>
      </c>
      <c r="C7689" s="56">
        <f t="shared" si="3"/>
        <v>76860</v>
      </c>
      <c r="D7689" s="56">
        <v>2.707</v>
      </c>
    </row>
    <row r="7690" ht="15.75" customHeight="1">
      <c r="B7690" s="370">
        <f t="shared" si="2"/>
        <v>0.8896990741</v>
      </c>
      <c r="C7690" s="56">
        <f t="shared" si="3"/>
        <v>76870</v>
      </c>
      <c r="D7690" s="56">
        <v>2.653</v>
      </c>
    </row>
    <row r="7691" ht="15.75" customHeight="1">
      <c r="B7691" s="370">
        <f t="shared" si="2"/>
        <v>0.8898148148</v>
      </c>
      <c r="C7691" s="56">
        <f t="shared" si="3"/>
        <v>76880</v>
      </c>
      <c r="D7691" s="56">
        <v>2.478</v>
      </c>
    </row>
    <row r="7692" ht="15.75" customHeight="1">
      <c r="B7692" s="370">
        <f t="shared" si="2"/>
        <v>0.8899305556</v>
      </c>
      <c r="C7692" s="56">
        <f t="shared" si="3"/>
        <v>76890</v>
      </c>
      <c r="D7692" s="56">
        <v>2.897</v>
      </c>
    </row>
    <row r="7693" ht="15.75" customHeight="1">
      <c r="B7693" s="370">
        <f t="shared" si="2"/>
        <v>0.8900462963</v>
      </c>
      <c r="C7693" s="56">
        <f t="shared" si="3"/>
        <v>76900</v>
      </c>
      <c r="D7693" s="56">
        <v>3.311</v>
      </c>
    </row>
    <row r="7694" ht="15.75" customHeight="1">
      <c r="B7694" s="370">
        <f t="shared" si="2"/>
        <v>0.890162037</v>
      </c>
      <c r="C7694" s="56">
        <f t="shared" si="3"/>
        <v>76910</v>
      </c>
      <c r="D7694" s="56">
        <v>3.37</v>
      </c>
    </row>
    <row r="7695" ht="15.75" customHeight="1">
      <c r="B7695" s="370">
        <f t="shared" si="2"/>
        <v>0.8902777778</v>
      </c>
      <c r="C7695" s="56">
        <f t="shared" si="3"/>
        <v>76920</v>
      </c>
      <c r="D7695" s="56">
        <v>3.44</v>
      </c>
    </row>
    <row r="7696" ht="15.75" customHeight="1">
      <c r="B7696" s="370">
        <f t="shared" si="2"/>
        <v>0.8903935185</v>
      </c>
      <c r="C7696" s="56">
        <f t="shared" si="3"/>
        <v>76930</v>
      </c>
      <c r="D7696" s="56">
        <v>3.241</v>
      </c>
    </row>
    <row r="7697" ht="15.75" customHeight="1">
      <c r="B7697" s="370">
        <f t="shared" si="2"/>
        <v>0.8905092593</v>
      </c>
      <c r="C7697" s="56">
        <f t="shared" si="3"/>
        <v>76940</v>
      </c>
      <c r="D7697" s="56">
        <v>2.688</v>
      </c>
    </row>
    <row r="7698" ht="15.75" customHeight="1">
      <c r="B7698" s="370">
        <f t="shared" si="2"/>
        <v>0.890625</v>
      </c>
      <c r="C7698" s="56">
        <f t="shared" si="3"/>
        <v>76950</v>
      </c>
      <c r="D7698" s="56">
        <v>2.228</v>
      </c>
    </row>
    <row r="7699" ht="15.75" customHeight="1">
      <c r="B7699" s="370">
        <f t="shared" si="2"/>
        <v>0.8907407407</v>
      </c>
      <c r="C7699" s="56">
        <f t="shared" si="3"/>
        <v>76960</v>
      </c>
      <c r="D7699" s="56">
        <v>1.967</v>
      </c>
    </row>
    <row r="7700" ht="15.75" customHeight="1">
      <c r="B7700" s="370">
        <f t="shared" si="2"/>
        <v>0.8908564815</v>
      </c>
      <c r="C7700" s="56">
        <f t="shared" si="3"/>
        <v>76970</v>
      </c>
      <c r="D7700" s="56">
        <v>2.489</v>
      </c>
    </row>
    <row r="7701" ht="15.75" customHeight="1">
      <c r="B7701" s="370">
        <f t="shared" si="2"/>
        <v>0.8909722222</v>
      </c>
      <c r="C7701" s="56">
        <f t="shared" si="3"/>
        <v>76980</v>
      </c>
      <c r="D7701" s="56">
        <v>3.002</v>
      </c>
    </row>
    <row r="7702" ht="15.75" customHeight="1">
      <c r="B7702" s="370">
        <f t="shared" si="2"/>
        <v>0.891087963</v>
      </c>
      <c r="C7702" s="56">
        <f t="shared" si="3"/>
        <v>76990</v>
      </c>
      <c r="D7702" s="56">
        <v>3.43</v>
      </c>
    </row>
    <row r="7703" ht="15.75" customHeight="1">
      <c r="B7703" s="370">
        <f t="shared" si="2"/>
        <v>0.8912037037</v>
      </c>
      <c r="C7703" s="56">
        <f t="shared" si="3"/>
        <v>77000</v>
      </c>
      <c r="D7703" s="56">
        <v>3.412</v>
      </c>
    </row>
    <row r="7704" ht="15.75" customHeight="1">
      <c r="B7704" s="370">
        <f t="shared" si="2"/>
        <v>0.8913194444</v>
      </c>
      <c r="C7704" s="56">
        <f t="shared" si="3"/>
        <v>77010</v>
      </c>
      <c r="D7704" s="56">
        <v>3.354</v>
      </c>
    </row>
    <row r="7705" ht="15.75" customHeight="1">
      <c r="B7705" s="370">
        <f t="shared" si="2"/>
        <v>0.8914351852</v>
      </c>
      <c r="C7705" s="56">
        <f t="shared" si="3"/>
        <v>77020</v>
      </c>
      <c r="D7705" s="56">
        <v>3.196</v>
      </c>
    </row>
    <row r="7706" ht="15.75" customHeight="1">
      <c r="B7706" s="370">
        <f t="shared" si="2"/>
        <v>0.8915509259</v>
      </c>
      <c r="C7706" s="56">
        <f t="shared" si="3"/>
        <v>77030</v>
      </c>
      <c r="D7706" s="56">
        <v>2.427</v>
      </c>
    </row>
    <row r="7707" ht="15.75" customHeight="1">
      <c r="B7707" s="370">
        <f t="shared" si="2"/>
        <v>0.8916666667</v>
      </c>
      <c r="C7707" s="56">
        <f t="shared" si="3"/>
        <v>77040</v>
      </c>
      <c r="D7707" s="56">
        <v>2.543</v>
      </c>
    </row>
    <row r="7708" ht="15.75" customHeight="1">
      <c r="B7708" s="370">
        <f t="shared" si="2"/>
        <v>0.8917824074</v>
      </c>
      <c r="C7708" s="56">
        <f t="shared" si="3"/>
        <v>77050</v>
      </c>
      <c r="D7708" s="56">
        <v>2.693</v>
      </c>
    </row>
    <row r="7709" ht="15.75" customHeight="1">
      <c r="B7709" s="370">
        <f t="shared" si="2"/>
        <v>0.8918981481</v>
      </c>
      <c r="C7709" s="56">
        <f t="shared" si="3"/>
        <v>77060</v>
      </c>
      <c r="D7709" s="56">
        <v>2.723</v>
      </c>
    </row>
    <row r="7710" ht="15.75" customHeight="1">
      <c r="B7710" s="370">
        <f t="shared" si="2"/>
        <v>0.8920138889</v>
      </c>
      <c r="C7710" s="56">
        <f t="shared" si="3"/>
        <v>77070</v>
      </c>
      <c r="D7710" s="56">
        <v>2.76</v>
      </c>
    </row>
    <row r="7711" ht="15.75" customHeight="1">
      <c r="B7711" s="370">
        <f t="shared" si="2"/>
        <v>0.8921296296</v>
      </c>
      <c r="C7711" s="56">
        <f t="shared" si="3"/>
        <v>77080</v>
      </c>
      <c r="D7711" s="56">
        <v>2.658</v>
      </c>
    </row>
    <row r="7712" ht="15.75" customHeight="1">
      <c r="B7712" s="370">
        <f t="shared" si="2"/>
        <v>0.8922453704</v>
      </c>
      <c r="C7712" s="56">
        <f t="shared" si="3"/>
        <v>77090</v>
      </c>
      <c r="D7712" s="56">
        <v>2.763</v>
      </c>
    </row>
    <row r="7713" ht="15.75" customHeight="1">
      <c r="B7713" s="370">
        <f t="shared" si="2"/>
        <v>0.8923611111</v>
      </c>
      <c r="C7713" s="56">
        <f t="shared" si="3"/>
        <v>77100</v>
      </c>
      <c r="D7713" s="56">
        <v>3.184</v>
      </c>
    </row>
    <row r="7714" ht="15.75" customHeight="1">
      <c r="B7714" s="370">
        <f t="shared" si="2"/>
        <v>0.8924768519</v>
      </c>
      <c r="C7714" s="56">
        <f t="shared" si="3"/>
        <v>77110</v>
      </c>
      <c r="D7714" s="56">
        <v>3.264</v>
      </c>
    </row>
    <row r="7715" ht="15.75" customHeight="1">
      <c r="B7715" s="370">
        <f t="shared" si="2"/>
        <v>0.8925925926</v>
      </c>
      <c r="C7715" s="56">
        <f t="shared" si="3"/>
        <v>77120</v>
      </c>
      <c r="D7715" s="56">
        <v>3.362</v>
      </c>
    </row>
    <row r="7716" ht="15.75" customHeight="1">
      <c r="B7716" s="370">
        <f t="shared" si="2"/>
        <v>0.8927083333</v>
      </c>
      <c r="C7716" s="56">
        <f t="shared" si="3"/>
        <v>77130</v>
      </c>
      <c r="D7716" s="56">
        <v>3.235</v>
      </c>
    </row>
    <row r="7717" ht="15.75" customHeight="1">
      <c r="B7717" s="370">
        <f t="shared" si="2"/>
        <v>0.8928240741</v>
      </c>
      <c r="C7717" s="56">
        <f t="shared" si="3"/>
        <v>77140</v>
      </c>
      <c r="D7717" s="56">
        <v>2.785</v>
      </c>
    </row>
    <row r="7718" ht="15.75" customHeight="1">
      <c r="B7718" s="370">
        <f t="shared" si="2"/>
        <v>0.8929398148</v>
      </c>
      <c r="C7718" s="56">
        <f t="shared" si="3"/>
        <v>77150</v>
      </c>
      <c r="D7718" s="56">
        <v>2.354</v>
      </c>
    </row>
    <row r="7719" ht="15.75" customHeight="1">
      <c r="B7719" s="370">
        <f t="shared" si="2"/>
        <v>0.8930555556</v>
      </c>
      <c r="C7719" s="56">
        <f t="shared" si="3"/>
        <v>77160</v>
      </c>
      <c r="D7719" s="56">
        <v>2.037</v>
      </c>
    </row>
    <row r="7720" ht="15.75" customHeight="1">
      <c r="B7720" s="370">
        <f t="shared" si="2"/>
        <v>0.8931712963</v>
      </c>
      <c r="C7720" s="56">
        <f t="shared" si="3"/>
        <v>77170</v>
      </c>
      <c r="D7720" s="56">
        <v>2.26</v>
      </c>
    </row>
    <row r="7721" ht="15.75" customHeight="1">
      <c r="B7721" s="370">
        <f t="shared" si="2"/>
        <v>0.893287037</v>
      </c>
      <c r="C7721" s="56">
        <f t="shared" si="3"/>
        <v>77180</v>
      </c>
      <c r="D7721" s="56">
        <v>2.921</v>
      </c>
    </row>
    <row r="7722" ht="15.75" customHeight="1">
      <c r="B7722" s="370">
        <f t="shared" si="2"/>
        <v>0.8934027778</v>
      </c>
      <c r="C7722" s="56">
        <f t="shared" si="3"/>
        <v>77190</v>
      </c>
      <c r="D7722" s="56">
        <v>3.444</v>
      </c>
    </row>
    <row r="7723" ht="15.75" customHeight="1">
      <c r="B7723" s="370">
        <f t="shared" si="2"/>
        <v>0.8935185185</v>
      </c>
      <c r="C7723" s="56">
        <f t="shared" si="3"/>
        <v>77200</v>
      </c>
      <c r="D7723" s="56">
        <v>3.484</v>
      </c>
    </row>
    <row r="7724" ht="15.75" customHeight="1">
      <c r="B7724" s="370">
        <f t="shared" si="2"/>
        <v>0.8936342593</v>
      </c>
      <c r="C7724" s="56">
        <f t="shared" si="3"/>
        <v>77210</v>
      </c>
      <c r="D7724" s="56">
        <v>3.442</v>
      </c>
    </row>
    <row r="7725" ht="15.75" customHeight="1">
      <c r="B7725" s="370">
        <f t="shared" si="2"/>
        <v>0.89375</v>
      </c>
      <c r="C7725" s="56">
        <f t="shared" si="3"/>
        <v>77220</v>
      </c>
      <c r="D7725" s="56">
        <v>3.323</v>
      </c>
    </row>
    <row r="7726" ht="15.75" customHeight="1">
      <c r="B7726" s="370">
        <f t="shared" si="2"/>
        <v>0.8938657407</v>
      </c>
      <c r="C7726" s="56">
        <f t="shared" si="3"/>
        <v>77230</v>
      </c>
      <c r="D7726" s="56">
        <v>2.65</v>
      </c>
    </row>
    <row r="7727" ht="15.75" customHeight="1">
      <c r="B7727" s="370">
        <f t="shared" si="2"/>
        <v>0.8939814815</v>
      </c>
      <c r="C7727" s="56">
        <f t="shared" si="3"/>
        <v>77240</v>
      </c>
      <c r="D7727" s="56">
        <v>2.356</v>
      </c>
    </row>
    <row r="7728" ht="15.75" customHeight="1">
      <c r="B7728" s="370">
        <f t="shared" si="2"/>
        <v>0.8940972222</v>
      </c>
      <c r="C7728" s="56">
        <f t="shared" si="3"/>
        <v>77250</v>
      </c>
      <c r="D7728" s="56">
        <v>2.607</v>
      </c>
    </row>
    <row r="7729" ht="15.75" customHeight="1">
      <c r="B7729" s="370">
        <f t="shared" si="2"/>
        <v>0.894212963</v>
      </c>
      <c r="C7729" s="56">
        <f t="shared" si="3"/>
        <v>77260</v>
      </c>
      <c r="D7729" s="56">
        <v>2.704</v>
      </c>
    </row>
    <row r="7730" ht="15.75" customHeight="1">
      <c r="B7730" s="370">
        <f t="shared" si="2"/>
        <v>0.8943287037</v>
      </c>
      <c r="C7730" s="56">
        <f t="shared" si="3"/>
        <v>77270</v>
      </c>
      <c r="D7730" s="56">
        <v>2.814</v>
      </c>
    </row>
    <row r="7731" ht="15.75" customHeight="1">
      <c r="B7731" s="370">
        <f t="shared" si="2"/>
        <v>0.8944444444</v>
      </c>
      <c r="C7731" s="56">
        <f t="shared" si="3"/>
        <v>77280</v>
      </c>
      <c r="D7731" s="56">
        <v>2.804</v>
      </c>
    </row>
    <row r="7732" ht="15.75" customHeight="1">
      <c r="B7732" s="370">
        <f t="shared" si="2"/>
        <v>0.8945601852</v>
      </c>
      <c r="C7732" s="56">
        <f t="shared" si="3"/>
        <v>77290</v>
      </c>
      <c r="D7732" s="56">
        <v>2.698</v>
      </c>
    </row>
    <row r="7733" ht="15.75" customHeight="1">
      <c r="B7733" s="370">
        <f t="shared" si="2"/>
        <v>0.8946759259</v>
      </c>
      <c r="C7733" s="56">
        <f t="shared" si="3"/>
        <v>77300</v>
      </c>
      <c r="D7733" s="56">
        <v>3.044</v>
      </c>
    </row>
    <row r="7734" ht="15.75" customHeight="1">
      <c r="B7734" s="370">
        <f t="shared" si="2"/>
        <v>0.8947916667</v>
      </c>
      <c r="C7734" s="56">
        <f t="shared" si="3"/>
        <v>77310</v>
      </c>
      <c r="D7734" s="56">
        <v>3.086</v>
      </c>
    </row>
    <row r="7735" ht="15.75" customHeight="1">
      <c r="B7735" s="370">
        <f t="shared" si="2"/>
        <v>0.8949074074</v>
      </c>
      <c r="C7735" s="56">
        <f t="shared" si="3"/>
        <v>77320</v>
      </c>
      <c r="D7735" s="56">
        <v>3.244</v>
      </c>
    </row>
    <row r="7736" ht="15.75" customHeight="1">
      <c r="B7736" s="370">
        <f t="shared" si="2"/>
        <v>0.8950231481</v>
      </c>
      <c r="C7736" s="56">
        <f t="shared" si="3"/>
        <v>77330</v>
      </c>
      <c r="D7736" s="56">
        <v>3.197</v>
      </c>
    </row>
    <row r="7737" ht="15.75" customHeight="1">
      <c r="B7737" s="370">
        <f t="shared" si="2"/>
        <v>0.8951388889</v>
      </c>
      <c r="C7737" s="56">
        <f t="shared" si="3"/>
        <v>77340</v>
      </c>
      <c r="D7737" s="56">
        <v>2.845</v>
      </c>
    </row>
    <row r="7738" ht="15.75" customHeight="1">
      <c r="B7738" s="370">
        <f t="shared" si="2"/>
        <v>0.8952546296</v>
      </c>
      <c r="C7738" s="56">
        <f t="shared" si="3"/>
        <v>77350</v>
      </c>
      <c r="D7738" s="56">
        <v>2.538</v>
      </c>
    </row>
    <row r="7739" ht="15.75" customHeight="1">
      <c r="B7739" s="370">
        <f t="shared" si="2"/>
        <v>0.8953703704</v>
      </c>
      <c r="C7739" s="56">
        <f t="shared" si="3"/>
        <v>77360</v>
      </c>
      <c r="D7739" s="56">
        <v>2.221</v>
      </c>
    </row>
    <row r="7740" ht="15.75" customHeight="1">
      <c r="B7740" s="370">
        <f t="shared" si="2"/>
        <v>0.8954861111</v>
      </c>
      <c r="C7740" s="56">
        <f t="shared" si="3"/>
        <v>77370</v>
      </c>
      <c r="D7740" s="56">
        <v>2.117</v>
      </c>
    </row>
    <row r="7741" ht="15.75" customHeight="1">
      <c r="B7741" s="370">
        <f t="shared" si="2"/>
        <v>0.8956018519</v>
      </c>
      <c r="C7741" s="56">
        <f t="shared" si="3"/>
        <v>77380</v>
      </c>
      <c r="D7741" s="56">
        <v>2.808</v>
      </c>
    </row>
    <row r="7742" ht="15.75" customHeight="1">
      <c r="B7742" s="370">
        <f t="shared" si="2"/>
        <v>0.8957175926</v>
      </c>
      <c r="C7742" s="56">
        <f t="shared" si="3"/>
        <v>77390</v>
      </c>
      <c r="D7742" s="56">
        <v>3.431</v>
      </c>
    </row>
    <row r="7743" ht="15.75" customHeight="1">
      <c r="B7743" s="370">
        <f t="shared" si="2"/>
        <v>0.8958333333</v>
      </c>
      <c r="C7743" s="56">
        <f t="shared" si="3"/>
        <v>77400</v>
      </c>
      <c r="D7743" s="56">
        <v>3.516</v>
      </c>
    </row>
    <row r="7744" ht="15.75" customHeight="1">
      <c r="B7744" s="370">
        <f t="shared" si="2"/>
        <v>0.8959490741</v>
      </c>
      <c r="C7744" s="56">
        <f t="shared" si="3"/>
        <v>77410</v>
      </c>
      <c r="D7744" s="56">
        <v>3.492</v>
      </c>
    </row>
    <row r="7745" ht="15.75" customHeight="1">
      <c r="B7745" s="370">
        <f t="shared" si="2"/>
        <v>0.8960648148</v>
      </c>
      <c r="C7745" s="56">
        <f t="shared" si="3"/>
        <v>77420</v>
      </c>
      <c r="D7745" s="56">
        <v>3.407</v>
      </c>
    </row>
    <row r="7746" ht="15.75" customHeight="1">
      <c r="B7746" s="370">
        <f t="shared" si="2"/>
        <v>0.8961805556</v>
      </c>
      <c r="C7746" s="56">
        <f t="shared" si="3"/>
        <v>77430</v>
      </c>
      <c r="D7746" s="56">
        <v>2.776</v>
      </c>
    </row>
    <row r="7747" ht="15.75" customHeight="1">
      <c r="B7747" s="370">
        <f t="shared" si="2"/>
        <v>0.8962962963</v>
      </c>
      <c r="C7747" s="56">
        <f t="shared" si="3"/>
        <v>77440</v>
      </c>
      <c r="D7747" s="56">
        <v>2.179</v>
      </c>
    </row>
    <row r="7748" ht="15.75" customHeight="1">
      <c r="B7748" s="370">
        <f t="shared" si="2"/>
        <v>0.896412037</v>
      </c>
      <c r="C7748" s="56">
        <f t="shared" si="3"/>
        <v>77450</v>
      </c>
      <c r="D7748" s="56">
        <v>2.478</v>
      </c>
    </row>
    <row r="7749" ht="15.75" customHeight="1">
      <c r="B7749" s="370">
        <f t="shared" si="2"/>
        <v>0.8965277778</v>
      </c>
      <c r="C7749" s="56">
        <f t="shared" si="3"/>
        <v>77460</v>
      </c>
      <c r="D7749" s="56">
        <v>2.647</v>
      </c>
    </row>
    <row r="7750" ht="15.75" customHeight="1">
      <c r="B7750" s="370">
        <f t="shared" si="2"/>
        <v>0.8966435185</v>
      </c>
      <c r="C7750" s="56">
        <f t="shared" si="3"/>
        <v>77470</v>
      </c>
      <c r="D7750" s="56">
        <v>2.835</v>
      </c>
    </row>
    <row r="7751" ht="15.75" customHeight="1">
      <c r="B7751" s="370">
        <f t="shared" si="2"/>
        <v>0.8967592593</v>
      </c>
      <c r="C7751" s="56">
        <f t="shared" si="3"/>
        <v>77480</v>
      </c>
      <c r="D7751" s="56">
        <v>2.912</v>
      </c>
    </row>
    <row r="7752" ht="15.75" customHeight="1">
      <c r="B7752" s="370">
        <f t="shared" si="2"/>
        <v>0.896875</v>
      </c>
      <c r="C7752" s="56">
        <f t="shared" si="3"/>
        <v>77490</v>
      </c>
      <c r="D7752" s="56">
        <v>2.963</v>
      </c>
    </row>
    <row r="7753" ht="15.75" customHeight="1">
      <c r="B7753" s="370">
        <f t="shared" si="2"/>
        <v>0.8969907407</v>
      </c>
      <c r="C7753" s="56">
        <f t="shared" si="3"/>
        <v>77500</v>
      </c>
      <c r="D7753" s="56">
        <v>2.861</v>
      </c>
    </row>
    <row r="7754" ht="15.75" customHeight="1">
      <c r="B7754" s="370">
        <f t="shared" si="2"/>
        <v>0.8971064815</v>
      </c>
      <c r="C7754" s="56">
        <f t="shared" si="3"/>
        <v>77510</v>
      </c>
      <c r="D7754" s="56">
        <v>2.982</v>
      </c>
    </row>
    <row r="7755" ht="15.75" customHeight="1">
      <c r="B7755" s="370">
        <f t="shared" si="2"/>
        <v>0.8972222222</v>
      </c>
      <c r="C7755" s="56">
        <f t="shared" si="3"/>
        <v>77520</v>
      </c>
      <c r="D7755" s="56">
        <v>3.096</v>
      </c>
    </row>
    <row r="7756" ht="15.75" customHeight="1">
      <c r="B7756" s="370">
        <f t="shared" si="2"/>
        <v>0.897337963</v>
      </c>
      <c r="C7756" s="56">
        <f t="shared" si="3"/>
        <v>77530</v>
      </c>
      <c r="D7756" s="56">
        <v>3.122</v>
      </c>
    </row>
    <row r="7757" ht="15.75" customHeight="1">
      <c r="B7757" s="370">
        <f t="shared" si="2"/>
        <v>0.8974537037</v>
      </c>
      <c r="C7757" s="56">
        <f t="shared" si="3"/>
        <v>77540</v>
      </c>
      <c r="D7757" s="56">
        <v>2.87</v>
      </c>
    </row>
    <row r="7758" ht="15.75" customHeight="1">
      <c r="B7758" s="370">
        <f t="shared" si="2"/>
        <v>0.8975694444</v>
      </c>
      <c r="C7758" s="56">
        <f t="shared" si="3"/>
        <v>77550</v>
      </c>
      <c r="D7758" s="56">
        <v>2.645</v>
      </c>
    </row>
    <row r="7759" ht="15.75" customHeight="1">
      <c r="B7759" s="370">
        <f t="shared" si="2"/>
        <v>0.8976851852</v>
      </c>
      <c r="C7759" s="56">
        <f t="shared" si="3"/>
        <v>77560</v>
      </c>
      <c r="D7759" s="56">
        <v>2.39</v>
      </c>
    </row>
    <row r="7760" ht="15.75" customHeight="1">
      <c r="B7760" s="370">
        <f t="shared" si="2"/>
        <v>0.8978009259</v>
      </c>
      <c r="C7760" s="56">
        <f t="shared" si="3"/>
        <v>77570</v>
      </c>
      <c r="D7760" s="56">
        <v>2.015</v>
      </c>
    </row>
    <row r="7761" ht="15.75" customHeight="1">
      <c r="B7761" s="370">
        <f t="shared" si="2"/>
        <v>0.8979166667</v>
      </c>
      <c r="C7761" s="56">
        <f t="shared" si="3"/>
        <v>77580</v>
      </c>
      <c r="D7761" s="56">
        <v>2.66</v>
      </c>
    </row>
    <row r="7762" ht="15.75" customHeight="1">
      <c r="B7762" s="370">
        <f t="shared" si="2"/>
        <v>0.8980324074</v>
      </c>
      <c r="C7762" s="56">
        <f t="shared" si="3"/>
        <v>77590</v>
      </c>
      <c r="D7762" s="56">
        <v>3.38</v>
      </c>
    </row>
    <row r="7763" ht="15.75" customHeight="1">
      <c r="B7763" s="370">
        <f t="shared" si="2"/>
        <v>0.8981481481</v>
      </c>
      <c r="C7763" s="56">
        <f t="shared" si="3"/>
        <v>77600</v>
      </c>
      <c r="D7763" s="56">
        <v>3.519</v>
      </c>
    </row>
    <row r="7764" ht="15.75" customHeight="1">
      <c r="B7764" s="370">
        <f t="shared" si="2"/>
        <v>0.8982638889</v>
      </c>
      <c r="C7764" s="56">
        <f t="shared" si="3"/>
        <v>77610</v>
      </c>
      <c r="D7764" s="56">
        <v>3.512</v>
      </c>
    </row>
    <row r="7765" ht="15.75" customHeight="1">
      <c r="B7765" s="370">
        <f t="shared" si="2"/>
        <v>0.8983796296</v>
      </c>
      <c r="C7765" s="56">
        <f t="shared" si="3"/>
        <v>77620</v>
      </c>
      <c r="D7765" s="56">
        <v>3.476</v>
      </c>
    </row>
    <row r="7766" ht="15.75" customHeight="1">
      <c r="B7766" s="370">
        <f t="shared" si="2"/>
        <v>0.8984953704</v>
      </c>
      <c r="C7766" s="56">
        <f t="shared" si="3"/>
        <v>77630</v>
      </c>
      <c r="D7766" s="56">
        <v>2.982</v>
      </c>
    </row>
    <row r="7767" ht="15.75" customHeight="1">
      <c r="B7767" s="370">
        <f t="shared" si="2"/>
        <v>0.8986111111</v>
      </c>
      <c r="C7767" s="56">
        <f t="shared" si="3"/>
        <v>77640</v>
      </c>
      <c r="D7767" s="56">
        <v>2.052</v>
      </c>
    </row>
    <row r="7768" ht="15.75" customHeight="1">
      <c r="B7768" s="370">
        <f t="shared" si="2"/>
        <v>0.8987268519</v>
      </c>
      <c r="C7768" s="56">
        <f t="shared" si="3"/>
        <v>77650</v>
      </c>
      <c r="D7768" s="56">
        <v>2.336</v>
      </c>
    </row>
    <row r="7769" ht="15.75" customHeight="1">
      <c r="B7769" s="370">
        <f t="shared" si="2"/>
        <v>0.8988425926</v>
      </c>
      <c r="C7769" s="56">
        <f t="shared" si="3"/>
        <v>77660</v>
      </c>
      <c r="D7769" s="56">
        <v>2.562</v>
      </c>
    </row>
    <row r="7770" ht="15.75" customHeight="1">
      <c r="B7770" s="370">
        <f t="shared" si="2"/>
        <v>0.8989583333</v>
      </c>
      <c r="C7770" s="56">
        <f t="shared" si="3"/>
        <v>77670</v>
      </c>
      <c r="D7770" s="56">
        <v>2.82</v>
      </c>
    </row>
    <row r="7771" ht="15.75" customHeight="1">
      <c r="B7771" s="370">
        <f t="shared" si="2"/>
        <v>0.8990740741</v>
      </c>
      <c r="C7771" s="56">
        <f t="shared" si="3"/>
        <v>77680</v>
      </c>
      <c r="D7771" s="56">
        <v>3.0</v>
      </c>
    </row>
    <row r="7772" ht="15.75" customHeight="1">
      <c r="B7772" s="370">
        <f t="shared" si="2"/>
        <v>0.8991898148</v>
      </c>
      <c r="C7772" s="56">
        <f t="shared" si="3"/>
        <v>77690</v>
      </c>
      <c r="D7772" s="56">
        <v>3.127</v>
      </c>
    </row>
    <row r="7773" ht="15.75" customHeight="1">
      <c r="B7773" s="370">
        <f t="shared" si="2"/>
        <v>0.8993055556</v>
      </c>
      <c r="C7773" s="56">
        <f t="shared" si="3"/>
        <v>77700</v>
      </c>
      <c r="D7773" s="56">
        <v>2.984</v>
      </c>
    </row>
    <row r="7774" ht="15.75" customHeight="1">
      <c r="B7774" s="370">
        <f t="shared" si="2"/>
        <v>0.8994212963</v>
      </c>
      <c r="C7774" s="56">
        <f t="shared" si="3"/>
        <v>77710</v>
      </c>
      <c r="D7774" s="56">
        <v>2.879</v>
      </c>
    </row>
    <row r="7775" ht="15.75" customHeight="1">
      <c r="B7775" s="370">
        <f t="shared" si="2"/>
        <v>0.899537037</v>
      </c>
      <c r="C7775" s="56">
        <f t="shared" si="3"/>
        <v>77720</v>
      </c>
      <c r="D7775" s="56">
        <v>2.941</v>
      </c>
    </row>
    <row r="7776" ht="15.75" customHeight="1">
      <c r="B7776" s="370">
        <f t="shared" si="2"/>
        <v>0.8996527778</v>
      </c>
      <c r="C7776" s="56">
        <f t="shared" si="3"/>
        <v>77730</v>
      </c>
      <c r="D7776" s="56">
        <v>3.011</v>
      </c>
    </row>
    <row r="7777" ht="15.75" customHeight="1">
      <c r="B7777" s="370">
        <f t="shared" si="2"/>
        <v>0.8997685185</v>
      </c>
      <c r="C7777" s="56">
        <f t="shared" si="3"/>
        <v>77740</v>
      </c>
      <c r="D7777" s="56">
        <v>2.859</v>
      </c>
    </row>
    <row r="7778" ht="15.75" customHeight="1">
      <c r="B7778" s="370">
        <f t="shared" si="2"/>
        <v>0.8998842593</v>
      </c>
      <c r="C7778" s="56">
        <f t="shared" si="3"/>
        <v>77750</v>
      </c>
      <c r="D7778" s="56">
        <v>2.715</v>
      </c>
    </row>
    <row r="7779" ht="15.75" customHeight="1">
      <c r="B7779" s="370">
        <f t="shared" si="2"/>
        <v>0.9</v>
      </c>
      <c r="C7779" s="56">
        <f t="shared" si="3"/>
        <v>77760</v>
      </c>
      <c r="D7779" s="56">
        <v>2.504</v>
      </c>
    </row>
    <row r="7780" ht="15.75" customHeight="1">
      <c r="B7780" s="370">
        <f t="shared" si="2"/>
        <v>0.9001157407</v>
      </c>
      <c r="C7780" s="56">
        <f t="shared" si="3"/>
        <v>77770</v>
      </c>
      <c r="D7780" s="56">
        <v>2.301</v>
      </c>
    </row>
    <row r="7781" ht="15.75" customHeight="1">
      <c r="B7781" s="370">
        <f t="shared" si="2"/>
        <v>0.9002314815</v>
      </c>
      <c r="C7781" s="56">
        <f t="shared" si="3"/>
        <v>77780</v>
      </c>
      <c r="D7781" s="56">
        <v>2.41</v>
      </c>
    </row>
    <row r="7782" ht="15.75" customHeight="1">
      <c r="B7782" s="370">
        <f t="shared" si="2"/>
        <v>0.9003472222</v>
      </c>
      <c r="C7782" s="56">
        <f t="shared" si="3"/>
        <v>77790</v>
      </c>
      <c r="D7782" s="56">
        <v>3.289</v>
      </c>
    </row>
    <row r="7783" ht="15.75" customHeight="1">
      <c r="B7783" s="370">
        <f t="shared" si="2"/>
        <v>0.900462963</v>
      </c>
      <c r="C7783" s="56">
        <f t="shared" si="3"/>
        <v>77800</v>
      </c>
      <c r="D7783" s="56">
        <v>3.497</v>
      </c>
    </row>
    <row r="7784" ht="15.75" customHeight="1">
      <c r="B7784" s="370">
        <f t="shared" si="2"/>
        <v>0.9005787037</v>
      </c>
      <c r="C7784" s="56">
        <f t="shared" si="3"/>
        <v>77810</v>
      </c>
      <c r="D7784" s="56">
        <v>3.506</v>
      </c>
    </row>
    <row r="7785" ht="15.75" customHeight="1">
      <c r="B7785" s="370">
        <f t="shared" si="2"/>
        <v>0.9006944444</v>
      </c>
      <c r="C7785" s="56">
        <f t="shared" si="3"/>
        <v>77820</v>
      </c>
      <c r="D7785" s="56">
        <v>3.504</v>
      </c>
    </row>
    <row r="7786" ht="15.75" customHeight="1">
      <c r="B7786" s="370">
        <f t="shared" si="2"/>
        <v>0.9008101852</v>
      </c>
      <c r="C7786" s="56">
        <f t="shared" si="3"/>
        <v>77830</v>
      </c>
      <c r="D7786" s="56">
        <v>3.1</v>
      </c>
    </row>
    <row r="7787" ht="15.75" customHeight="1">
      <c r="B7787" s="370">
        <f t="shared" si="2"/>
        <v>0.9009259259</v>
      </c>
      <c r="C7787" s="56">
        <f t="shared" si="3"/>
        <v>77840</v>
      </c>
      <c r="D7787" s="56">
        <v>2.307</v>
      </c>
    </row>
    <row r="7788" ht="15.75" customHeight="1">
      <c r="B7788" s="370">
        <f t="shared" si="2"/>
        <v>0.9010416667</v>
      </c>
      <c r="C7788" s="56">
        <f t="shared" si="3"/>
        <v>77850</v>
      </c>
      <c r="D7788" s="56">
        <v>2.128</v>
      </c>
    </row>
    <row r="7789" ht="15.75" customHeight="1">
      <c r="B7789" s="370">
        <f t="shared" si="2"/>
        <v>0.9011574074</v>
      </c>
      <c r="C7789" s="56">
        <f t="shared" si="3"/>
        <v>77860</v>
      </c>
      <c r="D7789" s="56">
        <v>2.439</v>
      </c>
    </row>
    <row r="7790" ht="15.75" customHeight="1">
      <c r="B7790" s="370">
        <f t="shared" si="2"/>
        <v>0.9012731481</v>
      </c>
      <c r="C7790" s="56">
        <f t="shared" si="3"/>
        <v>77870</v>
      </c>
      <c r="D7790" s="56">
        <v>2.766</v>
      </c>
    </row>
    <row r="7791" ht="15.75" customHeight="1">
      <c r="B7791" s="370">
        <f t="shared" si="2"/>
        <v>0.9013888889</v>
      </c>
      <c r="C7791" s="56">
        <f t="shared" si="3"/>
        <v>77880</v>
      </c>
      <c r="D7791" s="56">
        <v>3.046</v>
      </c>
    </row>
    <row r="7792" ht="15.75" customHeight="1">
      <c r="B7792" s="370">
        <f t="shared" si="2"/>
        <v>0.9015046296</v>
      </c>
      <c r="C7792" s="56">
        <f t="shared" si="3"/>
        <v>77890</v>
      </c>
      <c r="D7792" s="56">
        <v>3.248</v>
      </c>
    </row>
    <row r="7793" ht="15.75" customHeight="1">
      <c r="B7793" s="370">
        <f t="shared" si="2"/>
        <v>0.9016203704</v>
      </c>
      <c r="C7793" s="56">
        <f t="shared" si="3"/>
        <v>77900</v>
      </c>
      <c r="D7793" s="56">
        <v>3.089</v>
      </c>
    </row>
    <row r="7794" ht="15.75" customHeight="1">
      <c r="B7794" s="370">
        <f t="shared" si="2"/>
        <v>0.9017361111</v>
      </c>
      <c r="C7794" s="56">
        <f t="shared" si="3"/>
        <v>77910</v>
      </c>
      <c r="D7794" s="56">
        <v>3.064</v>
      </c>
    </row>
    <row r="7795" ht="15.75" customHeight="1">
      <c r="B7795" s="370">
        <f t="shared" si="2"/>
        <v>0.9018518519</v>
      </c>
      <c r="C7795" s="56">
        <f t="shared" si="3"/>
        <v>77920</v>
      </c>
      <c r="D7795" s="56">
        <v>2.776</v>
      </c>
    </row>
    <row r="7796" ht="15.75" customHeight="1">
      <c r="B7796" s="370">
        <f t="shared" si="2"/>
        <v>0.9019675926</v>
      </c>
      <c r="C7796" s="56">
        <f t="shared" si="3"/>
        <v>77930</v>
      </c>
      <c r="D7796" s="56">
        <v>2.87</v>
      </c>
    </row>
    <row r="7797" ht="15.75" customHeight="1">
      <c r="B7797" s="370">
        <f t="shared" si="2"/>
        <v>0.9020833333</v>
      </c>
      <c r="C7797" s="56">
        <f t="shared" si="3"/>
        <v>77940</v>
      </c>
      <c r="D7797" s="56">
        <v>2.813</v>
      </c>
    </row>
    <row r="7798" ht="15.75" customHeight="1">
      <c r="B7798" s="370">
        <f t="shared" si="2"/>
        <v>0.9021990741</v>
      </c>
      <c r="C7798" s="56">
        <f t="shared" si="3"/>
        <v>77950</v>
      </c>
      <c r="D7798" s="56">
        <v>2.753</v>
      </c>
    </row>
    <row r="7799" ht="15.75" customHeight="1">
      <c r="B7799" s="370">
        <f t="shared" si="2"/>
        <v>0.9023148148</v>
      </c>
      <c r="C7799" s="56">
        <f t="shared" si="3"/>
        <v>77960</v>
      </c>
      <c r="D7799" s="56">
        <v>2.624</v>
      </c>
    </row>
    <row r="7800" ht="15.75" customHeight="1">
      <c r="B7800" s="370">
        <f t="shared" si="2"/>
        <v>0.9024305556</v>
      </c>
      <c r="C7800" s="56">
        <f t="shared" si="3"/>
        <v>77970</v>
      </c>
      <c r="D7800" s="56">
        <v>2.476</v>
      </c>
    </row>
    <row r="7801" ht="15.75" customHeight="1">
      <c r="B7801" s="370">
        <f t="shared" si="2"/>
        <v>0.9025462963</v>
      </c>
      <c r="C7801" s="56">
        <f t="shared" si="3"/>
        <v>77980</v>
      </c>
      <c r="D7801" s="56">
        <v>2.278</v>
      </c>
    </row>
    <row r="7802" ht="15.75" customHeight="1">
      <c r="B7802" s="370">
        <f t="shared" si="2"/>
        <v>0.902662037</v>
      </c>
      <c r="C7802" s="56">
        <f t="shared" si="3"/>
        <v>77990</v>
      </c>
      <c r="D7802" s="56">
        <v>3.181</v>
      </c>
    </row>
    <row r="7803" ht="15.75" customHeight="1">
      <c r="B7803" s="370">
        <f t="shared" si="2"/>
        <v>0.9027777778</v>
      </c>
      <c r="C7803" s="56">
        <f t="shared" si="3"/>
        <v>78000</v>
      </c>
      <c r="D7803" s="56">
        <v>3.444</v>
      </c>
    </row>
    <row r="7804" ht="15.75" customHeight="1">
      <c r="B7804" s="370">
        <f t="shared" si="2"/>
        <v>0.9028935185</v>
      </c>
      <c r="C7804" s="56">
        <f t="shared" si="3"/>
        <v>78010</v>
      </c>
      <c r="D7804" s="56">
        <v>3.474</v>
      </c>
    </row>
    <row r="7805" ht="15.75" customHeight="1">
      <c r="B7805" s="370">
        <f t="shared" si="2"/>
        <v>0.9030092593</v>
      </c>
      <c r="C7805" s="56">
        <f t="shared" si="3"/>
        <v>78020</v>
      </c>
      <c r="D7805" s="56">
        <v>3.498</v>
      </c>
    </row>
    <row r="7806" ht="15.75" customHeight="1">
      <c r="B7806" s="370">
        <f t="shared" si="2"/>
        <v>0.903125</v>
      </c>
      <c r="C7806" s="56">
        <f t="shared" si="3"/>
        <v>78030</v>
      </c>
      <c r="D7806" s="56">
        <v>3.179</v>
      </c>
    </row>
    <row r="7807" ht="15.75" customHeight="1">
      <c r="B7807" s="370">
        <f t="shared" si="2"/>
        <v>0.9032407407</v>
      </c>
      <c r="C7807" s="56">
        <f t="shared" si="3"/>
        <v>78040</v>
      </c>
      <c r="D7807" s="56">
        <v>2.43</v>
      </c>
    </row>
    <row r="7808" ht="15.75" customHeight="1">
      <c r="B7808" s="370">
        <f t="shared" si="2"/>
        <v>0.9033564815</v>
      </c>
      <c r="C7808" s="56">
        <f t="shared" si="3"/>
        <v>78050</v>
      </c>
      <c r="D7808" s="56">
        <v>1.958</v>
      </c>
    </row>
    <row r="7809" ht="15.75" customHeight="1">
      <c r="B7809" s="370">
        <f t="shared" si="2"/>
        <v>0.9034722222</v>
      </c>
      <c r="C7809" s="56">
        <f t="shared" si="3"/>
        <v>78060</v>
      </c>
      <c r="D7809" s="56">
        <v>2.244</v>
      </c>
    </row>
    <row r="7810" ht="15.75" customHeight="1">
      <c r="B7810" s="370">
        <f t="shared" si="2"/>
        <v>0.903587963</v>
      </c>
      <c r="C7810" s="56">
        <f t="shared" si="3"/>
        <v>78070</v>
      </c>
      <c r="D7810" s="56">
        <v>2.678</v>
      </c>
    </row>
    <row r="7811" ht="15.75" customHeight="1">
      <c r="B7811" s="370">
        <f t="shared" si="2"/>
        <v>0.9037037037</v>
      </c>
      <c r="C7811" s="56">
        <f t="shared" si="3"/>
        <v>78080</v>
      </c>
      <c r="D7811" s="56">
        <v>3.055</v>
      </c>
    </row>
    <row r="7812" ht="15.75" customHeight="1">
      <c r="B7812" s="370">
        <f t="shared" si="2"/>
        <v>0.9038194444</v>
      </c>
      <c r="C7812" s="56">
        <f t="shared" si="3"/>
        <v>78090</v>
      </c>
      <c r="D7812" s="56">
        <v>3.349</v>
      </c>
    </row>
    <row r="7813" ht="15.75" customHeight="1">
      <c r="B7813" s="370">
        <f t="shared" si="2"/>
        <v>0.9039351852</v>
      </c>
      <c r="C7813" s="56">
        <f t="shared" si="3"/>
        <v>78100</v>
      </c>
      <c r="D7813" s="56">
        <v>3.27</v>
      </c>
    </row>
    <row r="7814" ht="15.75" customHeight="1">
      <c r="B7814" s="370">
        <f t="shared" si="2"/>
        <v>0.9040509259</v>
      </c>
      <c r="C7814" s="56">
        <f t="shared" si="3"/>
        <v>78110</v>
      </c>
      <c r="D7814" s="56">
        <v>3.203</v>
      </c>
    </row>
    <row r="7815" ht="15.75" customHeight="1">
      <c r="B7815" s="370">
        <f t="shared" si="2"/>
        <v>0.9041666667</v>
      </c>
      <c r="C7815" s="56">
        <f t="shared" si="3"/>
        <v>78120</v>
      </c>
      <c r="D7815" s="56">
        <v>2.966</v>
      </c>
    </row>
    <row r="7816" ht="15.75" customHeight="1">
      <c r="B7816" s="370">
        <f t="shared" si="2"/>
        <v>0.9042824074</v>
      </c>
      <c r="C7816" s="56">
        <f t="shared" si="3"/>
        <v>78130</v>
      </c>
      <c r="D7816" s="56">
        <v>2.676</v>
      </c>
    </row>
    <row r="7817" ht="15.75" customHeight="1">
      <c r="B7817" s="370">
        <f t="shared" si="2"/>
        <v>0.9043981481</v>
      </c>
      <c r="C7817" s="56">
        <f t="shared" si="3"/>
        <v>78140</v>
      </c>
      <c r="D7817" s="56">
        <v>2.728</v>
      </c>
    </row>
    <row r="7818" ht="15.75" customHeight="1">
      <c r="B7818" s="370">
        <f t="shared" si="2"/>
        <v>0.9045138889</v>
      </c>
      <c r="C7818" s="56">
        <f t="shared" si="3"/>
        <v>78150</v>
      </c>
      <c r="D7818" s="56">
        <v>2.753</v>
      </c>
    </row>
    <row r="7819" ht="15.75" customHeight="1">
      <c r="B7819" s="370">
        <f t="shared" si="2"/>
        <v>0.9046296296</v>
      </c>
      <c r="C7819" s="56">
        <f t="shared" si="3"/>
        <v>78160</v>
      </c>
      <c r="D7819" s="56">
        <v>2.689</v>
      </c>
    </row>
    <row r="7820" ht="15.75" customHeight="1">
      <c r="B7820" s="370">
        <f t="shared" si="2"/>
        <v>0.9047453704</v>
      </c>
      <c r="C7820" s="56">
        <f t="shared" si="3"/>
        <v>78170</v>
      </c>
      <c r="D7820" s="56">
        <v>2.614</v>
      </c>
    </row>
    <row r="7821" ht="15.75" customHeight="1">
      <c r="B7821" s="370">
        <f t="shared" si="2"/>
        <v>0.9048611111</v>
      </c>
      <c r="C7821" s="56">
        <f t="shared" si="3"/>
        <v>78180</v>
      </c>
      <c r="D7821" s="56">
        <v>2.296</v>
      </c>
    </row>
    <row r="7822" ht="15.75" customHeight="1">
      <c r="B7822" s="370">
        <f t="shared" si="2"/>
        <v>0.9049768519</v>
      </c>
      <c r="C7822" s="56">
        <f t="shared" si="3"/>
        <v>78190</v>
      </c>
      <c r="D7822" s="56">
        <v>3.03</v>
      </c>
    </row>
    <row r="7823" ht="15.75" customHeight="1">
      <c r="B7823" s="370">
        <f t="shared" si="2"/>
        <v>0.9050925926</v>
      </c>
      <c r="C7823" s="56">
        <f t="shared" si="3"/>
        <v>78200</v>
      </c>
      <c r="D7823" s="56">
        <v>3.364</v>
      </c>
    </row>
    <row r="7824" ht="15.75" customHeight="1">
      <c r="B7824" s="370">
        <f t="shared" si="2"/>
        <v>0.9052083333</v>
      </c>
      <c r="C7824" s="56">
        <f t="shared" si="3"/>
        <v>78210</v>
      </c>
      <c r="D7824" s="56">
        <v>3.403</v>
      </c>
    </row>
    <row r="7825" ht="15.75" customHeight="1">
      <c r="B7825" s="370">
        <f t="shared" si="2"/>
        <v>0.9053240741</v>
      </c>
      <c r="C7825" s="56">
        <f t="shared" si="3"/>
        <v>78220</v>
      </c>
      <c r="D7825" s="56">
        <v>3.466</v>
      </c>
    </row>
    <row r="7826" ht="15.75" customHeight="1">
      <c r="B7826" s="370">
        <f t="shared" si="2"/>
        <v>0.9054398148</v>
      </c>
      <c r="C7826" s="56">
        <f t="shared" si="3"/>
        <v>78230</v>
      </c>
      <c r="D7826" s="56">
        <v>3.233</v>
      </c>
    </row>
    <row r="7827" ht="15.75" customHeight="1">
      <c r="B7827" s="370">
        <f t="shared" si="2"/>
        <v>0.9055555556</v>
      </c>
      <c r="C7827" s="56">
        <f t="shared" si="3"/>
        <v>78240</v>
      </c>
      <c r="D7827" s="56">
        <v>2.63</v>
      </c>
    </row>
    <row r="7828" ht="15.75" customHeight="1">
      <c r="B7828" s="370">
        <f t="shared" si="2"/>
        <v>0.9056712963</v>
      </c>
      <c r="C7828" s="56">
        <f t="shared" si="3"/>
        <v>78250</v>
      </c>
      <c r="D7828" s="56">
        <v>2.116</v>
      </c>
    </row>
    <row r="7829" ht="15.75" customHeight="1">
      <c r="B7829" s="370">
        <f t="shared" si="2"/>
        <v>0.905787037</v>
      </c>
      <c r="C7829" s="56">
        <f t="shared" si="3"/>
        <v>78260</v>
      </c>
      <c r="D7829" s="56">
        <v>2.099</v>
      </c>
    </row>
    <row r="7830" ht="15.75" customHeight="1">
      <c r="B7830" s="370">
        <f t="shared" si="2"/>
        <v>0.9059027778</v>
      </c>
      <c r="C7830" s="56">
        <f t="shared" si="3"/>
        <v>78270</v>
      </c>
      <c r="D7830" s="56">
        <v>2.557</v>
      </c>
    </row>
    <row r="7831" ht="15.75" customHeight="1">
      <c r="B7831" s="370">
        <f t="shared" si="2"/>
        <v>0.9060185185</v>
      </c>
      <c r="C7831" s="56">
        <f t="shared" si="3"/>
        <v>78280</v>
      </c>
      <c r="D7831" s="56">
        <v>3.028</v>
      </c>
    </row>
    <row r="7832" ht="15.75" customHeight="1">
      <c r="B7832" s="370">
        <f t="shared" si="2"/>
        <v>0.9061342593</v>
      </c>
      <c r="C7832" s="56">
        <f t="shared" si="3"/>
        <v>78290</v>
      </c>
      <c r="D7832" s="56">
        <v>3.414</v>
      </c>
    </row>
    <row r="7833" ht="15.75" customHeight="1">
      <c r="B7833" s="370">
        <f t="shared" si="2"/>
        <v>0.90625</v>
      </c>
      <c r="C7833" s="56">
        <f t="shared" si="3"/>
        <v>78300</v>
      </c>
      <c r="D7833" s="56">
        <v>3.382</v>
      </c>
    </row>
    <row r="7834" ht="15.75" customHeight="1">
      <c r="B7834" s="370">
        <f t="shared" si="2"/>
        <v>0.9063657407</v>
      </c>
      <c r="C7834" s="56">
        <f t="shared" si="3"/>
        <v>78310</v>
      </c>
      <c r="D7834" s="56">
        <v>3.317</v>
      </c>
    </row>
    <row r="7835" ht="15.75" customHeight="1">
      <c r="B7835" s="370">
        <f t="shared" si="2"/>
        <v>0.9064814815</v>
      </c>
      <c r="C7835" s="56">
        <f t="shared" si="3"/>
        <v>78320</v>
      </c>
      <c r="D7835" s="56">
        <v>3.084</v>
      </c>
    </row>
    <row r="7836" ht="15.75" customHeight="1">
      <c r="B7836" s="370">
        <f t="shared" si="2"/>
        <v>0.9065972222</v>
      </c>
      <c r="C7836" s="56">
        <f t="shared" si="3"/>
        <v>78330</v>
      </c>
      <c r="D7836" s="56">
        <v>2.499</v>
      </c>
    </row>
    <row r="7837" ht="15.75" customHeight="1">
      <c r="B7837" s="370">
        <f t="shared" si="2"/>
        <v>0.906712963</v>
      </c>
      <c r="C7837" s="56">
        <f t="shared" si="3"/>
        <v>78340</v>
      </c>
      <c r="D7837" s="56">
        <v>2.599</v>
      </c>
    </row>
    <row r="7838" ht="15.75" customHeight="1">
      <c r="B7838" s="370">
        <f t="shared" si="2"/>
        <v>0.9068287037</v>
      </c>
      <c r="C7838" s="56">
        <f t="shared" si="3"/>
        <v>78350</v>
      </c>
      <c r="D7838" s="56">
        <v>2.718</v>
      </c>
    </row>
    <row r="7839" ht="15.75" customHeight="1">
      <c r="B7839" s="370">
        <f t="shared" si="2"/>
        <v>0.9069444444</v>
      </c>
      <c r="C7839" s="56">
        <f t="shared" si="3"/>
        <v>78360</v>
      </c>
      <c r="D7839" s="56">
        <v>2.719</v>
      </c>
    </row>
    <row r="7840" ht="15.75" customHeight="1">
      <c r="B7840" s="370">
        <f t="shared" si="2"/>
        <v>0.9070601852</v>
      </c>
      <c r="C7840" s="56">
        <f t="shared" si="3"/>
        <v>78370</v>
      </c>
      <c r="D7840" s="56">
        <v>2.718</v>
      </c>
    </row>
    <row r="7841" ht="15.75" customHeight="1">
      <c r="B7841" s="370">
        <f t="shared" si="2"/>
        <v>0.9071759259</v>
      </c>
      <c r="C7841" s="56">
        <f t="shared" si="3"/>
        <v>78380</v>
      </c>
      <c r="D7841" s="56">
        <v>2.577</v>
      </c>
    </row>
    <row r="7842" ht="15.75" customHeight="1">
      <c r="B7842" s="370">
        <f t="shared" si="2"/>
        <v>0.9072916667</v>
      </c>
      <c r="C7842" s="56">
        <f t="shared" si="3"/>
        <v>78390</v>
      </c>
      <c r="D7842" s="56">
        <v>2.78</v>
      </c>
    </row>
    <row r="7843" ht="15.75" customHeight="1">
      <c r="B7843" s="370">
        <f t="shared" si="2"/>
        <v>0.9074074074</v>
      </c>
      <c r="C7843" s="56">
        <f t="shared" si="3"/>
        <v>78400</v>
      </c>
      <c r="D7843" s="56">
        <v>3.248</v>
      </c>
    </row>
    <row r="7844" ht="15.75" customHeight="1">
      <c r="B7844" s="370">
        <f t="shared" si="2"/>
        <v>0.9075231481</v>
      </c>
      <c r="C7844" s="56">
        <f t="shared" si="3"/>
        <v>78410</v>
      </c>
      <c r="D7844" s="56">
        <v>3.318</v>
      </c>
    </row>
    <row r="7845" ht="15.75" customHeight="1">
      <c r="B7845" s="370">
        <f t="shared" si="2"/>
        <v>0.9076388889</v>
      </c>
      <c r="C7845" s="56">
        <f t="shared" si="3"/>
        <v>78420</v>
      </c>
      <c r="D7845" s="56">
        <v>3.402</v>
      </c>
    </row>
    <row r="7846" ht="15.75" customHeight="1">
      <c r="B7846" s="370">
        <f t="shared" si="2"/>
        <v>0.9077546296</v>
      </c>
      <c r="C7846" s="56">
        <f t="shared" si="3"/>
        <v>78430</v>
      </c>
      <c r="D7846" s="56">
        <v>3.243</v>
      </c>
    </row>
    <row r="7847" ht="15.75" customHeight="1">
      <c r="B7847" s="370">
        <f t="shared" si="2"/>
        <v>0.9078703704</v>
      </c>
      <c r="C7847" s="56">
        <f t="shared" si="3"/>
        <v>78440</v>
      </c>
      <c r="D7847" s="56">
        <v>2.745</v>
      </c>
    </row>
    <row r="7848" ht="15.75" customHeight="1">
      <c r="B7848" s="370">
        <f t="shared" si="2"/>
        <v>0.9079861111</v>
      </c>
      <c r="C7848" s="56">
        <f t="shared" si="3"/>
        <v>78450</v>
      </c>
      <c r="D7848" s="56">
        <v>2.323</v>
      </c>
    </row>
    <row r="7849" ht="15.75" customHeight="1">
      <c r="B7849" s="370">
        <f t="shared" si="2"/>
        <v>0.9081018519</v>
      </c>
      <c r="C7849" s="56">
        <f t="shared" si="3"/>
        <v>78460</v>
      </c>
      <c r="D7849" s="56">
        <v>1.929</v>
      </c>
    </row>
    <row r="7850" ht="15.75" customHeight="1">
      <c r="B7850" s="370">
        <f t="shared" si="2"/>
        <v>0.9082175926</v>
      </c>
      <c r="C7850" s="56">
        <f t="shared" si="3"/>
        <v>78470</v>
      </c>
      <c r="D7850" s="56">
        <v>2.401</v>
      </c>
    </row>
    <row r="7851" ht="15.75" customHeight="1">
      <c r="B7851" s="370">
        <f t="shared" si="2"/>
        <v>0.9083333333</v>
      </c>
      <c r="C7851" s="56">
        <f t="shared" si="3"/>
        <v>78480</v>
      </c>
      <c r="D7851" s="56">
        <v>2.963</v>
      </c>
    </row>
    <row r="7852" ht="15.75" customHeight="1">
      <c r="B7852" s="370">
        <f t="shared" si="2"/>
        <v>0.9084490741</v>
      </c>
      <c r="C7852" s="56">
        <f t="shared" si="3"/>
        <v>78490</v>
      </c>
      <c r="D7852" s="56">
        <v>3.443</v>
      </c>
    </row>
    <row r="7853" ht="15.75" customHeight="1">
      <c r="B7853" s="370">
        <f t="shared" si="2"/>
        <v>0.9085648148</v>
      </c>
      <c r="C7853" s="56">
        <f t="shared" si="3"/>
        <v>78500</v>
      </c>
      <c r="D7853" s="56">
        <v>3.452</v>
      </c>
    </row>
    <row r="7854" ht="15.75" customHeight="1">
      <c r="B7854" s="370">
        <f t="shared" si="2"/>
        <v>0.9086805556</v>
      </c>
      <c r="C7854" s="56">
        <f t="shared" si="3"/>
        <v>78510</v>
      </c>
      <c r="D7854" s="56">
        <v>3.408</v>
      </c>
    </row>
    <row r="7855" ht="15.75" customHeight="1">
      <c r="B7855" s="370">
        <f t="shared" si="2"/>
        <v>0.9087962963</v>
      </c>
      <c r="C7855" s="56">
        <f t="shared" si="3"/>
        <v>78520</v>
      </c>
      <c r="D7855" s="56">
        <v>3.265</v>
      </c>
    </row>
    <row r="7856" ht="15.75" customHeight="1">
      <c r="B7856" s="370">
        <f t="shared" si="2"/>
        <v>0.908912037</v>
      </c>
      <c r="C7856" s="56">
        <f t="shared" si="3"/>
        <v>78530</v>
      </c>
      <c r="D7856" s="56">
        <v>2.518</v>
      </c>
    </row>
    <row r="7857" ht="15.75" customHeight="1">
      <c r="B7857" s="370">
        <f t="shared" si="2"/>
        <v>0.9090277778</v>
      </c>
      <c r="C7857" s="56">
        <f t="shared" si="3"/>
        <v>78540</v>
      </c>
      <c r="D7857" s="56">
        <v>2.456</v>
      </c>
    </row>
    <row r="7858" ht="15.75" customHeight="1">
      <c r="B7858" s="370">
        <f t="shared" si="2"/>
        <v>0.9091435185</v>
      </c>
      <c r="C7858" s="56">
        <f t="shared" si="3"/>
        <v>78550</v>
      </c>
      <c r="D7858" s="56">
        <v>2.652</v>
      </c>
    </row>
    <row r="7859" ht="15.75" customHeight="1">
      <c r="B7859" s="370">
        <f t="shared" si="2"/>
        <v>0.9092592593</v>
      </c>
      <c r="C7859" s="56">
        <f t="shared" si="3"/>
        <v>78560</v>
      </c>
      <c r="D7859" s="56">
        <v>2.717</v>
      </c>
    </row>
    <row r="7860" ht="15.75" customHeight="1">
      <c r="B7860" s="370">
        <f t="shared" si="2"/>
        <v>0.909375</v>
      </c>
      <c r="C7860" s="56">
        <f t="shared" si="3"/>
        <v>78570</v>
      </c>
      <c r="D7860" s="56">
        <v>2.794</v>
      </c>
    </row>
    <row r="7861" ht="15.75" customHeight="1">
      <c r="B7861" s="370">
        <f t="shared" si="2"/>
        <v>0.9094907407</v>
      </c>
      <c r="C7861" s="56">
        <f t="shared" si="3"/>
        <v>78580</v>
      </c>
      <c r="D7861" s="56">
        <v>2.74</v>
      </c>
    </row>
    <row r="7862" ht="15.75" customHeight="1">
      <c r="B7862" s="370">
        <f t="shared" si="2"/>
        <v>0.9096064815</v>
      </c>
      <c r="C7862" s="56">
        <f t="shared" si="3"/>
        <v>78590</v>
      </c>
      <c r="D7862" s="56">
        <v>2.691</v>
      </c>
    </row>
    <row r="7863" ht="15.75" customHeight="1">
      <c r="B7863" s="370">
        <f t="shared" si="2"/>
        <v>0.9097222222</v>
      </c>
      <c r="C7863" s="56">
        <f t="shared" si="3"/>
        <v>78600</v>
      </c>
      <c r="D7863" s="56">
        <v>3.097</v>
      </c>
    </row>
    <row r="7864" ht="15.75" customHeight="1">
      <c r="B7864" s="370">
        <f t="shared" si="2"/>
        <v>0.909837963</v>
      </c>
      <c r="C7864" s="56">
        <f t="shared" si="3"/>
        <v>78610</v>
      </c>
      <c r="D7864" s="56">
        <v>3.198</v>
      </c>
    </row>
    <row r="7865" ht="15.75" customHeight="1">
      <c r="B7865" s="370">
        <f t="shared" si="2"/>
        <v>0.9099537037</v>
      </c>
      <c r="C7865" s="56">
        <f t="shared" si="3"/>
        <v>78620</v>
      </c>
      <c r="D7865" s="56">
        <v>3.305</v>
      </c>
    </row>
    <row r="7866" ht="15.75" customHeight="1">
      <c r="B7866" s="370">
        <f t="shared" si="2"/>
        <v>0.9100694444</v>
      </c>
      <c r="C7866" s="56">
        <f t="shared" si="3"/>
        <v>78630</v>
      </c>
      <c r="D7866" s="56">
        <v>3.218</v>
      </c>
    </row>
    <row r="7867" ht="15.75" customHeight="1">
      <c r="B7867" s="370">
        <f t="shared" si="2"/>
        <v>0.9101851852</v>
      </c>
      <c r="C7867" s="56">
        <f t="shared" si="3"/>
        <v>78640</v>
      </c>
      <c r="D7867" s="56">
        <v>2.821</v>
      </c>
    </row>
    <row r="7868" ht="15.75" customHeight="1">
      <c r="B7868" s="370">
        <f t="shared" si="2"/>
        <v>0.9103009259</v>
      </c>
      <c r="C7868" s="56">
        <f t="shared" si="3"/>
        <v>78650</v>
      </c>
      <c r="D7868" s="56">
        <v>2.445</v>
      </c>
    </row>
    <row r="7869" ht="15.75" customHeight="1">
      <c r="B7869" s="370">
        <f t="shared" si="2"/>
        <v>0.9104166667</v>
      </c>
      <c r="C7869" s="56">
        <f t="shared" si="3"/>
        <v>78660</v>
      </c>
      <c r="D7869" s="56">
        <v>2.141</v>
      </c>
    </row>
    <row r="7870" ht="15.75" customHeight="1">
      <c r="B7870" s="370">
        <f t="shared" si="2"/>
        <v>0.9105324074</v>
      </c>
      <c r="C7870" s="56">
        <f t="shared" si="3"/>
        <v>78670</v>
      </c>
      <c r="D7870" s="56">
        <v>2.142</v>
      </c>
    </row>
    <row r="7871" ht="15.75" customHeight="1">
      <c r="B7871" s="370">
        <f t="shared" si="2"/>
        <v>0.9106481481</v>
      </c>
      <c r="C7871" s="56">
        <f t="shared" si="3"/>
        <v>78680</v>
      </c>
      <c r="D7871" s="56">
        <v>2.863</v>
      </c>
    </row>
    <row r="7872" ht="15.75" customHeight="1">
      <c r="B7872" s="370">
        <f t="shared" si="2"/>
        <v>0.9107638889</v>
      </c>
      <c r="C7872" s="56">
        <f t="shared" si="3"/>
        <v>78690</v>
      </c>
      <c r="D7872" s="56">
        <v>3.439</v>
      </c>
    </row>
    <row r="7873" ht="15.75" customHeight="1">
      <c r="B7873" s="370">
        <f t="shared" si="2"/>
        <v>0.9108796296</v>
      </c>
      <c r="C7873" s="56">
        <f t="shared" si="3"/>
        <v>78700</v>
      </c>
      <c r="D7873" s="56">
        <v>3.505</v>
      </c>
    </row>
    <row r="7874" ht="15.75" customHeight="1">
      <c r="B7874" s="370">
        <f t="shared" si="2"/>
        <v>0.9109953704</v>
      </c>
      <c r="C7874" s="56">
        <f t="shared" si="3"/>
        <v>78710</v>
      </c>
      <c r="D7874" s="56">
        <v>3.474</v>
      </c>
    </row>
    <row r="7875" ht="15.75" customHeight="1">
      <c r="B7875" s="370">
        <f t="shared" si="2"/>
        <v>0.9111111111</v>
      </c>
      <c r="C7875" s="56">
        <f t="shared" si="3"/>
        <v>78720</v>
      </c>
      <c r="D7875" s="56">
        <v>3.376</v>
      </c>
    </row>
    <row r="7876" ht="15.75" customHeight="1">
      <c r="B7876" s="370">
        <f t="shared" si="2"/>
        <v>0.9112268519</v>
      </c>
      <c r="C7876" s="56">
        <f t="shared" si="3"/>
        <v>78730</v>
      </c>
      <c r="D7876" s="56">
        <v>2.752</v>
      </c>
    </row>
    <row r="7877" ht="15.75" customHeight="1">
      <c r="B7877" s="370">
        <f t="shared" si="2"/>
        <v>0.9113425926</v>
      </c>
      <c r="C7877" s="56">
        <f t="shared" si="3"/>
        <v>78740</v>
      </c>
      <c r="D7877" s="56">
        <v>2.243</v>
      </c>
    </row>
    <row r="7878" ht="15.75" customHeight="1">
      <c r="B7878" s="370">
        <f t="shared" si="2"/>
        <v>0.9114583333</v>
      </c>
      <c r="C7878" s="56">
        <f t="shared" si="3"/>
        <v>78750</v>
      </c>
      <c r="D7878" s="56">
        <v>2.549</v>
      </c>
    </row>
    <row r="7879" ht="15.75" customHeight="1">
      <c r="B7879" s="370">
        <f t="shared" si="2"/>
        <v>0.9115740741</v>
      </c>
      <c r="C7879" s="56">
        <f t="shared" si="3"/>
        <v>78760</v>
      </c>
      <c r="D7879" s="56">
        <v>2.679</v>
      </c>
    </row>
    <row r="7880" ht="15.75" customHeight="1">
      <c r="B7880" s="370">
        <f t="shared" si="2"/>
        <v>0.9116898148</v>
      </c>
      <c r="C7880" s="56">
        <f t="shared" si="3"/>
        <v>78770</v>
      </c>
      <c r="D7880" s="56">
        <v>2.83</v>
      </c>
    </row>
    <row r="7881" ht="15.75" customHeight="1">
      <c r="B7881" s="370">
        <f t="shared" si="2"/>
        <v>0.9118055556</v>
      </c>
      <c r="C7881" s="56">
        <f t="shared" si="3"/>
        <v>78780</v>
      </c>
      <c r="D7881" s="56">
        <v>2.87</v>
      </c>
    </row>
    <row r="7882" ht="15.75" customHeight="1">
      <c r="B7882" s="370">
        <f t="shared" si="2"/>
        <v>0.9119212963</v>
      </c>
      <c r="C7882" s="56">
        <f t="shared" si="3"/>
        <v>78790</v>
      </c>
      <c r="D7882" s="56">
        <v>2.806</v>
      </c>
    </row>
    <row r="7883" ht="15.75" customHeight="1">
      <c r="B7883" s="370">
        <f t="shared" si="2"/>
        <v>0.912037037</v>
      </c>
      <c r="C7883" s="56">
        <f t="shared" si="3"/>
        <v>78800</v>
      </c>
      <c r="D7883" s="56">
        <v>2.957</v>
      </c>
    </row>
    <row r="7884" ht="15.75" customHeight="1">
      <c r="B7884" s="370">
        <f t="shared" si="2"/>
        <v>0.9121527778</v>
      </c>
      <c r="C7884" s="56">
        <f t="shared" si="3"/>
        <v>78810</v>
      </c>
      <c r="D7884" s="56">
        <v>2.987</v>
      </c>
    </row>
    <row r="7885" ht="15.75" customHeight="1">
      <c r="B7885" s="370">
        <f t="shared" si="2"/>
        <v>0.9122685185</v>
      </c>
      <c r="C7885" s="56">
        <f t="shared" si="3"/>
        <v>78820</v>
      </c>
      <c r="D7885" s="56">
        <v>3.173</v>
      </c>
    </row>
    <row r="7886" ht="15.75" customHeight="1">
      <c r="B7886" s="370">
        <f t="shared" si="2"/>
        <v>0.9123842593</v>
      </c>
      <c r="C7886" s="56">
        <f t="shared" si="3"/>
        <v>78830</v>
      </c>
      <c r="D7886" s="56">
        <v>3.162</v>
      </c>
    </row>
    <row r="7887" ht="15.75" customHeight="1">
      <c r="B7887" s="370">
        <f t="shared" si="2"/>
        <v>0.9125</v>
      </c>
      <c r="C7887" s="56">
        <f t="shared" si="3"/>
        <v>78840</v>
      </c>
      <c r="D7887" s="56">
        <v>2.864</v>
      </c>
    </row>
    <row r="7888" ht="15.75" customHeight="1">
      <c r="B7888" s="370">
        <f t="shared" si="2"/>
        <v>0.9126157407</v>
      </c>
      <c r="C7888" s="56">
        <f t="shared" si="3"/>
        <v>78850</v>
      </c>
      <c r="D7888" s="56">
        <v>2.599</v>
      </c>
    </row>
    <row r="7889" ht="15.75" customHeight="1">
      <c r="B7889" s="370">
        <f t="shared" si="2"/>
        <v>0.9127314815</v>
      </c>
      <c r="C7889" s="56">
        <f t="shared" si="3"/>
        <v>78860</v>
      </c>
      <c r="D7889" s="56">
        <v>2.326</v>
      </c>
    </row>
    <row r="7890" ht="15.75" customHeight="1">
      <c r="B7890" s="370">
        <f t="shared" si="2"/>
        <v>0.9128472222</v>
      </c>
      <c r="C7890" s="56">
        <f t="shared" si="3"/>
        <v>78870</v>
      </c>
      <c r="D7890" s="56">
        <v>2.004</v>
      </c>
    </row>
    <row r="7891" ht="15.75" customHeight="1">
      <c r="B7891" s="370">
        <f t="shared" si="2"/>
        <v>0.912962963</v>
      </c>
      <c r="C7891" s="56">
        <f t="shared" si="3"/>
        <v>78880</v>
      </c>
      <c r="D7891" s="56">
        <v>2.732</v>
      </c>
    </row>
    <row r="7892" ht="15.75" customHeight="1">
      <c r="B7892" s="370">
        <f t="shared" si="2"/>
        <v>0.9130787037</v>
      </c>
      <c r="C7892" s="56">
        <f t="shared" si="3"/>
        <v>78890</v>
      </c>
      <c r="D7892" s="56">
        <v>3.405</v>
      </c>
    </row>
    <row r="7893" ht="15.75" customHeight="1">
      <c r="B7893" s="370">
        <f t="shared" si="2"/>
        <v>0.9131944444</v>
      </c>
      <c r="C7893" s="56">
        <f t="shared" si="3"/>
        <v>78900</v>
      </c>
      <c r="D7893" s="56">
        <v>3.522</v>
      </c>
    </row>
    <row r="7894" ht="15.75" customHeight="1">
      <c r="B7894" s="370">
        <f t="shared" si="2"/>
        <v>0.9133101852</v>
      </c>
      <c r="C7894" s="56">
        <f t="shared" si="3"/>
        <v>78910</v>
      </c>
      <c r="D7894" s="56">
        <v>3.507</v>
      </c>
    </row>
    <row r="7895" ht="15.75" customHeight="1">
      <c r="B7895" s="370">
        <f t="shared" si="2"/>
        <v>0.9134259259</v>
      </c>
      <c r="C7895" s="56">
        <f t="shared" si="3"/>
        <v>78920</v>
      </c>
      <c r="D7895" s="56">
        <v>3.445</v>
      </c>
    </row>
    <row r="7896" ht="15.75" customHeight="1">
      <c r="B7896" s="370">
        <f t="shared" si="2"/>
        <v>0.9135416667</v>
      </c>
      <c r="C7896" s="56">
        <f t="shared" si="3"/>
        <v>78930</v>
      </c>
      <c r="D7896" s="56">
        <v>2.873</v>
      </c>
    </row>
    <row r="7897" ht="15.75" customHeight="1">
      <c r="B7897" s="370">
        <f t="shared" si="2"/>
        <v>0.9136574074</v>
      </c>
      <c r="C7897" s="56">
        <f t="shared" si="3"/>
        <v>78940</v>
      </c>
      <c r="D7897" s="56">
        <v>2.062</v>
      </c>
    </row>
    <row r="7898" ht="15.75" customHeight="1">
      <c r="B7898" s="370">
        <f t="shared" si="2"/>
        <v>0.9137731481</v>
      </c>
      <c r="C7898" s="56">
        <f t="shared" si="3"/>
        <v>78950</v>
      </c>
      <c r="D7898" s="56">
        <v>2.386</v>
      </c>
    </row>
    <row r="7899" ht="15.75" customHeight="1">
      <c r="B7899" s="370">
        <f t="shared" si="2"/>
        <v>0.9138888889</v>
      </c>
      <c r="C7899" s="56">
        <f t="shared" si="3"/>
        <v>78960</v>
      </c>
      <c r="D7899" s="56">
        <v>2.603</v>
      </c>
    </row>
    <row r="7900" ht="15.75" customHeight="1">
      <c r="B7900" s="370">
        <f t="shared" si="2"/>
        <v>0.9140046296</v>
      </c>
      <c r="C7900" s="56">
        <f t="shared" si="3"/>
        <v>78970</v>
      </c>
      <c r="D7900" s="56">
        <v>2.831</v>
      </c>
    </row>
    <row r="7901" ht="15.75" customHeight="1">
      <c r="B7901" s="370">
        <f t="shared" si="2"/>
        <v>0.9141203704</v>
      </c>
      <c r="C7901" s="56">
        <f t="shared" si="3"/>
        <v>78980</v>
      </c>
      <c r="D7901" s="56">
        <v>2.969</v>
      </c>
    </row>
    <row r="7902" ht="15.75" customHeight="1">
      <c r="B7902" s="370">
        <f t="shared" si="2"/>
        <v>0.9142361111</v>
      </c>
      <c r="C7902" s="56">
        <f t="shared" si="3"/>
        <v>78990</v>
      </c>
      <c r="D7902" s="56">
        <v>3.052</v>
      </c>
    </row>
    <row r="7903" ht="15.75" customHeight="1">
      <c r="B7903" s="370">
        <f t="shared" si="2"/>
        <v>0.9143518519</v>
      </c>
      <c r="C7903" s="56">
        <f t="shared" si="3"/>
        <v>79000</v>
      </c>
      <c r="D7903" s="56">
        <v>2.87</v>
      </c>
    </row>
    <row r="7904" ht="15.75" customHeight="1">
      <c r="B7904" s="370">
        <f t="shared" si="2"/>
        <v>0.9144675926</v>
      </c>
      <c r="C7904" s="56">
        <f t="shared" si="3"/>
        <v>79010</v>
      </c>
      <c r="D7904" s="56">
        <v>2.899</v>
      </c>
    </row>
    <row r="7905" ht="15.75" customHeight="1">
      <c r="B7905" s="370">
        <f t="shared" si="2"/>
        <v>0.9145833333</v>
      </c>
      <c r="C7905" s="56">
        <f t="shared" si="3"/>
        <v>79020</v>
      </c>
      <c r="D7905" s="56">
        <v>2.996</v>
      </c>
    </row>
    <row r="7906" ht="15.75" customHeight="1">
      <c r="B7906" s="370">
        <f t="shared" si="2"/>
        <v>0.9146990741</v>
      </c>
      <c r="C7906" s="56">
        <f t="shared" si="3"/>
        <v>79030</v>
      </c>
      <c r="D7906" s="56">
        <v>3.069</v>
      </c>
    </row>
    <row r="7907" ht="15.75" customHeight="1">
      <c r="B7907" s="370">
        <f t="shared" si="2"/>
        <v>0.9148148148</v>
      </c>
      <c r="C7907" s="56">
        <f t="shared" si="3"/>
        <v>79040</v>
      </c>
      <c r="D7907" s="56">
        <v>2.869</v>
      </c>
    </row>
    <row r="7908" ht="15.75" customHeight="1">
      <c r="B7908" s="370">
        <f t="shared" si="2"/>
        <v>0.9149305556</v>
      </c>
      <c r="C7908" s="56">
        <f t="shared" si="3"/>
        <v>79050</v>
      </c>
      <c r="D7908" s="56">
        <v>2.687</v>
      </c>
    </row>
    <row r="7909" ht="15.75" customHeight="1">
      <c r="B7909" s="370">
        <f t="shared" si="2"/>
        <v>0.9150462963</v>
      </c>
      <c r="C7909" s="56">
        <f t="shared" si="3"/>
        <v>79060</v>
      </c>
      <c r="D7909" s="56">
        <v>2.465</v>
      </c>
    </row>
    <row r="7910" ht="15.75" customHeight="1">
      <c r="B7910" s="370">
        <f t="shared" si="2"/>
        <v>0.915162037</v>
      </c>
      <c r="C7910" s="56">
        <f t="shared" si="3"/>
        <v>79070</v>
      </c>
      <c r="D7910" s="56">
        <v>2.13</v>
      </c>
    </row>
    <row r="7911" ht="15.75" customHeight="1">
      <c r="B7911" s="370">
        <f t="shared" si="2"/>
        <v>0.9152777778</v>
      </c>
      <c r="C7911" s="56">
        <f t="shared" si="3"/>
        <v>79080</v>
      </c>
      <c r="D7911" s="56">
        <v>2.567</v>
      </c>
    </row>
    <row r="7912" ht="15.75" customHeight="1">
      <c r="B7912" s="370">
        <f t="shared" si="2"/>
        <v>0.9153935185</v>
      </c>
      <c r="C7912" s="56">
        <f t="shared" si="3"/>
        <v>79090</v>
      </c>
      <c r="D7912" s="56">
        <v>3.338</v>
      </c>
    </row>
    <row r="7913" ht="15.75" customHeight="1">
      <c r="B7913" s="370">
        <f t="shared" si="2"/>
        <v>0.9155092593</v>
      </c>
      <c r="C7913" s="56">
        <f t="shared" si="3"/>
        <v>79100</v>
      </c>
      <c r="D7913" s="56">
        <v>3.51</v>
      </c>
    </row>
    <row r="7914" ht="15.75" customHeight="1">
      <c r="B7914" s="370">
        <f t="shared" si="2"/>
        <v>0.915625</v>
      </c>
      <c r="C7914" s="56">
        <f t="shared" si="3"/>
        <v>79110</v>
      </c>
      <c r="D7914" s="56">
        <v>3.513</v>
      </c>
    </row>
    <row r="7915" ht="15.75" customHeight="1">
      <c r="B7915" s="370">
        <f t="shared" si="2"/>
        <v>0.9157407407</v>
      </c>
      <c r="C7915" s="56">
        <f t="shared" si="3"/>
        <v>79120</v>
      </c>
      <c r="D7915" s="56">
        <v>3.495</v>
      </c>
    </row>
    <row r="7916" ht="15.75" customHeight="1">
      <c r="B7916" s="370">
        <f t="shared" si="2"/>
        <v>0.9158564815</v>
      </c>
      <c r="C7916" s="56">
        <f t="shared" si="3"/>
        <v>79130</v>
      </c>
      <c r="D7916" s="56">
        <v>3.049</v>
      </c>
    </row>
    <row r="7917" ht="15.75" customHeight="1">
      <c r="B7917" s="370">
        <f t="shared" si="2"/>
        <v>0.9159722222</v>
      </c>
      <c r="C7917" s="56">
        <f t="shared" si="3"/>
        <v>79140</v>
      </c>
      <c r="D7917" s="56">
        <v>2.182</v>
      </c>
    </row>
    <row r="7918" ht="15.75" customHeight="1">
      <c r="B7918" s="370">
        <f t="shared" si="2"/>
        <v>0.916087963</v>
      </c>
      <c r="C7918" s="56">
        <f t="shared" si="3"/>
        <v>79150</v>
      </c>
      <c r="D7918" s="56">
        <v>2.242</v>
      </c>
    </row>
    <row r="7919" ht="15.75" customHeight="1">
      <c r="B7919" s="370">
        <f t="shared" si="2"/>
        <v>0.9162037037</v>
      </c>
      <c r="C7919" s="56">
        <f t="shared" si="3"/>
        <v>79160</v>
      </c>
      <c r="D7919" s="56">
        <v>2.502</v>
      </c>
    </row>
    <row r="7920" ht="15.75" customHeight="1">
      <c r="B7920" s="370">
        <f t="shared" si="2"/>
        <v>0.9163194444</v>
      </c>
      <c r="C7920" s="56">
        <f t="shared" si="3"/>
        <v>79170</v>
      </c>
      <c r="D7920" s="56">
        <v>2.794</v>
      </c>
    </row>
    <row r="7921" ht="15.75" customHeight="1">
      <c r="B7921" s="370">
        <f t="shared" si="2"/>
        <v>0.9164351852</v>
      </c>
      <c r="C7921" s="56">
        <f t="shared" si="3"/>
        <v>79180</v>
      </c>
      <c r="D7921" s="56">
        <v>3.03</v>
      </c>
    </row>
    <row r="7922" ht="15.75" customHeight="1">
      <c r="B7922" s="370">
        <f t="shared" si="2"/>
        <v>0.9165509259</v>
      </c>
      <c r="C7922" s="56">
        <f t="shared" si="3"/>
        <v>79190</v>
      </c>
      <c r="D7922" s="56">
        <v>3.199</v>
      </c>
    </row>
    <row r="7923" ht="15.75" customHeight="1">
      <c r="B7923" s="370">
        <f t="shared" si="2"/>
        <v>0.9166666667</v>
      </c>
      <c r="C7923" s="56">
        <f t="shared" si="3"/>
        <v>79200</v>
      </c>
      <c r="D7923" s="56">
        <v>3.071</v>
      </c>
    </row>
    <row r="7924" ht="15.75" customHeight="1">
      <c r="B7924" s="370">
        <f t="shared" si="2"/>
        <v>0.9167824074</v>
      </c>
      <c r="C7924" s="56">
        <f t="shared" si="3"/>
        <v>79210</v>
      </c>
      <c r="D7924" s="56">
        <v>2.916</v>
      </c>
    </row>
    <row r="7925" ht="15.75" customHeight="1">
      <c r="B7925" s="370">
        <f t="shared" si="2"/>
        <v>0.9168981481</v>
      </c>
      <c r="C7925" s="56">
        <f t="shared" si="3"/>
        <v>79220</v>
      </c>
      <c r="D7925" s="56">
        <v>2.844</v>
      </c>
    </row>
    <row r="7926" ht="15.75" customHeight="1">
      <c r="B7926" s="370">
        <f t="shared" si="2"/>
        <v>0.9170138889</v>
      </c>
      <c r="C7926" s="56">
        <f t="shared" si="3"/>
        <v>79230</v>
      </c>
      <c r="D7926" s="56">
        <v>2.923</v>
      </c>
    </row>
    <row r="7927" ht="15.75" customHeight="1">
      <c r="B7927" s="370">
        <f t="shared" si="2"/>
        <v>0.9171296296</v>
      </c>
      <c r="C7927" s="56">
        <f t="shared" si="3"/>
        <v>79240</v>
      </c>
      <c r="D7927" s="56">
        <v>2.837</v>
      </c>
    </row>
    <row r="7928" ht="15.75" customHeight="1">
      <c r="B7928" s="370">
        <f t="shared" si="2"/>
        <v>0.9172453704</v>
      </c>
      <c r="C7928" s="56">
        <f t="shared" si="3"/>
        <v>79250</v>
      </c>
      <c r="D7928" s="56">
        <v>2.738</v>
      </c>
    </row>
    <row r="7929" ht="15.75" customHeight="1">
      <c r="B7929" s="370">
        <f t="shared" si="2"/>
        <v>0.9173611111</v>
      </c>
      <c r="C7929" s="56">
        <f t="shared" si="3"/>
        <v>79260</v>
      </c>
      <c r="D7929" s="56">
        <v>2.573</v>
      </c>
    </row>
    <row r="7930" ht="15.75" customHeight="1">
      <c r="B7930" s="370">
        <f t="shared" si="2"/>
        <v>0.9174768519</v>
      </c>
      <c r="C7930" s="56">
        <f t="shared" si="3"/>
        <v>79270</v>
      </c>
      <c r="D7930" s="56">
        <v>2.398</v>
      </c>
    </row>
    <row r="7931" ht="15.75" customHeight="1">
      <c r="B7931" s="370">
        <f t="shared" si="2"/>
        <v>0.9175925926</v>
      </c>
      <c r="C7931" s="56">
        <f t="shared" si="3"/>
        <v>79280</v>
      </c>
      <c r="D7931" s="56">
        <v>2.289</v>
      </c>
    </row>
    <row r="7932" ht="15.75" customHeight="1">
      <c r="B7932" s="370">
        <f t="shared" si="2"/>
        <v>0.9177083333</v>
      </c>
      <c r="C7932" s="56">
        <f t="shared" si="3"/>
        <v>79290</v>
      </c>
      <c r="D7932" s="56">
        <v>3.23</v>
      </c>
    </row>
    <row r="7933" ht="15.75" customHeight="1">
      <c r="B7933" s="370">
        <f t="shared" si="2"/>
        <v>0.9178240741</v>
      </c>
      <c r="C7933" s="56">
        <f t="shared" si="3"/>
        <v>79300</v>
      </c>
      <c r="D7933" s="56">
        <v>3.474</v>
      </c>
    </row>
    <row r="7934" ht="15.75" customHeight="1">
      <c r="B7934" s="370">
        <f t="shared" si="2"/>
        <v>0.9179398148</v>
      </c>
      <c r="C7934" s="56">
        <f t="shared" si="3"/>
        <v>79310</v>
      </c>
      <c r="D7934" s="56">
        <v>3.491</v>
      </c>
    </row>
    <row r="7935" ht="15.75" customHeight="1">
      <c r="B7935" s="370">
        <f t="shared" si="2"/>
        <v>0.9180555556</v>
      </c>
      <c r="C7935" s="56">
        <f t="shared" si="3"/>
        <v>79320</v>
      </c>
      <c r="D7935" s="56">
        <v>3.506</v>
      </c>
    </row>
    <row r="7936" ht="15.75" customHeight="1">
      <c r="B7936" s="370">
        <f t="shared" si="2"/>
        <v>0.9181712963</v>
      </c>
      <c r="C7936" s="56">
        <f t="shared" si="3"/>
        <v>79330</v>
      </c>
      <c r="D7936" s="56">
        <v>3.148</v>
      </c>
    </row>
    <row r="7937" ht="15.75" customHeight="1">
      <c r="B7937" s="370">
        <f t="shared" si="2"/>
        <v>0.918287037</v>
      </c>
      <c r="C7937" s="56">
        <f t="shared" si="3"/>
        <v>79340</v>
      </c>
      <c r="D7937" s="56">
        <v>2.406</v>
      </c>
    </row>
    <row r="7938" ht="15.75" customHeight="1">
      <c r="B7938" s="370">
        <f t="shared" si="2"/>
        <v>0.9184027778</v>
      </c>
      <c r="C7938" s="56">
        <f t="shared" si="3"/>
        <v>79350</v>
      </c>
      <c r="D7938" s="56">
        <v>2.005</v>
      </c>
    </row>
    <row r="7939" ht="15.75" customHeight="1">
      <c r="B7939" s="370">
        <f t="shared" si="2"/>
        <v>0.9185185185</v>
      </c>
      <c r="C7939" s="56">
        <f t="shared" si="3"/>
        <v>79360</v>
      </c>
      <c r="D7939" s="56">
        <v>2.36</v>
      </c>
    </row>
    <row r="7940" ht="15.75" customHeight="1">
      <c r="B7940" s="370">
        <f t="shared" si="2"/>
        <v>0.9186342593</v>
      </c>
      <c r="C7940" s="56">
        <f t="shared" si="3"/>
        <v>79370</v>
      </c>
      <c r="D7940" s="56">
        <v>2.724</v>
      </c>
    </row>
    <row r="7941" ht="15.75" customHeight="1">
      <c r="B7941" s="370">
        <f t="shared" si="2"/>
        <v>0.91875</v>
      </c>
      <c r="C7941" s="56">
        <f t="shared" si="3"/>
        <v>79380</v>
      </c>
      <c r="D7941" s="56">
        <v>3.054</v>
      </c>
    </row>
    <row r="7942" ht="15.75" customHeight="1">
      <c r="B7942" s="370">
        <f t="shared" si="2"/>
        <v>0.9188657407</v>
      </c>
      <c r="C7942" s="56">
        <f t="shared" si="3"/>
        <v>79390</v>
      </c>
      <c r="D7942" s="56">
        <v>3.303</v>
      </c>
    </row>
    <row r="7943" ht="15.75" customHeight="1">
      <c r="B7943" s="370">
        <f t="shared" si="2"/>
        <v>0.9189814815</v>
      </c>
      <c r="C7943" s="56">
        <f t="shared" si="3"/>
        <v>79400</v>
      </c>
      <c r="D7943" s="56">
        <v>3.179</v>
      </c>
    </row>
    <row r="7944" ht="15.75" customHeight="1">
      <c r="B7944" s="370">
        <f t="shared" si="2"/>
        <v>0.9190972222</v>
      </c>
      <c r="C7944" s="56">
        <f t="shared" si="3"/>
        <v>79410</v>
      </c>
      <c r="D7944" s="56">
        <v>3.144</v>
      </c>
    </row>
    <row r="7945" ht="15.75" customHeight="1">
      <c r="B7945" s="370">
        <f t="shared" si="2"/>
        <v>0.919212963</v>
      </c>
      <c r="C7945" s="56">
        <f t="shared" si="3"/>
        <v>79420</v>
      </c>
      <c r="D7945" s="56">
        <v>2.841</v>
      </c>
    </row>
    <row r="7946" ht="15.75" customHeight="1">
      <c r="B7946" s="370">
        <f t="shared" si="2"/>
        <v>0.9193287037</v>
      </c>
      <c r="C7946" s="56">
        <f t="shared" si="3"/>
        <v>79430</v>
      </c>
      <c r="D7946" s="56">
        <v>2.781</v>
      </c>
    </row>
    <row r="7947" ht="15.75" customHeight="1">
      <c r="B7947" s="370">
        <f t="shared" si="2"/>
        <v>0.9194444444</v>
      </c>
      <c r="C7947" s="56">
        <f t="shared" si="3"/>
        <v>79440</v>
      </c>
      <c r="D7947" s="56">
        <v>2.769</v>
      </c>
    </row>
    <row r="7948" ht="15.75" customHeight="1">
      <c r="B7948" s="370">
        <f t="shared" si="2"/>
        <v>0.9195601852</v>
      </c>
      <c r="C7948" s="56">
        <f t="shared" si="3"/>
        <v>79450</v>
      </c>
      <c r="D7948" s="56">
        <v>2.757</v>
      </c>
    </row>
    <row r="7949" ht="15.75" customHeight="1">
      <c r="B7949" s="370">
        <f t="shared" si="2"/>
        <v>0.9196759259</v>
      </c>
      <c r="C7949" s="56">
        <f t="shared" si="3"/>
        <v>79460</v>
      </c>
      <c r="D7949" s="56">
        <v>2.663</v>
      </c>
    </row>
    <row r="7950" ht="15.75" customHeight="1">
      <c r="B7950" s="370">
        <f t="shared" si="2"/>
        <v>0.9197916667</v>
      </c>
      <c r="C7950" s="56">
        <f t="shared" si="3"/>
        <v>79470</v>
      </c>
      <c r="D7950" s="56">
        <v>2.555</v>
      </c>
    </row>
    <row r="7951" ht="15.75" customHeight="1">
      <c r="B7951" s="370">
        <f t="shared" si="2"/>
        <v>0.9199074074</v>
      </c>
      <c r="C7951" s="56">
        <f t="shared" si="3"/>
        <v>79480</v>
      </c>
      <c r="D7951" s="56">
        <v>2.29</v>
      </c>
    </row>
    <row r="7952" ht="15.75" customHeight="1">
      <c r="B7952" s="370">
        <f t="shared" si="2"/>
        <v>0.9200231481</v>
      </c>
      <c r="C7952" s="56">
        <f t="shared" si="3"/>
        <v>79490</v>
      </c>
      <c r="D7952" s="56">
        <v>3.1</v>
      </c>
    </row>
    <row r="7953" ht="15.75" customHeight="1">
      <c r="B7953" s="370">
        <f t="shared" si="2"/>
        <v>0.9201388889</v>
      </c>
      <c r="C7953" s="56">
        <f t="shared" si="3"/>
        <v>79500</v>
      </c>
      <c r="D7953" s="56">
        <v>3.402</v>
      </c>
    </row>
    <row r="7954" ht="15.75" customHeight="1">
      <c r="B7954" s="370">
        <f t="shared" si="2"/>
        <v>0.9202546296</v>
      </c>
      <c r="C7954" s="56">
        <f t="shared" si="3"/>
        <v>79510</v>
      </c>
      <c r="D7954" s="56">
        <v>3.443</v>
      </c>
    </row>
    <row r="7955" ht="15.75" customHeight="1">
      <c r="B7955" s="370">
        <f t="shared" si="2"/>
        <v>0.9203703704</v>
      </c>
      <c r="C7955" s="56">
        <f t="shared" si="3"/>
        <v>79520</v>
      </c>
      <c r="D7955" s="56">
        <v>3.482</v>
      </c>
    </row>
    <row r="7956" ht="15.75" customHeight="1">
      <c r="B7956" s="370">
        <f t="shared" si="2"/>
        <v>0.9204861111</v>
      </c>
      <c r="C7956" s="56">
        <f t="shared" si="3"/>
        <v>79530</v>
      </c>
      <c r="D7956" s="56">
        <v>3.21</v>
      </c>
    </row>
    <row r="7957" ht="15.75" customHeight="1">
      <c r="B7957" s="370">
        <f t="shared" si="2"/>
        <v>0.9206018519</v>
      </c>
      <c r="C7957" s="56">
        <f t="shared" si="3"/>
        <v>79540</v>
      </c>
      <c r="D7957" s="56">
        <v>2.525</v>
      </c>
    </row>
    <row r="7958" ht="15.75" customHeight="1">
      <c r="B7958" s="370">
        <f t="shared" si="2"/>
        <v>0.9207175926</v>
      </c>
      <c r="C7958" s="56">
        <f t="shared" si="3"/>
        <v>79550</v>
      </c>
      <c r="D7958" s="56">
        <v>2.047</v>
      </c>
    </row>
    <row r="7959" ht="15.75" customHeight="1">
      <c r="B7959" s="370">
        <f t="shared" si="2"/>
        <v>0.9208333333</v>
      </c>
      <c r="C7959" s="56">
        <f t="shared" si="3"/>
        <v>79560</v>
      </c>
      <c r="D7959" s="56">
        <v>2.132</v>
      </c>
    </row>
    <row r="7960" ht="15.75" customHeight="1">
      <c r="B7960" s="370">
        <f t="shared" si="2"/>
        <v>0.9209490741</v>
      </c>
      <c r="C7960" s="56">
        <f t="shared" si="3"/>
        <v>79570</v>
      </c>
      <c r="D7960" s="56">
        <v>2.616</v>
      </c>
    </row>
    <row r="7961" ht="15.75" customHeight="1">
      <c r="B7961" s="370">
        <f t="shared" si="2"/>
        <v>0.9210648148</v>
      </c>
      <c r="C7961" s="56">
        <f t="shared" si="3"/>
        <v>79580</v>
      </c>
      <c r="D7961" s="56">
        <v>3.043</v>
      </c>
    </row>
    <row r="7962" ht="15.75" customHeight="1">
      <c r="B7962" s="370">
        <f t="shared" si="2"/>
        <v>0.9211805556</v>
      </c>
      <c r="C7962" s="56">
        <f t="shared" si="3"/>
        <v>79590</v>
      </c>
      <c r="D7962" s="56">
        <v>3.39</v>
      </c>
    </row>
    <row r="7963" ht="15.75" customHeight="1">
      <c r="B7963" s="370">
        <f t="shared" si="2"/>
        <v>0.9212962963</v>
      </c>
      <c r="C7963" s="56">
        <f t="shared" si="3"/>
        <v>79600</v>
      </c>
      <c r="D7963" s="56">
        <v>3.333</v>
      </c>
    </row>
    <row r="7964" ht="15.75" customHeight="1">
      <c r="B7964" s="370">
        <f t="shared" si="2"/>
        <v>0.921412037</v>
      </c>
      <c r="C7964" s="56">
        <f t="shared" si="3"/>
        <v>79610</v>
      </c>
      <c r="D7964" s="56">
        <v>3.27</v>
      </c>
    </row>
    <row r="7965" ht="15.75" customHeight="1">
      <c r="B7965" s="370">
        <f t="shared" si="2"/>
        <v>0.9215277778</v>
      </c>
      <c r="C7965" s="56">
        <f t="shared" si="3"/>
        <v>79620</v>
      </c>
      <c r="D7965" s="56">
        <v>3.056</v>
      </c>
    </row>
    <row r="7966" ht="15.75" customHeight="1">
      <c r="B7966" s="370">
        <f t="shared" si="2"/>
        <v>0.9216435185</v>
      </c>
      <c r="C7966" s="56">
        <f t="shared" si="3"/>
        <v>79630</v>
      </c>
      <c r="D7966" s="56">
        <v>2.556</v>
      </c>
    </row>
    <row r="7967" ht="15.75" customHeight="1">
      <c r="B7967" s="370">
        <f t="shared" si="2"/>
        <v>0.9217592593</v>
      </c>
      <c r="C7967" s="56">
        <f t="shared" si="3"/>
        <v>79640</v>
      </c>
      <c r="D7967" s="56">
        <v>2.667</v>
      </c>
    </row>
    <row r="7968" ht="15.75" customHeight="1">
      <c r="B7968" s="370">
        <f t="shared" si="2"/>
        <v>0.921875</v>
      </c>
      <c r="C7968" s="56">
        <f t="shared" si="3"/>
        <v>79650</v>
      </c>
      <c r="D7968" s="56">
        <v>2.741</v>
      </c>
    </row>
    <row r="7969" ht="15.75" customHeight="1">
      <c r="B7969" s="370">
        <f t="shared" si="2"/>
        <v>0.9219907407</v>
      </c>
      <c r="C7969" s="56">
        <f t="shared" si="3"/>
        <v>79660</v>
      </c>
      <c r="D7969" s="56">
        <v>2.71</v>
      </c>
    </row>
    <row r="7970" ht="15.75" customHeight="1">
      <c r="B7970" s="370">
        <f t="shared" si="2"/>
        <v>0.9221064815</v>
      </c>
      <c r="C7970" s="56">
        <f t="shared" si="3"/>
        <v>79670</v>
      </c>
      <c r="D7970" s="56">
        <v>2.676</v>
      </c>
    </row>
    <row r="7971" ht="15.75" customHeight="1">
      <c r="B7971" s="370">
        <f t="shared" si="2"/>
        <v>0.9222222222</v>
      </c>
      <c r="C7971" s="56">
        <f t="shared" si="3"/>
        <v>79680</v>
      </c>
      <c r="D7971" s="56">
        <v>2.412</v>
      </c>
    </row>
    <row r="7972" ht="15.75" customHeight="1">
      <c r="B7972" s="370">
        <f t="shared" si="2"/>
        <v>0.922337963</v>
      </c>
      <c r="C7972" s="56">
        <f t="shared" si="3"/>
        <v>79690</v>
      </c>
      <c r="D7972" s="56">
        <v>2.936</v>
      </c>
    </row>
    <row r="7973" ht="15.75" customHeight="1">
      <c r="B7973" s="370">
        <f t="shared" si="2"/>
        <v>0.9224537037</v>
      </c>
      <c r="C7973" s="56">
        <f t="shared" si="3"/>
        <v>79700</v>
      </c>
      <c r="D7973" s="56">
        <v>3.298</v>
      </c>
    </row>
    <row r="7974" ht="15.75" customHeight="1">
      <c r="B7974" s="370">
        <f t="shared" si="2"/>
        <v>0.9225694444</v>
      </c>
      <c r="C7974" s="56">
        <f t="shared" si="3"/>
        <v>79710</v>
      </c>
      <c r="D7974" s="56">
        <v>3.357</v>
      </c>
    </row>
    <row r="7975" ht="15.75" customHeight="1">
      <c r="B7975" s="370">
        <f t="shared" si="2"/>
        <v>0.9226851852</v>
      </c>
      <c r="C7975" s="56">
        <f t="shared" si="3"/>
        <v>79720</v>
      </c>
      <c r="D7975" s="56">
        <v>3.436</v>
      </c>
    </row>
    <row r="7976" ht="15.75" customHeight="1">
      <c r="B7976" s="370">
        <f t="shared" si="2"/>
        <v>0.9228009259</v>
      </c>
      <c r="C7976" s="56">
        <f t="shared" si="3"/>
        <v>79730</v>
      </c>
      <c r="D7976" s="56">
        <v>3.243</v>
      </c>
    </row>
    <row r="7977" ht="15.75" customHeight="1">
      <c r="B7977" s="370">
        <f t="shared" si="2"/>
        <v>0.9229166667</v>
      </c>
      <c r="C7977" s="56">
        <f t="shared" si="3"/>
        <v>79740</v>
      </c>
      <c r="D7977" s="56">
        <v>2.696</v>
      </c>
    </row>
    <row r="7978" ht="15.75" customHeight="1">
      <c r="B7978" s="370">
        <f t="shared" si="2"/>
        <v>0.9230324074</v>
      </c>
      <c r="C7978" s="56">
        <f t="shared" si="3"/>
        <v>79750</v>
      </c>
      <c r="D7978" s="56">
        <v>2.235</v>
      </c>
    </row>
    <row r="7979" ht="15.75" customHeight="1">
      <c r="B7979" s="370">
        <f t="shared" si="2"/>
        <v>0.9231481481</v>
      </c>
      <c r="C7979" s="56">
        <f t="shared" si="3"/>
        <v>79760</v>
      </c>
      <c r="D7979" s="56">
        <v>1.994</v>
      </c>
    </row>
    <row r="7980" ht="15.75" customHeight="1">
      <c r="B7980" s="370">
        <f t="shared" si="2"/>
        <v>0.9232638889</v>
      </c>
      <c r="C7980" s="56">
        <f t="shared" si="3"/>
        <v>79770</v>
      </c>
      <c r="D7980" s="56">
        <v>2.475</v>
      </c>
    </row>
    <row r="7981" ht="15.75" customHeight="1">
      <c r="B7981" s="370">
        <f t="shared" si="2"/>
        <v>0.9233796296</v>
      </c>
      <c r="C7981" s="56">
        <f t="shared" si="3"/>
        <v>79780</v>
      </c>
      <c r="D7981" s="56">
        <v>2.998</v>
      </c>
    </row>
    <row r="7982" ht="15.75" customHeight="1">
      <c r="B7982" s="370">
        <f t="shared" si="2"/>
        <v>0.9234953704</v>
      </c>
      <c r="C7982" s="56">
        <f t="shared" si="3"/>
        <v>79790</v>
      </c>
      <c r="D7982" s="56">
        <v>2.87</v>
      </c>
    </row>
    <row r="7983" ht="15.75" customHeight="1">
      <c r="B7983" s="370">
        <f t="shared" si="2"/>
        <v>0.9236111111</v>
      </c>
      <c r="C7983" s="56">
        <f t="shared" si="3"/>
        <v>79800</v>
      </c>
      <c r="D7983" s="56">
        <v>0.0</v>
      </c>
    </row>
    <row r="7984" ht="15.75" customHeight="1">
      <c r="B7984" s="370">
        <f t="shared" si="2"/>
        <v>0.9237268519</v>
      </c>
      <c r="C7984" s="56">
        <f t="shared" si="3"/>
        <v>79810</v>
      </c>
      <c r="D7984" s="56">
        <v>0.0</v>
      </c>
    </row>
    <row r="7985" ht="15.75" customHeight="1">
      <c r="B7985" s="370">
        <f t="shared" si="2"/>
        <v>0.9238425926</v>
      </c>
      <c r="C7985" s="56">
        <f t="shared" si="3"/>
        <v>79820</v>
      </c>
      <c r="D7985" s="56">
        <v>0.0</v>
      </c>
    </row>
    <row r="7986" ht="15.75" customHeight="1">
      <c r="B7986" s="370">
        <f t="shared" si="2"/>
        <v>0.9239583333</v>
      </c>
      <c r="C7986" s="56">
        <f t="shared" si="3"/>
        <v>79830</v>
      </c>
      <c r="D7986" s="56">
        <v>0.0</v>
      </c>
    </row>
    <row r="7987" ht="15.75" customHeight="1">
      <c r="B7987" s="370">
        <f t="shared" si="2"/>
        <v>0.9240740741</v>
      </c>
      <c r="C7987" s="56">
        <f t="shared" si="3"/>
        <v>79840</v>
      </c>
      <c r="D7987" s="56">
        <v>0.0</v>
      </c>
    </row>
    <row r="7988" ht="15.75" customHeight="1">
      <c r="B7988" s="370">
        <f t="shared" si="2"/>
        <v>0.9241898148</v>
      </c>
      <c r="C7988" s="56">
        <f t="shared" si="3"/>
        <v>79850</v>
      </c>
      <c r="D7988" s="56">
        <v>0.0</v>
      </c>
    </row>
    <row r="7989" ht="15.75" customHeight="1">
      <c r="B7989" s="370">
        <f t="shared" si="2"/>
        <v>0.9243055556</v>
      </c>
      <c r="C7989" s="56">
        <f t="shared" si="3"/>
        <v>79860</v>
      </c>
      <c r="D7989" s="56">
        <v>0.0</v>
      </c>
    </row>
    <row r="7990" ht="15.75" customHeight="1">
      <c r="B7990" s="370">
        <f t="shared" si="2"/>
        <v>0.9244212963</v>
      </c>
      <c r="C7990" s="56">
        <f t="shared" si="3"/>
        <v>79870</v>
      </c>
      <c r="D7990" s="56">
        <v>0.0</v>
      </c>
    </row>
    <row r="7991" ht="15.75" customHeight="1">
      <c r="B7991" s="370">
        <f t="shared" si="2"/>
        <v>0.924537037</v>
      </c>
      <c r="C7991" s="56">
        <f t="shared" si="3"/>
        <v>79880</v>
      </c>
      <c r="D7991" s="56">
        <v>0.0</v>
      </c>
    </row>
    <row r="7992" ht="15.75" customHeight="1">
      <c r="B7992" s="370">
        <f t="shared" si="2"/>
        <v>0.9246527778</v>
      </c>
      <c r="C7992" s="56">
        <f t="shared" si="3"/>
        <v>79890</v>
      </c>
      <c r="D7992" s="56">
        <v>0.0</v>
      </c>
    </row>
    <row r="7993" ht="15.75" customHeight="1">
      <c r="B7993" s="370">
        <f t="shared" si="2"/>
        <v>0.9247685185</v>
      </c>
      <c r="C7993" s="56">
        <f t="shared" si="3"/>
        <v>79900</v>
      </c>
      <c r="D7993" s="56">
        <v>0.0</v>
      </c>
    </row>
    <row r="7994" ht="15.75" customHeight="1">
      <c r="B7994" s="370">
        <f t="shared" si="2"/>
        <v>0.9248842593</v>
      </c>
      <c r="C7994" s="56">
        <f t="shared" si="3"/>
        <v>79910</v>
      </c>
      <c r="D7994" s="56">
        <v>0.0</v>
      </c>
    </row>
    <row r="7995" ht="15.75" customHeight="1">
      <c r="B7995" s="370">
        <f t="shared" si="2"/>
        <v>0.925</v>
      </c>
      <c r="C7995" s="56">
        <f t="shared" si="3"/>
        <v>79920</v>
      </c>
      <c r="D7995" s="56">
        <v>0.0</v>
      </c>
    </row>
    <row r="7996" ht="15.75" customHeight="1">
      <c r="B7996" s="370">
        <f t="shared" si="2"/>
        <v>0.9251157407</v>
      </c>
      <c r="C7996" s="56">
        <f t="shared" si="3"/>
        <v>79930</v>
      </c>
      <c r="D7996" s="56">
        <v>0.0</v>
      </c>
    </row>
    <row r="7997" ht="15.75" customHeight="1">
      <c r="B7997" s="370">
        <f t="shared" si="2"/>
        <v>0.9252314815</v>
      </c>
      <c r="C7997" s="56">
        <f t="shared" si="3"/>
        <v>79940</v>
      </c>
      <c r="D7997" s="56">
        <v>0.0</v>
      </c>
    </row>
    <row r="7998" ht="15.75" customHeight="1">
      <c r="B7998" s="370">
        <f t="shared" si="2"/>
        <v>0.9253472222</v>
      </c>
      <c r="C7998" s="56">
        <f t="shared" si="3"/>
        <v>79950</v>
      </c>
      <c r="D7998" s="56">
        <v>0.0</v>
      </c>
    </row>
    <row r="7999" ht="15.75" customHeight="1">
      <c r="B7999" s="370">
        <f t="shared" si="2"/>
        <v>0.925462963</v>
      </c>
      <c r="C7999" s="56">
        <f t="shared" si="3"/>
        <v>79960</v>
      </c>
      <c r="D7999" s="56">
        <v>0.0</v>
      </c>
    </row>
    <row r="8000" ht="15.75" customHeight="1">
      <c r="B8000" s="370">
        <f t="shared" si="2"/>
        <v>0.9255787037</v>
      </c>
      <c r="C8000" s="56">
        <f t="shared" si="3"/>
        <v>79970</v>
      </c>
      <c r="D8000" s="56">
        <v>0.0</v>
      </c>
    </row>
    <row r="8001" ht="15.75" customHeight="1">
      <c r="B8001" s="370">
        <f t="shared" si="2"/>
        <v>0.9256944444</v>
      </c>
      <c r="C8001" s="56">
        <f t="shared" si="3"/>
        <v>79980</v>
      </c>
      <c r="D8001" s="56">
        <v>0.0</v>
      </c>
    </row>
    <row r="8002" ht="15.75" customHeight="1">
      <c r="B8002" s="370">
        <f t="shared" si="2"/>
        <v>0.9258101852</v>
      </c>
      <c r="C8002" s="56">
        <f t="shared" si="3"/>
        <v>79990</v>
      </c>
      <c r="D8002" s="56">
        <v>0.0</v>
      </c>
    </row>
    <row r="8003" ht="15.75" customHeight="1">
      <c r="B8003" s="370">
        <f t="shared" si="2"/>
        <v>0.9259259259</v>
      </c>
      <c r="C8003" s="56">
        <f t="shared" si="3"/>
        <v>80000</v>
      </c>
      <c r="D8003" s="56">
        <v>0.0</v>
      </c>
    </row>
    <row r="8004" ht="15.75" customHeight="1">
      <c r="B8004" s="370">
        <f t="shared" si="2"/>
        <v>0.9260416667</v>
      </c>
      <c r="C8004" s="56">
        <f t="shared" si="3"/>
        <v>80010</v>
      </c>
      <c r="D8004" s="56">
        <v>0.0</v>
      </c>
    </row>
    <row r="8005" ht="15.75" customHeight="1">
      <c r="B8005" s="370">
        <f t="shared" si="2"/>
        <v>0.9261574074</v>
      </c>
      <c r="C8005" s="56">
        <f t="shared" si="3"/>
        <v>80020</v>
      </c>
      <c r="D8005" s="56">
        <v>0.0</v>
      </c>
    </row>
    <row r="8006" ht="15.75" customHeight="1">
      <c r="B8006" s="370">
        <f t="shared" si="2"/>
        <v>0.9262731481</v>
      </c>
      <c r="C8006" s="56">
        <f t="shared" si="3"/>
        <v>80030</v>
      </c>
      <c r="D8006" s="56">
        <v>0.0</v>
      </c>
    </row>
    <row r="8007" ht="15.75" customHeight="1">
      <c r="B8007" s="370">
        <f t="shared" si="2"/>
        <v>0.9263888889</v>
      </c>
      <c r="C8007" s="56">
        <f t="shared" si="3"/>
        <v>80040</v>
      </c>
      <c r="D8007" s="56">
        <v>0.0</v>
      </c>
    </row>
    <row r="8008" ht="15.75" customHeight="1">
      <c r="B8008" s="370">
        <f t="shared" si="2"/>
        <v>0.9265046296</v>
      </c>
      <c r="C8008" s="56">
        <f t="shared" si="3"/>
        <v>80050</v>
      </c>
      <c r="D8008" s="56">
        <v>0.0</v>
      </c>
    </row>
    <row r="8009" ht="15.75" customHeight="1">
      <c r="B8009" s="370">
        <f t="shared" si="2"/>
        <v>0.9266203704</v>
      </c>
      <c r="C8009" s="56">
        <f t="shared" si="3"/>
        <v>80060</v>
      </c>
      <c r="D8009" s="56">
        <v>0.0</v>
      </c>
    </row>
    <row r="8010" ht="15.75" customHeight="1">
      <c r="B8010" s="370">
        <f t="shared" si="2"/>
        <v>0.9267361111</v>
      </c>
      <c r="C8010" s="56">
        <f t="shared" si="3"/>
        <v>80070</v>
      </c>
      <c r="D8010" s="56">
        <v>0.0</v>
      </c>
    </row>
    <row r="8011" ht="15.75" customHeight="1">
      <c r="B8011" s="370">
        <f t="shared" si="2"/>
        <v>0.9268518519</v>
      </c>
      <c r="C8011" s="56">
        <f t="shared" si="3"/>
        <v>80080</v>
      </c>
      <c r="D8011" s="56">
        <v>0.0</v>
      </c>
    </row>
    <row r="8012" ht="15.75" customHeight="1">
      <c r="B8012" s="370">
        <f t="shared" si="2"/>
        <v>0.9269675926</v>
      </c>
      <c r="C8012" s="56">
        <f t="shared" si="3"/>
        <v>80090</v>
      </c>
      <c r="D8012" s="56">
        <v>0.0</v>
      </c>
    </row>
    <row r="8013" ht="15.75" customHeight="1">
      <c r="B8013" s="370">
        <f t="shared" si="2"/>
        <v>0.9270833333</v>
      </c>
      <c r="C8013" s="56">
        <f t="shared" si="3"/>
        <v>80100</v>
      </c>
      <c r="D8013" s="56">
        <v>0.0</v>
      </c>
    </row>
    <row r="8014" ht="15.75" customHeight="1">
      <c r="B8014" s="370">
        <f t="shared" si="2"/>
        <v>0.9271990741</v>
      </c>
      <c r="C8014" s="56">
        <f t="shared" si="3"/>
        <v>80110</v>
      </c>
      <c r="D8014" s="56">
        <v>0.0</v>
      </c>
    </row>
    <row r="8015" ht="15.75" customHeight="1">
      <c r="B8015" s="370">
        <f t="shared" si="2"/>
        <v>0.9273148148</v>
      </c>
      <c r="C8015" s="56">
        <f t="shared" si="3"/>
        <v>80120</v>
      </c>
      <c r="D8015" s="56">
        <v>0.0</v>
      </c>
    </row>
    <row r="8016" ht="15.75" customHeight="1">
      <c r="B8016" s="370">
        <f t="shared" si="2"/>
        <v>0.9274305556</v>
      </c>
      <c r="C8016" s="56">
        <f t="shared" si="3"/>
        <v>80130</v>
      </c>
      <c r="D8016" s="56">
        <v>0.0</v>
      </c>
    </row>
    <row r="8017" ht="15.75" customHeight="1">
      <c r="B8017" s="370">
        <f t="shared" si="2"/>
        <v>0.9275462963</v>
      </c>
      <c r="C8017" s="56">
        <f t="shared" si="3"/>
        <v>80140</v>
      </c>
      <c r="D8017" s="56">
        <v>0.0</v>
      </c>
    </row>
    <row r="8018" ht="15.75" customHeight="1">
      <c r="B8018" s="370">
        <f t="shared" si="2"/>
        <v>0.927662037</v>
      </c>
      <c r="C8018" s="56">
        <f t="shared" si="3"/>
        <v>80150</v>
      </c>
      <c r="D8018" s="56">
        <v>0.0</v>
      </c>
    </row>
    <row r="8019" ht="15.75" customHeight="1">
      <c r="B8019" s="370">
        <f t="shared" si="2"/>
        <v>0.9277777778</v>
      </c>
      <c r="C8019" s="56">
        <f t="shared" si="3"/>
        <v>80160</v>
      </c>
      <c r="D8019" s="56">
        <v>0.0</v>
      </c>
    </row>
    <row r="8020" ht="15.75" customHeight="1">
      <c r="B8020" s="370">
        <f t="shared" si="2"/>
        <v>0.9278935185</v>
      </c>
      <c r="C8020" s="56">
        <f t="shared" si="3"/>
        <v>80170</v>
      </c>
      <c r="D8020" s="56">
        <v>0.0</v>
      </c>
    </row>
    <row r="8021" ht="15.75" customHeight="1">
      <c r="B8021" s="370">
        <f t="shared" si="2"/>
        <v>0.9280092593</v>
      </c>
      <c r="C8021" s="56">
        <f t="shared" si="3"/>
        <v>80180</v>
      </c>
      <c r="D8021" s="56">
        <v>0.0</v>
      </c>
    </row>
    <row r="8022" ht="15.75" customHeight="1">
      <c r="B8022" s="370">
        <f t="shared" si="2"/>
        <v>0.928125</v>
      </c>
      <c r="C8022" s="56">
        <f t="shared" si="3"/>
        <v>80190</v>
      </c>
      <c r="D8022" s="56">
        <v>0.0</v>
      </c>
    </row>
    <row r="8023" ht="15.75" customHeight="1">
      <c r="B8023" s="370">
        <f t="shared" si="2"/>
        <v>0.9282407407</v>
      </c>
      <c r="C8023" s="56">
        <f t="shared" si="3"/>
        <v>80200</v>
      </c>
      <c r="D8023" s="56">
        <v>0.0</v>
      </c>
    </row>
    <row r="8024" ht="15.75" customHeight="1">
      <c r="B8024" s="370">
        <f t="shared" si="2"/>
        <v>0.9283564815</v>
      </c>
      <c r="C8024" s="56">
        <f t="shared" si="3"/>
        <v>80210</v>
      </c>
      <c r="D8024" s="56">
        <v>0.0</v>
      </c>
    </row>
    <row r="8025" ht="15.75" customHeight="1">
      <c r="B8025" s="370">
        <f t="shared" si="2"/>
        <v>0.9284722222</v>
      </c>
      <c r="C8025" s="56">
        <f t="shared" si="3"/>
        <v>80220</v>
      </c>
      <c r="D8025" s="56">
        <v>0.0</v>
      </c>
    </row>
    <row r="8026" ht="15.75" customHeight="1">
      <c r="B8026" s="370">
        <f t="shared" si="2"/>
        <v>0.928587963</v>
      </c>
      <c r="C8026" s="56">
        <f t="shared" si="3"/>
        <v>80230</v>
      </c>
      <c r="D8026" s="56">
        <v>0.0</v>
      </c>
    </row>
    <row r="8027" ht="15.75" customHeight="1">
      <c r="B8027" s="370">
        <f t="shared" si="2"/>
        <v>0.9287037037</v>
      </c>
      <c r="C8027" s="56">
        <f t="shared" si="3"/>
        <v>80240</v>
      </c>
      <c r="D8027" s="56">
        <v>0.0</v>
      </c>
    </row>
    <row r="8028" ht="15.75" customHeight="1">
      <c r="B8028" s="370">
        <f t="shared" si="2"/>
        <v>0.9288194444</v>
      </c>
      <c r="C8028" s="56">
        <f t="shared" si="3"/>
        <v>80250</v>
      </c>
      <c r="D8028" s="56">
        <v>0.0</v>
      </c>
    </row>
    <row r="8029" ht="15.75" customHeight="1">
      <c r="B8029" s="370">
        <f t="shared" si="2"/>
        <v>0.9289351852</v>
      </c>
      <c r="C8029" s="56">
        <f t="shared" si="3"/>
        <v>80260</v>
      </c>
      <c r="D8029" s="56">
        <v>0.0</v>
      </c>
    </row>
    <row r="8030" ht="15.75" customHeight="1">
      <c r="B8030" s="370">
        <f t="shared" si="2"/>
        <v>0.9290509259</v>
      </c>
      <c r="C8030" s="56">
        <f t="shared" si="3"/>
        <v>80270</v>
      </c>
      <c r="D8030" s="56">
        <v>0.0</v>
      </c>
    </row>
    <row r="8031" ht="15.75" customHeight="1">
      <c r="B8031" s="370">
        <f t="shared" si="2"/>
        <v>0.9291666667</v>
      </c>
      <c r="C8031" s="56">
        <f t="shared" si="3"/>
        <v>80280</v>
      </c>
      <c r="D8031" s="56">
        <v>0.0</v>
      </c>
    </row>
    <row r="8032" ht="15.75" customHeight="1">
      <c r="B8032" s="370">
        <f t="shared" si="2"/>
        <v>0.9292824074</v>
      </c>
      <c r="C8032" s="56">
        <f t="shared" si="3"/>
        <v>80290</v>
      </c>
      <c r="D8032" s="56">
        <v>0.0</v>
      </c>
    </row>
    <row r="8033" ht="15.75" customHeight="1">
      <c r="B8033" s="370">
        <f t="shared" si="2"/>
        <v>0.9293981481</v>
      </c>
      <c r="C8033" s="56">
        <f t="shared" si="3"/>
        <v>80300</v>
      </c>
      <c r="D8033" s="56">
        <v>0.0</v>
      </c>
    </row>
    <row r="8034" ht="15.75" customHeight="1">
      <c r="B8034" s="370">
        <f t="shared" si="2"/>
        <v>0.9295138889</v>
      </c>
      <c r="C8034" s="56">
        <f t="shared" si="3"/>
        <v>80310</v>
      </c>
      <c r="D8034" s="56">
        <v>0.0</v>
      </c>
    </row>
    <row r="8035" ht="15.75" customHeight="1">
      <c r="B8035" s="370">
        <f t="shared" si="2"/>
        <v>0.9296296296</v>
      </c>
      <c r="C8035" s="56">
        <f t="shared" si="3"/>
        <v>80320</v>
      </c>
      <c r="D8035" s="56">
        <v>0.0</v>
      </c>
    </row>
    <row r="8036" ht="15.75" customHeight="1">
      <c r="B8036" s="370">
        <f t="shared" si="2"/>
        <v>0.9297453704</v>
      </c>
      <c r="C8036" s="56">
        <f t="shared" si="3"/>
        <v>80330</v>
      </c>
      <c r="D8036" s="56">
        <v>0.0</v>
      </c>
    </row>
    <row r="8037" ht="15.75" customHeight="1">
      <c r="B8037" s="370">
        <f t="shared" si="2"/>
        <v>0.9298611111</v>
      </c>
      <c r="C8037" s="56">
        <f t="shared" si="3"/>
        <v>80340</v>
      </c>
      <c r="D8037" s="56">
        <v>0.0</v>
      </c>
    </row>
    <row r="8038" ht="15.75" customHeight="1">
      <c r="B8038" s="370">
        <f t="shared" si="2"/>
        <v>0.9299768519</v>
      </c>
      <c r="C8038" s="56">
        <f t="shared" si="3"/>
        <v>80350</v>
      </c>
      <c r="D8038" s="56">
        <v>0.0</v>
      </c>
    </row>
    <row r="8039" ht="15.75" customHeight="1">
      <c r="B8039" s="370">
        <f t="shared" si="2"/>
        <v>0.9300925926</v>
      </c>
      <c r="C8039" s="56">
        <f t="shared" si="3"/>
        <v>80360</v>
      </c>
      <c r="D8039" s="56">
        <v>0.0</v>
      </c>
    </row>
    <row r="8040" ht="15.75" customHeight="1">
      <c r="B8040" s="370">
        <f t="shared" si="2"/>
        <v>0.9302083333</v>
      </c>
      <c r="C8040" s="56">
        <f t="shared" si="3"/>
        <v>80370</v>
      </c>
      <c r="D8040" s="56">
        <v>0.0</v>
      </c>
    </row>
    <row r="8041" ht="15.75" customHeight="1">
      <c r="B8041" s="370">
        <f t="shared" si="2"/>
        <v>0.9303240741</v>
      </c>
      <c r="C8041" s="56">
        <f t="shared" si="3"/>
        <v>80380</v>
      </c>
      <c r="D8041" s="56">
        <v>0.0</v>
      </c>
    </row>
    <row r="8042" ht="15.75" customHeight="1">
      <c r="B8042" s="370">
        <f t="shared" si="2"/>
        <v>0.9304398148</v>
      </c>
      <c r="C8042" s="56">
        <f t="shared" si="3"/>
        <v>80390</v>
      </c>
      <c r="D8042" s="56">
        <v>0.0</v>
      </c>
    </row>
    <row r="8043" ht="15.75" customHeight="1">
      <c r="B8043" s="370">
        <f t="shared" si="2"/>
        <v>0.9305555556</v>
      </c>
      <c r="C8043" s="56">
        <f t="shared" si="3"/>
        <v>80400</v>
      </c>
      <c r="D8043" s="56">
        <v>0.0</v>
      </c>
    </row>
    <row r="8044" ht="15.75" customHeight="1">
      <c r="B8044" s="370">
        <f t="shared" si="2"/>
        <v>0.9306712963</v>
      </c>
      <c r="C8044" s="56">
        <f t="shared" si="3"/>
        <v>80410</v>
      </c>
      <c r="D8044" s="56">
        <v>0.0</v>
      </c>
    </row>
    <row r="8045" ht="15.75" customHeight="1">
      <c r="B8045" s="370">
        <f t="shared" si="2"/>
        <v>0.930787037</v>
      </c>
      <c r="C8045" s="56">
        <f t="shared" si="3"/>
        <v>80420</v>
      </c>
      <c r="D8045" s="56">
        <v>0.0</v>
      </c>
    </row>
    <row r="8046" ht="15.75" customHeight="1">
      <c r="B8046" s="370">
        <f t="shared" si="2"/>
        <v>0.9309027778</v>
      </c>
      <c r="C8046" s="56">
        <f t="shared" si="3"/>
        <v>80430</v>
      </c>
      <c r="D8046" s="56">
        <v>0.0</v>
      </c>
    </row>
    <row r="8047" ht="15.75" customHeight="1">
      <c r="B8047" s="370">
        <f t="shared" si="2"/>
        <v>0.9310185185</v>
      </c>
      <c r="C8047" s="56">
        <f t="shared" si="3"/>
        <v>80440</v>
      </c>
      <c r="D8047" s="56">
        <v>0.0</v>
      </c>
    </row>
    <row r="8048" ht="15.75" customHeight="1">
      <c r="B8048" s="370">
        <f t="shared" si="2"/>
        <v>0.9311342593</v>
      </c>
      <c r="C8048" s="56">
        <f t="shared" si="3"/>
        <v>80450</v>
      </c>
      <c r="D8048" s="56">
        <v>0.0</v>
      </c>
    </row>
    <row r="8049" ht="15.75" customHeight="1">
      <c r="B8049" s="370">
        <f t="shared" si="2"/>
        <v>0.93125</v>
      </c>
      <c r="C8049" s="56">
        <f t="shared" si="3"/>
        <v>80460</v>
      </c>
      <c r="D8049" s="56">
        <v>0.0</v>
      </c>
    </row>
    <row r="8050" ht="15.75" customHeight="1">
      <c r="B8050" s="370">
        <f t="shared" si="2"/>
        <v>0.9313657407</v>
      </c>
      <c r="C8050" s="56">
        <f t="shared" si="3"/>
        <v>80470</v>
      </c>
      <c r="D8050" s="56">
        <v>0.0</v>
      </c>
    </row>
    <row r="8051" ht="15.75" customHeight="1">
      <c r="B8051" s="370">
        <f t="shared" si="2"/>
        <v>0.9314814815</v>
      </c>
      <c r="C8051" s="56">
        <f t="shared" si="3"/>
        <v>80480</v>
      </c>
      <c r="D8051" s="56">
        <v>0.0</v>
      </c>
    </row>
    <row r="8052" ht="15.75" customHeight="1">
      <c r="B8052" s="370">
        <f t="shared" si="2"/>
        <v>0.9315972222</v>
      </c>
      <c r="C8052" s="56">
        <f t="shared" si="3"/>
        <v>80490</v>
      </c>
      <c r="D8052" s="56">
        <v>0.0</v>
      </c>
    </row>
    <row r="8053" ht="15.75" customHeight="1">
      <c r="B8053" s="370">
        <f t="shared" si="2"/>
        <v>0.931712963</v>
      </c>
      <c r="C8053" s="56">
        <f t="shared" si="3"/>
        <v>80500</v>
      </c>
      <c r="D8053" s="56">
        <v>0.0</v>
      </c>
    </row>
    <row r="8054" ht="15.75" customHeight="1">
      <c r="B8054" s="370">
        <f t="shared" si="2"/>
        <v>0.9318287037</v>
      </c>
      <c r="C8054" s="56">
        <f t="shared" si="3"/>
        <v>80510</v>
      </c>
      <c r="D8054" s="56">
        <v>0.0</v>
      </c>
    </row>
    <row r="8055" ht="15.75" customHeight="1">
      <c r="B8055" s="370">
        <f t="shared" si="2"/>
        <v>0.9319444444</v>
      </c>
      <c r="C8055" s="56">
        <f t="shared" si="3"/>
        <v>80520</v>
      </c>
      <c r="D8055" s="56">
        <v>0.0</v>
      </c>
    </row>
    <row r="8056" ht="15.75" customHeight="1">
      <c r="B8056" s="370">
        <f t="shared" si="2"/>
        <v>0.9320601852</v>
      </c>
      <c r="C8056" s="56">
        <f t="shared" si="3"/>
        <v>80530</v>
      </c>
      <c r="D8056" s="56">
        <v>0.0</v>
      </c>
    </row>
    <row r="8057" ht="15.75" customHeight="1">
      <c r="B8057" s="370">
        <f t="shared" si="2"/>
        <v>0.9321759259</v>
      </c>
      <c r="C8057" s="56">
        <f t="shared" si="3"/>
        <v>80540</v>
      </c>
      <c r="D8057" s="56">
        <v>0.0</v>
      </c>
    </row>
    <row r="8058" ht="15.75" customHeight="1">
      <c r="B8058" s="370">
        <f t="shared" si="2"/>
        <v>0.9322916667</v>
      </c>
      <c r="C8058" s="56">
        <f t="shared" si="3"/>
        <v>80550</v>
      </c>
      <c r="D8058" s="56">
        <v>0.0</v>
      </c>
    </row>
    <row r="8059" ht="15.75" customHeight="1">
      <c r="B8059" s="370">
        <f t="shared" si="2"/>
        <v>0.9324074074</v>
      </c>
      <c r="C8059" s="56">
        <f t="shared" si="3"/>
        <v>80560</v>
      </c>
      <c r="D8059" s="56">
        <v>0.0</v>
      </c>
    </row>
    <row r="8060" ht="15.75" customHeight="1">
      <c r="B8060" s="370">
        <f t="shared" si="2"/>
        <v>0.9325231481</v>
      </c>
      <c r="C8060" s="56">
        <f t="shared" si="3"/>
        <v>80570</v>
      </c>
      <c r="D8060" s="56">
        <v>0.0</v>
      </c>
    </row>
    <row r="8061" ht="15.75" customHeight="1">
      <c r="B8061" s="370">
        <f t="shared" si="2"/>
        <v>0.9326388889</v>
      </c>
      <c r="C8061" s="56">
        <f t="shared" si="3"/>
        <v>80580</v>
      </c>
      <c r="D8061" s="56">
        <v>0.0</v>
      </c>
    </row>
    <row r="8062" ht="15.75" customHeight="1">
      <c r="B8062" s="370">
        <f t="shared" si="2"/>
        <v>0.9327546296</v>
      </c>
      <c r="C8062" s="56">
        <f t="shared" si="3"/>
        <v>80590</v>
      </c>
      <c r="D8062" s="56">
        <v>0.0</v>
      </c>
    </row>
    <row r="8063" ht="15.75" customHeight="1">
      <c r="B8063" s="370">
        <f t="shared" si="2"/>
        <v>0.9328703704</v>
      </c>
      <c r="C8063" s="56">
        <f t="shared" si="3"/>
        <v>80600</v>
      </c>
      <c r="D8063" s="56">
        <v>0.0</v>
      </c>
    </row>
    <row r="8064" ht="15.75" customHeight="1">
      <c r="B8064" s="370">
        <f t="shared" si="2"/>
        <v>0.9329861111</v>
      </c>
      <c r="C8064" s="56">
        <f t="shared" si="3"/>
        <v>80610</v>
      </c>
      <c r="D8064" s="56">
        <v>0.0</v>
      </c>
    </row>
    <row r="8065" ht="15.75" customHeight="1">
      <c r="B8065" s="370">
        <f t="shared" si="2"/>
        <v>0.9331018519</v>
      </c>
      <c r="C8065" s="56">
        <f t="shared" si="3"/>
        <v>80620</v>
      </c>
      <c r="D8065" s="56">
        <v>0.0</v>
      </c>
    </row>
    <row r="8066" ht="15.75" customHeight="1">
      <c r="B8066" s="370">
        <f t="shared" si="2"/>
        <v>0.9332175926</v>
      </c>
      <c r="C8066" s="56">
        <f t="shared" si="3"/>
        <v>80630</v>
      </c>
      <c r="D8066" s="56">
        <v>0.0</v>
      </c>
    </row>
    <row r="8067" ht="15.75" customHeight="1">
      <c r="B8067" s="370">
        <f t="shared" si="2"/>
        <v>0.9333333333</v>
      </c>
      <c r="C8067" s="56">
        <f t="shared" si="3"/>
        <v>80640</v>
      </c>
      <c r="D8067" s="56">
        <v>0.0</v>
      </c>
    </row>
    <row r="8068" ht="15.75" customHeight="1">
      <c r="B8068" s="370">
        <f t="shared" si="2"/>
        <v>0.9334490741</v>
      </c>
      <c r="C8068" s="56">
        <f t="shared" si="3"/>
        <v>80650</v>
      </c>
      <c r="D8068" s="56">
        <v>0.0</v>
      </c>
    </row>
    <row r="8069" ht="15.75" customHeight="1">
      <c r="B8069" s="370">
        <f t="shared" si="2"/>
        <v>0.9335648148</v>
      </c>
      <c r="C8069" s="56">
        <f t="shared" si="3"/>
        <v>80660</v>
      </c>
      <c r="D8069" s="56">
        <v>0.0</v>
      </c>
    </row>
    <row r="8070" ht="15.75" customHeight="1">
      <c r="B8070" s="370">
        <f t="shared" si="2"/>
        <v>0.9336805556</v>
      </c>
      <c r="C8070" s="56">
        <f t="shared" si="3"/>
        <v>80670</v>
      </c>
      <c r="D8070" s="56">
        <v>0.0</v>
      </c>
    </row>
    <row r="8071" ht="15.75" customHeight="1">
      <c r="B8071" s="370">
        <f t="shared" si="2"/>
        <v>0.9337962963</v>
      </c>
      <c r="C8071" s="56">
        <f t="shared" si="3"/>
        <v>80680</v>
      </c>
      <c r="D8071" s="56">
        <v>0.0</v>
      </c>
    </row>
    <row r="8072" ht="15.75" customHeight="1">
      <c r="B8072" s="370">
        <f t="shared" si="2"/>
        <v>0.933912037</v>
      </c>
      <c r="C8072" s="56">
        <f t="shared" si="3"/>
        <v>80690</v>
      </c>
      <c r="D8072" s="56">
        <v>0.0</v>
      </c>
    </row>
    <row r="8073" ht="15.75" customHeight="1">
      <c r="B8073" s="370">
        <f t="shared" si="2"/>
        <v>0.9340277778</v>
      </c>
      <c r="C8073" s="56">
        <f t="shared" si="3"/>
        <v>80700</v>
      </c>
      <c r="D8073" s="56">
        <v>0.0</v>
      </c>
    </row>
    <row r="8074" ht="15.75" customHeight="1">
      <c r="B8074" s="370">
        <f t="shared" si="2"/>
        <v>0.9341435185</v>
      </c>
      <c r="C8074" s="56">
        <f t="shared" si="3"/>
        <v>80710</v>
      </c>
      <c r="D8074" s="56">
        <v>0.0</v>
      </c>
    </row>
    <row r="8075" ht="15.75" customHeight="1">
      <c r="B8075" s="370">
        <f t="shared" si="2"/>
        <v>0.9342592593</v>
      </c>
      <c r="C8075" s="56">
        <f t="shared" si="3"/>
        <v>80720</v>
      </c>
      <c r="D8075" s="56">
        <v>0.0</v>
      </c>
    </row>
    <row r="8076" ht="15.75" customHeight="1">
      <c r="B8076" s="370">
        <f t="shared" si="2"/>
        <v>0.934375</v>
      </c>
      <c r="C8076" s="56">
        <f t="shared" si="3"/>
        <v>80730</v>
      </c>
      <c r="D8076" s="56">
        <v>0.0</v>
      </c>
    </row>
    <row r="8077" ht="15.75" customHeight="1">
      <c r="B8077" s="370">
        <f t="shared" si="2"/>
        <v>0.9344907407</v>
      </c>
      <c r="C8077" s="56">
        <f t="shared" si="3"/>
        <v>80740</v>
      </c>
      <c r="D8077" s="56">
        <v>0.0</v>
      </c>
    </row>
    <row r="8078" ht="15.75" customHeight="1">
      <c r="B8078" s="370">
        <f t="shared" si="2"/>
        <v>0.9346064815</v>
      </c>
      <c r="C8078" s="56">
        <f t="shared" si="3"/>
        <v>80750</v>
      </c>
      <c r="D8078" s="56">
        <v>0.0</v>
      </c>
    </row>
    <row r="8079" ht="15.75" customHeight="1">
      <c r="B8079" s="370">
        <f t="shared" si="2"/>
        <v>0.9347222222</v>
      </c>
      <c r="C8079" s="56">
        <f t="shared" si="3"/>
        <v>80760</v>
      </c>
      <c r="D8079" s="56">
        <v>0.0</v>
      </c>
    </row>
    <row r="8080" ht="15.75" customHeight="1">
      <c r="B8080" s="370">
        <f t="shared" si="2"/>
        <v>0.934837963</v>
      </c>
      <c r="C8080" s="56">
        <f t="shared" si="3"/>
        <v>80770</v>
      </c>
      <c r="D8080" s="56">
        <v>0.0</v>
      </c>
    </row>
    <row r="8081" ht="15.75" customHeight="1">
      <c r="B8081" s="370">
        <f t="shared" si="2"/>
        <v>0.9349537037</v>
      </c>
      <c r="C8081" s="56">
        <f t="shared" si="3"/>
        <v>80780</v>
      </c>
      <c r="D8081" s="56">
        <v>0.0</v>
      </c>
    </row>
    <row r="8082" ht="15.75" customHeight="1">
      <c r="B8082" s="370">
        <f t="shared" si="2"/>
        <v>0.9350694444</v>
      </c>
      <c r="C8082" s="56">
        <f t="shared" si="3"/>
        <v>80790</v>
      </c>
      <c r="D8082" s="56">
        <v>0.0</v>
      </c>
    </row>
    <row r="8083" ht="15.75" customHeight="1">
      <c r="B8083" s="370">
        <f t="shared" si="2"/>
        <v>0.9351851852</v>
      </c>
      <c r="C8083" s="56">
        <f t="shared" si="3"/>
        <v>80800</v>
      </c>
      <c r="D8083" s="56">
        <v>0.0</v>
      </c>
    </row>
    <row r="8084" ht="15.75" customHeight="1">
      <c r="B8084" s="370">
        <f t="shared" si="2"/>
        <v>0.9353009259</v>
      </c>
      <c r="C8084" s="56">
        <f t="shared" si="3"/>
        <v>80810</v>
      </c>
      <c r="D8084" s="56">
        <v>0.0</v>
      </c>
    </row>
    <row r="8085" ht="15.75" customHeight="1">
      <c r="B8085" s="370">
        <f t="shared" si="2"/>
        <v>0.9354166667</v>
      </c>
      <c r="C8085" s="56">
        <f t="shared" si="3"/>
        <v>80820</v>
      </c>
      <c r="D8085" s="56">
        <v>0.0</v>
      </c>
    </row>
    <row r="8086" ht="15.75" customHeight="1">
      <c r="B8086" s="370">
        <f t="shared" si="2"/>
        <v>0.9355324074</v>
      </c>
      <c r="C8086" s="56">
        <f t="shared" si="3"/>
        <v>80830</v>
      </c>
      <c r="D8086" s="56">
        <v>0.0</v>
      </c>
    </row>
    <row r="8087" ht="15.75" customHeight="1">
      <c r="B8087" s="370">
        <f t="shared" si="2"/>
        <v>0.9356481481</v>
      </c>
      <c r="C8087" s="56">
        <f t="shared" si="3"/>
        <v>80840</v>
      </c>
      <c r="D8087" s="56">
        <v>0.0</v>
      </c>
    </row>
    <row r="8088" ht="15.75" customHeight="1">
      <c r="B8088" s="370">
        <f t="shared" si="2"/>
        <v>0.9357638889</v>
      </c>
      <c r="C8088" s="56">
        <f t="shared" si="3"/>
        <v>80850</v>
      </c>
      <c r="D8088" s="56">
        <v>0.0</v>
      </c>
    </row>
    <row r="8089" ht="15.75" customHeight="1">
      <c r="B8089" s="370">
        <f t="shared" si="2"/>
        <v>0.9358796296</v>
      </c>
      <c r="C8089" s="56">
        <f t="shared" si="3"/>
        <v>80860</v>
      </c>
      <c r="D8089" s="56">
        <v>0.0</v>
      </c>
    </row>
    <row r="8090" ht="15.75" customHeight="1">
      <c r="B8090" s="370">
        <f t="shared" si="2"/>
        <v>0.9359953704</v>
      </c>
      <c r="C8090" s="56">
        <f t="shared" si="3"/>
        <v>80870</v>
      </c>
      <c r="D8090" s="56">
        <v>0.0</v>
      </c>
    </row>
    <row r="8091" ht="15.75" customHeight="1">
      <c r="B8091" s="370">
        <f t="shared" si="2"/>
        <v>0.9361111111</v>
      </c>
      <c r="C8091" s="56">
        <f t="shared" si="3"/>
        <v>80880</v>
      </c>
      <c r="D8091" s="56">
        <v>0.0</v>
      </c>
    </row>
    <row r="8092" ht="15.75" customHeight="1">
      <c r="B8092" s="370">
        <f t="shared" si="2"/>
        <v>0.9362268519</v>
      </c>
      <c r="C8092" s="56">
        <f t="shared" si="3"/>
        <v>80890</v>
      </c>
      <c r="D8092" s="56">
        <v>0.0</v>
      </c>
    </row>
    <row r="8093" ht="15.75" customHeight="1">
      <c r="B8093" s="370">
        <f t="shared" si="2"/>
        <v>0.9363425926</v>
      </c>
      <c r="C8093" s="56">
        <f t="shared" si="3"/>
        <v>80900</v>
      </c>
      <c r="D8093" s="56">
        <v>0.0</v>
      </c>
    </row>
    <row r="8094" ht="15.75" customHeight="1">
      <c r="B8094" s="370">
        <f t="shared" si="2"/>
        <v>0.9364583333</v>
      </c>
      <c r="C8094" s="56">
        <f t="shared" si="3"/>
        <v>80910</v>
      </c>
      <c r="D8094" s="56">
        <v>0.0</v>
      </c>
    </row>
    <row r="8095" ht="15.75" customHeight="1">
      <c r="B8095" s="370">
        <f t="shared" si="2"/>
        <v>0.9365740741</v>
      </c>
      <c r="C8095" s="56">
        <f t="shared" si="3"/>
        <v>80920</v>
      </c>
      <c r="D8095" s="56">
        <v>0.0</v>
      </c>
    </row>
    <row r="8096" ht="15.75" customHeight="1">
      <c r="B8096" s="370">
        <f t="shared" si="2"/>
        <v>0.9366898148</v>
      </c>
      <c r="C8096" s="56">
        <f t="shared" si="3"/>
        <v>80930</v>
      </c>
      <c r="D8096" s="56">
        <v>0.0</v>
      </c>
    </row>
    <row r="8097" ht="15.75" customHeight="1">
      <c r="B8097" s="370">
        <f t="shared" si="2"/>
        <v>0.9368055556</v>
      </c>
      <c r="C8097" s="56">
        <f t="shared" si="3"/>
        <v>80940</v>
      </c>
      <c r="D8097" s="56">
        <v>0.0</v>
      </c>
    </row>
    <row r="8098" ht="15.75" customHeight="1">
      <c r="B8098" s="370">
        <f t="shared" si="2"/>
        <v>0.9369212963</v>
      </c>
      <c r="C8098" s="56">
        <f t="shared" si="3"/>
        <v>80950</v>
      </c>
      <c r="D8098" s="56">
        <v>0.0</v>
      </c>
    </row>
    <row r="8099" ht="15.75" customHeight="1">
      <c r="B8099" s="370">
        <f t="shared" si="2"/>
        <v>0.937037037</v>
      </c>
      <c r="C8099" s="56">
        <f t="shared" si="3"/>
        <v>80960</v>
      </c>
      <c r="D8099" s="56">
        <v>0.0</v>
      </c>
    </row>
    <row r="8100" ht="15.75" customHeight="1">
      <c r="B8100" s="370">
        <f t="shared" si="2"/>
        <v>0.9371527778</v>
      </c>
      <c r="C8100" s="56">
        <f t="shared" si="3"/>
        <v>80970</v>
      </c>
      <c r="D8100" s="56">
        <v>0.0</v>
      </c>
    </row>
    <row r="8101" ht="15.75" customHeight="1">
      <c r="B8101" s="370">
        <f t="shared" si="2"/>
        <v>0.9372685185</v>
      </c>
      <c r="C8101" s="56">
        <f t="shared" si="3"/>
        <v>80980</v>
      </c>
      <c r="D8101" s="56">
        <v>0.0</v>
      </c>
    </row>
    <row r="8102" ht="15.75" customHeight="1">
      <c r="B8102" s="370">
        <f t="shared" si="2"/>
        <v>0.9373842593</v>
      </c>
      <c r="C8102" s="56">
        <f t="shared" si="3"/>
        <v>80990</v>
      </c>
      <c r="D8102" s="56">
        <v>0.0</v>
      </c>
    </row>
    <row r="8103" ht="15.75" customHeight="1">
      <c r="B8103" s="370">
        <f t="shared" si="2"/>
        <v>0.9375</v>
      </c>
      <c r="C8103" s="56">
        <f t="shared" si="3"/>
        <v>81000</v>
      </c>
      <c r="D8103" s="56">
        <v>0.0</v>
      </c>
    </row>
    <row r="8104" ht="15.75" customHeight="1">
      <c r="B8104" s="370">
        <f t="shared" si="2"/>
        <v>0.9376157407</v>
      </c>
      <c r="C8104" s="56">
        <f t="shared" si="3"/>
        <v>81010</v>
      </c>
      <c r="D8104" s="56">
        <v>0.0</v>
      </c>
    </row>
    <row r="8105" ht="15.75" customHeight="1">
      <c r="B8105" s="370">
        <f t="shared" si="2"/>
        <v>0.9377314815</v>
      </c>
      <c r="C8105" s="56">
        <f t="shared" si="3"/>
        <v>81020</v>
      </c>
      <c r="D8105" s="56">
        <v>0.0</v>
      </c>
    </row>
    <row r="8106" ht="15.75" customHeight="1">
      <c r="B8106" s="370">
        <f t="shared" si="2"/>
        <v>0.9378472222</v>
      </c>
      <c r="C8106" s="56">
        <f t="shared" si="3"/>
        <v>81030</v>
      </c>
      <c r="D8106" s="56">
        <v>0.0</v>
      </c>
    </row>
    <row r="8107" ht="15.75" customHeight="1">
      <c r="B8107" s="370">
        <f t="shared" si="2"/>
        <v>0.937962963</v>
      </c>
      <c r="C8107" s="56">
        <f t="shared" si="3"/>
        <v>81040</v>
      </c>
      <c r="D8107" s="56">
        <v>0.0</v>
      </c>
    </row>
    <row r="8108" ht="15.75" customHeight="1">
      <c r="B8108" s="370">
        <f t="shared" si="2"/>
        <v>0.9380787037</v>
      </c>
      <c r="C8108" s="56">
        <f t="shared" si="3"/>
        <v>81050</v>
      </c>
      <c r="D8108" s="56">
        <v>0.0</v>
      </c>
    </row>
    <row r="8109" ht="15.75" customHeight="1">
      <c r="B8109" s="370">
        <f t="shared" si="2"/>
        <v>0.9381944444</v>
      </c>
      <c r="C8109" s="56">
        <f t="shared" si="3"/>
        <v>81060</v>
      </c>
      <c r="D8109" s="56">
        <v>0.0</v>
      </c>
    </row>
    <row r="8110" ht="15.75" customHeight="1">
      <c r="B8110" s="370">
        <f t="shared" si="2"/>
        <v>0.9383101852</v>
      </c>
      <c r="C8110" s="56">
        <f t="shared" si="3"/>
        <v>81070</v>
      </c>
      <c r="D8110" s="56">
        <v>0.0</v>
      </c>
    </row>
    <row r="8111" ht="15.75" customHeight="1">
      <c r="B8111" s="370">
        <f t="shared" si="2"/>
        <v>0.9384259259</v>
      </c>
      <c r="C8111" s="56">
        <f t="shared" si="3"/>
        <v>81080</v>
      </c>
      <c r="D8111" s="56">
        <v>0.0</v>
      </c>
    </row>
    <row r="8112" ht="15.75" customHeight="1">
      <c r="B8112" s="370">
        <f t="shared" si="2"/>
        <v>0.9385416667</v>
      </c>
      <c r="C8112" s="56">
        <f t="shared" si="3"/>
        <v>81090</v>
      </c>
      <c r="D8112" s="56">
        <v>0.0</v>
      </c>
    </row>
    <row r="8113" ht="15.75" customHeight="1">
      <c r="B8113" s="370">
        <f t="shared" si="2"/>
        <v>0.9386574074</v>
      </c>
      <c r="C8113" s="56">
        <f t="shared" si="3"/>
        <v>81100</v>
      </c>
      <c r="D8113" s="56">
        <v>0.0</v>
      </c>
    </row>
    <row r="8114" ht="15.75" customHeight="1">
      <c r="B8114" s="370">
        <f t="shared" si="2"/>
        <v>0.9387731481</v>
      </c>
      <c r="C8114" s="56">
        <f t="shared" si="3"/>
        <v>81110</v>
      </c>
      <c r="D8114" s="56">
        <v>0.0</v>
      </c>
    </row>
    <row r="8115" ht="15.75" customHeight="1">
      <c r="B8115" s="370">
        <f t="shared" si="2"/>
        <v>0.9388888889</v>
      </c>
      <c r="C8115" s="56">
        <f t="shared" si="3"/>
        <v>81120</v>
      </c>
      <c r="D8115" s="56">
        <v>0.0</v>
      </c>
    </row>
    <row r="8116" ht="15.75" customHeight="1">
      <c r="B8116" s="370">
        <f t="shared" si="2"/>
        <v>0.9390046296</v>
      </c>
      <c r="C8116" s="56">
        <f t="shared" si="3"/>
        <v>81130</v>
      </c>
      <c r="D8116" s="56">
        <v>0.0</v>
      </c>
    </row>
    <row r="8117" ht="15.75" customHeight="1">
      <c r="B8117" s="370">
        <f t="shared" si="2"/>
        <v>0.9391203704</v>
      </c>
      <c r="C8117" s="56">
        <f t="shared" si="3"/>
        <v>81140</v>
      </c>
      <c r="D8117" s="56">
        <v>0.0</v>
      </c>
    </row>
    <row r="8118" ht="15.75" customHeight="1">
      <c r="B8118" s="370">
        <f t="shared" si="2"/>
        <v>0.9392361111</v>
      </c>
      <c r="C8118" s="56">
        <f t="shared" si="3"/>
        <v>81150</v>
      </c>
      <c r="D8118" s="56">
        <v>0.0</v>
      </c>
    </row>
    <row r="8119" ht="15.75" customHeight="1">
      <c r="B8119" s="370">
        <f t="shared" si="2"/>
        <v>0.9393518519</v>
      </c>
      <c r="C8119" s="56">
        <f t="shared" si="3"/>
        <v>81160</v>
      </c>
      <c r="D8119" s="56">
        <v>0.0</v>
      </c>
    </row>
    <row r="8120" ht="15.75" customHeight="1">
      <c r="B8120" s="370">
        <f t="shared" si="2"/>
        <v>0.9394675926</v>
      </c>
      <c r="C8120" s="56">
        <f t="shared" si="3"/>
        <v>81170</v>
      </c>
      <c r="D8120" s="56">
        <v>0.0</v>
      </c>
    </row>
    <row r="8121" ht="15.75" customHeight="1">
      <c r="B8121" s="370">
        <f t="shared" si="2"/>
        <v>0.9395833333</v>
      </c>
      <c r="C8121" s="56">
        <f t="shared" si="3"/>
        <v>81180</v>
      </c>
      <c r="D8121" s="56">
        <v>0.0</v>
      </c>
    </row>
    <row r="8122" ht="15.75" customHeight="1">
      <c r="B8122" s="370">
        <f t="shared" si="2"/>
        <v>0.9396990741</v>
      </c>
      <c r="C8122" s="56">
        <f t="shared" si="3"/>
        <v>81190</v>
      </c>
      <c r="D8122" s="56">
        <v>0.0</v>
      </c>
    </row>
    <row r="8123" ht="15.75" customHeight="1">
      <c r="B8123" s="370">
        <f t="shared" si="2"/>
        <v>0.9398148148</v>
      </c>
      <c r="C8123" s="56">
        <f t="shared" si="3"/>
        <v>81200</v>
      </c>
      <c r="D8123" s="56">
        <v>0.0</v>
      </c>
    </row>
    <row r="8124" ht="15.75" customHeight="1">
      <c r="B8124" s="370">
        <f t="shared" si="2"/>
        <v>0.9399305556</v>
      </c>
      <c r="C8124" s="56">
        <f t="shared" si="3"/>
        <v>81210</v>
      </c>
      <c r="D8124" s="56">
        <v>0.0</v>
      </c>
    </row>
    <row r="8125" ht="15.75" customHeight="1">
      <c r="B8125" s="370">
        <f t="shared" si="2"/>
        <v>0.9400462963</v>
      </c>
      <c r="C8125" s="56">
        <f t="shared" si="3"/>
        <v>81220</v>
      </c>
      <c r="D8125" s="56">
        <v>0.0</v>
      </c>
    </row>
    <row r="8126" ht="15.75" customHeight="1">
      <c r="B8126" s="370">
        <f t="shared" si="2"/>
        <v>0.940162037</v>
      </c>
      <c r="C8126" s="56">
        <f t="shared" si="3"/>
        <v>81230</v>
      </c>
      <c r="D8126" s="56">
        <v>0.0</v>
      </c>
    </row>
    <row r="8127" ht="15.75" customHeight="1">
      <c r="B8127" s="370">
        <f t="shared" si="2"/>
        <v>0.9402777778</v>
      </c>
      <c r="C8127" s="56">
        <f t="shared" si="3"/>
        <v>81240</v>
      </c>
      <c r="D8127" s="56">
        <v>0.0</v>
      </c>
    </row>
    <row r="8128" ht="15.75" customHeight="1">
      <c r="B8128" s="370">
        <f t="shared" si="2"/>
        <v>0.9403935185</v>
      </c>
      <c r="C8128" s="56">
        <f t="shared" si="3"/>
        <v>81250</v>
      </c>
      <c r="D8128" s="56">
        <v>0.0</v>
      </c>
    </row>
    <row r="8129" ht="15.75" customHeight="1">
      <c r="B8129" s="370">
        <f t="shared" si="2"/>
        <v>0.9405092593</v>
      </c>
      <c r="C8129" s="56">
        <f t="shared" si="3"/>
        <v>81260</v>
      </c>
      <c r="D8129" s="56">
        <v>0.0</v>
      </c>
    </row>
    <row r="8130" ht="15.75" customHeight="1">
      <c r="B8130" s="370">
        <f t="shared" si="2"/>
        <v>0.940625</v>
      </c>
      <c r="C8130" s="56">
        <f t="shared" si="3"/>
        <v>81270</v>
      </c>
      <c r="D8130" s="56">
        <v>0.0</v>
      </c>
    </row>
    <row r="8131" ht="15.75" customHeight="1">
      <c r="B8131" s="370">
        <f t="shared" si="2"/>
        <v>0.9407407407</v>
      </c>
      <c r="C8131" s="56">
        <f t="shared" si="3"/>
        <v>81280</v>
      </c>
      <c r="D8131" s="56">
        <v>0.0</v>
      </c>
    </row>
    <row r="8132" ht="15.75" customHeight="1">
      <c r="B8132" s="370">
        <f t="shared" si="2"/>
        <v>0.9408564815</v>
      </c>
      <c r="C8132" s="56">
        <f t="shared" si="3"/>
        <v>81290</v>
      </c>
      <c r="D8132" s="56">
        <v>0.0</v>
      </c>
    </row>
    <row r="8133" ht="15.75" customHeight="1">
      <c r="B8133" s="370">
        <f t="shared" si="2"/>
        <v>0.9409722222</v>
      </c>
      <c r="C8133" s="56">
        <f t="shared" si="3"/>
        <v>81300</v>
      </c>
      <c r="D8133" s="56">
        <v>0.0</v>
      </c>
    </row>
    <row r="8134" ht="15.75" customHeight="1">
      <c r="B8134" s="370">
        <f t="shared" si="2"/>
        <v>0.941087963</v>
      </c>
      <c r="C8134" s="56">
        <f t="shared" si="3"/>
        <v>81310</v>
      </c>
      <c r="D8134" s="56">
        <v>0.0</v>
      </c>
    </row>
    <row r="8135" ht="15.75" customHeight="1">
      <c r="B8135" s="370">
        <f t="shared" si="2"/>
        <v>0.9412037037</v>
      </c>
      <c r="C8135" s="56">
        <f t="shared" si="3"/>
        <v>81320</v>
      </c>
      <c r="D8135" s="56">
        <v>0.0</v>
      </c>
    </row>
    <row r="8136" ht="15.75" customHeight="1">
      <c r="B8136" s="370">
        <f t="shared" si="2"/>
        <v>0.9413194444</v>
      </c>
      <c r="C8136" s="56">
        <f t="shared" si="3"/>
        <v>81330</v>
      </c>
      <c r="D8136" s="56">
        <v>0.0</v>
      </c>
    </row>
    <row r="8137" ht="15.75" customHeight="1">
      <c r="B8137" s="370">
        <f t="shared" si="2"/>
        <v>0.9414351852</v>
      </c>
      <c r="C8137" s="56">
        <f t="shared" si="3"/>
        <v>81340</v>
      </c>
      <c r="D8137" s="56">
        <v>0.0</v>
      </c>
    </row>
    <row r="8138" ht="15.75" customHeight="1">
      <c r="B8138" s="370">
        <f t="shared" si="2"/>
        <v>0.9415509259</v>
      </c>
      <c r="C8138" s="56">
        <f t="shared" si="3"/>
        <v>81350</v>
      </c>
      <c r="D8138" s="56">
        <v>0.0</v>
      </c>
    </row>
    <row r="8139" ht="15.75" customHeight="1">
      <c r="B8139" s="370">
        <f t="shared" si="2"/>
        <v>0.9416666667</v>
      </c>
      <c r="C8139" s="56">
        <f t="shared" si="3"/>
        <v>81360</v>
      </c>
      <c r="D8139" s="56">
        <v>0.0</v>
      </c>
    </row>
    <row r="8140" ht="15.75" customHeight="1">
      <c r="B8140" s="370">
        <f t="shared" si="2"/>
        <v>0.9417824074</v>
      </c>
      <c r="C8140" s="56">
        <f t="shared" si="3"/>
        <v>81370</v>
      </c>
      <c r="D8140" s="56">
        <v>0.0</v>
      </c>
    </row>
    <row r="8141" ht="15.75" customHeight="1">
      <c r="B8141" s="370">
        <f t="shared" si="2"/>
        <v>0.9418981481</v>
      </c>
      <c r="C8141" s="56">
        <f t="shared" si="3"/>
        <v>81380</v>
      </c>
      <c r="D8141" s="56">
        <v>0.0</v>
      </c>
    </row>
    <row r="8142" ht="15.75" customHeight="1">
      <c r="B8142" s="370">
        <f t="shared" si="2"/>
        <v>0.9420138889</v>
      </c>
      <c r="C8142" s="56">
        <f t="shared" si="3"/>
        <v>81390</v>
      </c>
      <c r="D8142" s="56">
        <v>0.0</v>
      </c>
    </row>
    <row r="8143" ht="15.75" customHeight="1">
      <c r="B8143" s="370">
        <f t="shared" si="2"/>
        <v>0.9421296296</v>
      </c>
      <c r="C8143" s="56">
        <f t="shared" si="3"/>
        <v>81400</v>
      </c>
      <c r="D8143" s="56">
        <v>0.0</v>
      </c>
    </row>
    <row r="8144" ht="15.75" customHeight="1">
      <c r="B8144" s="370">
        <f t="shared" si="2"/>
        <v>0.9422453704</v>
      </c>
      <c r="C8144" s="56">
        <f t="shared" si="3"/>
        <v>81410</v>
      </c>
      <c r="D8144" s="56">
        <v>0.0</v>
      </c>
    </row>
    <row r="8145" ht="15.75" customHeight="1">
      <c r="B8145" s="370">
        <f t="shared" si="2"/>
        <v>0.9423611111</v>
      </c>
      <c r="C8145" s="56">
        <f t="shared" si="3"/>
        <v>81420</v>
      </c>
      <c r="D8145" s="56">
        <v>0.0</v>
      </c>
    </row>
    <row r="8146" ht="15.75" customHeight="1">
      <c r="B8146" s="370">
        <f t="shared" si="2"/>
        <v>0.9424768519</v>
      </c>
      <c r="C8146" s="56">
        <f t="shared" si="3"/>
        <v>81430</v>
      </c>
      <c r="D8146" s="56">
        <v>0.0</v>
      </c>
    </row>
    <row r="8147" ht="15.75" customHeight="1">
      <c r="B8147" s="370">
        <f t="shared" si="2"/>
        <v>0.9425925926</v>
      </c>
      <c r="C8147" s="56">
        <f t="shared" si="3"/>
        <v>81440</v>
      </c>
      <c r="D8147" s="56">
        <v>0.0</v>
      </c>
    </row>
    <row r="8148" ht="15.75" customHeight="1">
      <c r="B8148" s="370">
        <f t="shared" si="2"/>
        <v>0.9427083333</v>
      </c>
      <c r="C8148" s="56">
        <f t="shared" si="3"/>
        <v>81450</v>
      </c>
      <c r="D8148" s="56">
        <v>0.0</v>
      </c>
    </row>
    <row r="8149" ht="15.75" customHeight="1">
      <c r="B8149" s="370">
        <f t="shared" si="2"/>
        <v>0.9428240741</v>
      </c>
      <c r="C8149" s="56">
        <f t="shared" si="3"/>
        <v>81460</v>
      </c>
      <c r="D8149" s="56">
        <v>0.0</v>
      </c>
    </row>
    <row r="8150" ht="15.75" customHeight="1">
      <c r="B8150" s="370">
        <f t="shared" si="2"/>
        <v>0.9429398148</v>
      </c>
      <c r="C8150" s="56">
        <f t="shared" si="3"/>
        <v>81470</v>
      </c>
      <c r="D8150" s="56">
        <v>0.0</v>
      </c>
    </row>
    <row r="8151" ht="15.75" customHeight="1">
      <c r="B8151" s="370">
        <f t="shared" si="2"/>
        <v>0.9430555556</v>
      </c>
      <c r="C8151" s="56">
        <f t="shared" si="3"/>
        <v>81480</v>
      </c>
      <c r="D8151" s="56">
        <v>0.0</v>
      </c>
    </row>
    <row r="8152" ht="15.75" customHeight="1">
      <c r="B8152" s="370">
        <f t="shared" si="2"/>
        <v>0.9431712963</v>
      </c>
      <c r="C8152" s="56">
        <f t="shared" si="3"/>
        <v>81490</v>
      </c>
      <c r="D8152" s="56">
        <v>0.0</v>
      </c>
    </row>
    <row r="8153" ht="15.75" customHeight="1">
      <c r="B8153" s="370">
        <f t="shared" si="2"/>
        <v>0.943287037</v>
      </c>
      <c r="C8153" s="56">
        <f t="shared" si="3"/>
        <v>81500</v>
      </c>
      <c r="D8153" s="56">
        <v>0.0</v>
      </c>
    </row>
    <row r="8154" ht="15.75" customHeight="1">
      <c r="B8154" s="370">
        <f t="shared" si="2"/>
        <v>0.9434027778</v>
      </c>
      <c r="C8154" s="56">
        <f t="shared" si="3"/>
        <v>81510</v>
      </c>
      <c r="D8154" s="56">
        <v>0.0</v>
      </c>
    </row>
    <row r="8155" ht="15.75" customHeight="1">
      <c r="B8155" s="370">
        <f t="shared" si="2"/>
        <v>0.9435185185</v>
      </c>
      <c r="C8155" s="56">
        <f t="shared" si="3"/>
        <v>81520</v>
      </c>
      <c r="D8155" s="56">
        <v>0.0</v>
      </c>
    </row>
    <row r="8156" ht="15.75" customHeight="1">
      <c r="B8156" s="370">
        <f t="shared" si="2"/>
        <v>0.9436342593</v>
      </c>
      <c r="C8156" s="56">
        <f t="shared" si="3"/>
        <v>81530</v>
      </c>
      <c r="D8156" s="56">
        <v>0.0</v>
      </c>
    </row>
    <row r="8157" ht="15.75" customHeight="1">
      <c r="B8157" s="370">
        <f t="shared" si="2"/>
        <v>0.94375</v>
      </c>
      <c r="C8157" s="56">
        <f t="shared" si="3"/>
        <v>81540</v>
      </c>
      <c r="D8157" s="56">
        <v>0.0</v>
      </c>
    </row>
    <row r="8158" ht="15.75" customHeight="1">
      <c r="B8158" s="370">
        <f t="shared" si="2"/>
        <v>0.9438657407</v>
      </c>
      <c r="C8158" s="56">
        <f t="shared" si="3"/>
        <v>81550</v>
      </c>
      <c r="D8158" s="56">
        <v>0.0</v>
      </c>
    </row>
    <row r="8159" ht="15.75" customHeight="1">
      <c r="B8159" s="370">
        <f t="shared" si="2"/>
        <v>0.9439814815</v>
      </c>
      <c r="C8159" s="56">
        <f t="shared" si="3"/>
        <v>81560</v>
      </c>
      <c r="D8159" s="56">
        <v>0.0</v>
      </c>
    </row>
    <row r="8160" ht="15.75" customHeight="1">
      <c r="B8160" s="370">
        <f t="shared" si="2"/>
        <v>0.9440972222</v>
      </c>
      <c r="C8160" s="56">
        <f t="shared" si="3"/>
        <v>81570</v>
      </c>
      <c r="D8160" s="56">
        <v>0.0</v>
      </c>
    </row>
    <row r="8161" ht="15.75" customHeight="1">
      <c r="B8161" s="370">
        <f t="shared" si="2"/>
        <v>0.944212963</v>
      </c>
      <c r="C8161" s="56">
        <f t="shared" si="3"/>
        <v>81580</v>
      </c>
      <c r="D8161" s="56">
        <v>0.0</v>
      </c>
    </row>
    <row r="8162" ht="15.75" customHeight="1">
      <c r="B8162" s="370">
        <f t="shared" si="2"/>
        <v>0.9443287037</v>
      </c>
      <c r="C8162" s="56">
        <f t="shared" si="3"/>
        <v>81590</v>
      </c>
      <c r="D8162" s="56">
        <v>0.0</v>
      </c>
    </row>
    <row r="8163" ht="15.75" customHeight="1">
      <c r="B8163" s="370">
        <f t="shared" si="2"/>
        <v>0.9444444444</v>
      </c>
      <c r="C8163" s="56">
        <f t="shared" si="3"/>
        <v>81600</v>
      </c>
      <c r="D8163" s="56">
        <v>0.0</v>
      </c>
    </row>
    <row r="8164" ht="15.75" customHeight="1">
      <c r="B8164" s="370">
        <f t="shared" si="2"/>
        <v>0.9445601852</v>
      </c>
      <c r="C8164" s="56">
        <f t="shared" si="3"/>
        <v>81610</v>
      </c>
      <c r="D8164" s="56">
        <v>0.0</v>
      </c>
    </row>
    <row r="8165" ht="15.75" customHeight="1">
      <c r="B8165" s="370">
        <f t="shared" si="2"/>
        <v>0.9446759259</v>
      </c>
      <c r="C8165" s="56">
        <f t="shared" si="3"/>
        <v>81620</v>
      </c>
      <c r="D8165" s="56">
        <v>0.0</v>
      </c>
    </row>
    <row r="8166" ht="15.75" customHeight="1">
      <c r="B8166" s="370">
        <f t="shared" si="2"/>
        <v>0.9447916667</v>
      </c>
      <c r="C8166" s="56">
        <f t="shared" si="3"/>
        <v>81630</v>
      </c>
      <c r="D8166" s="56">
        <v>0.0</v>
      </c>
    </row>
    <row r="8167" ht="15.75" customHeight="1">
      <c r="B8167" s="370">
        <f t="shared" si="2"/>
        <v>0.9449074074</v>
      </c>
      <c r="C8167" s="56">
        <f t="shared" si="3"/>
        <v>81640</v>
      </c>
      <c r="D8167" s="56">
        <v>0.0</v>
      </c>
    </row>
    <row r="8168" ht="15.75" customHeight="1">
      <c r="B8168" s="370">
        <f t="shared" si="2"/>
        <v>0.9450231481</v>
      </c>
      <c r="C8168" s="56">
        <f t="shared" si="3"/>
        <v>81650</v>
      </c>
      <c r="D8168" s="56">
        <v>0.0</v>
      </c>
    </row>
    <row r="8169" ht="15.75" customHeight="1">
      <c r="B8169" s="370">
        <f t="shared" si="2"/>
        <v>0.9451388889</v>
      </c>
      <c r="C8169" s="56">
        <f t="shared" si="3"/>
        <v>81660</v>
      </c>
      <c r="D8169" s="56">
        <v>0.0</v>
      </c>
    </row>
    <row r="8170" ht="15.75" customHeight="1">
      <c r="B8170" s="370">
        <f t="shared" si="2"/>
        <v>0.9452546296</v>
      </c>
      <c r="C8170" s="56">
        <f t="shared" si="3"/>
        <v>81670</v>
      </c>
      <c r="D8170" s="56">
        <v>0.0</v>
      </c>
    </row>
    <row r="8171" ht="15.75" customHeight="1">
      <c r="B8171" s="370">
        <f t="shared" si="2"/>
        <v>0.9453703704</v>
      </c>
      <c r="C8171" s="56">
        <f t="shared" si="3"/>
        <v>81680</v>
      </c>
      <c r="D8171" s="56">
        <v>0.0</v>
      </c>
    </row>
    <row r="8172" ht="15.75" customHeight="1">
      <c r="B8172" s="370">
        <f t="shared" si="2"/>
        <v>0.9454861111</v>
      </c>
      <c r="C8172" s="56">
        <f t="shared" si="3"/>
        <v>81690</v>
      </c>
      <c r="D8172" s="56">
        <v>0.0</v>
      </c>
    </row>
    <row r="8173" ht="15.75" customHeight="1">
      <c r="B8173" s="370">
        <f t="shared" si="2"/>
        <v>0.9456018519</v>
      </c>
      <c r="C8173" s="56">
        <f t="shared" si="3"/>
        <v>81700</v>
      </c>
      <c r="D8173" s="56">
        <v>0.0</v>
      </c>
    </row>
    <row r="8174" ht="15.75" customHeight="1">
      <c r="B8174" s="370">
        <f t="shared" si="2"/>
        <v>0.9457175926</v>
      </c>
      <c r="C8174" s="56">
        <f t="shared" si="3"/>
        <v>81710</v>
      </c>
      <c r="D8174" s="56">
        <v>0.0</v>
      </c>
    </row>
    <row r="8175" ht="15.75" customHeight="1">
      <c r="B8175" s="370">
        <f t="shared" si="2"/>
        <v>0.9458333333</v>
      </c>
      <c r="C8175" s="56">
        <f t="shared" si="3"/>
        <v>81720</v>
      </c>
      <c r="D8175" s="56">
        <v>0.0</v>
      </c>
    </row>
    <row r="8176" ht="15.75" customHeight="1">
      <c r="B8176" s="370">
        <f t="shared" si="2"/>
        <v>0.9459490741</v>
      </c>
      <c r="C8176" s="56">
        <f t="shared" si="3"/>
        <v>81730</v>
      </c>
      <c r="D8176" s="56">
        <v>0.0</v>
      </c>
    </row>
    <row r="8177" ht="15.75" customHeight="1">
      <c r="B8177" s="370">
        <f t="shared" si="2"/>
        <v>0.9460648148</v>
      </c>
      <c r="C8177" s="56">
        <f t="shared" si="3"/>
        <v>81740</v>
      </c>
      <c r="D8177" s="56">
        <v>0.0</v>
      </c>
    </row>
    <row r="8178" ht="15.75" customHeight="1">
      <c r="B8178" s="370">
        <f t="shared" si="2"/>
        <v>0.9461805556</v>
      </c>
      <c r="C8178" s="56">
        <f t="shared" si="3"/>
        <v>81750</v>
      </c>
      <c r="D8178" s="56">
        <v>0.0</v>
      </c>
    </row>
    <row r="8179" ht="15.75" customHeight="1">
      <c r="B8179" s="370">
        <f t="shared" si="2"/>
        <v>0.9462962963</v>
      </c>
      <c r="C8179" s="56">
        <f t="shared" si="3"/>
        <v>81760</v>
      </c>
      <c r="D8179" s="56">
        <v>0.0</v>
      </c>
    </row>
    <row r="8180" ht="15.75" customHeight="1">
      <c r="B8180" s="370">
        <f t="shared" si="2"/>
        <v>0.946412037</v>
      </c>
      <c r="C8180" s="56">
        <f t="shared" si="3"/>
        <v>81770</v>
      </c>
      <c r="D8180" s="56">
        <v>0.0</v>
      </c>
    </row>
    <row r="8181" ht="15.75" customHeight="1">
      <c r="B8181" s="370">
        <f t="shared" si="2"/>
        <v>0.9465277778</v>
      </c>
      <c r="C8181" s="56">
        <f t="shared" si="3"/>
        <v>81780</v>
      </c>
      <c r="D8181" s="56">
        <v>0.0</v>
      </c>
    </row>
    <row r="8182" ht="15.75" customHeight="1">
      <c r="B8182" s="370">
        <f t="shared" si="2"/>
        <v>0.9466435185</v>
      </c>
      <c r="C8182" s="56">
        <f t="shared" si="3"/>
        <v>81790</v>
      </c>
      <c r="D8182" s="56">
        <v>0.0</v>
      </c>
    </row>
    <row r="8183" ht="15.75" customHeight="1">
      <c r="B8183" s="370">
        <f t="shared" si="2"/>
        <v>0.9467592593</v>
      </c>
      <c r="C8183" s="56">
        <f t="shared" si="3"/>
        <v>81800</v>
      </c>
      <c r="D8183" s="56">
        <v>0.0</v>
      </c>
    </row>
    <row r="8184" ht="15.75" customHeight="1">
      <c r="B8184" s="370">
        <f t="shared" si="2"/>
        <v>0.946875</v>
      </c>
      <c r="C8184" s="56">
        <f t="shared" si="3"/>
        <v>81810</v>
      </c>
      <c r="D8184" s="56">
        <v>0.0</v>
      </c>
    </row>
    <row r="8185" ht="15.75" customHeight="1">
      <c r="B8185" s="370">
        <f t="shared" si="2"/>
        <v>0.9469907407</v>
      </c>
      <c r="C8185" s="56">
        <f t="shared" si="3"/>
        <v>81820</v>
      </c>
      <c r="D8185" s="56">
        <v>0.0</v>
      </c>
    </row>
    <row r="8186" ht="15.75" customHeight="1">
      <c r="B8186" s="370">
        <f t="shared" si="2"/>
        <v>0.9471064815</v>
      </c>
      <c r="C8186" s="56">
        <f t="shared" si="3"/>
        <v>81830</v>
      </c>
      <c r="D8186" s="56">
        <v>0.0</v>
      </c>
    </row>
    <row r="8187" ht="15.75" customHeight="1">
      <c r="B8187" s="370">
        <f t="shared" si="2"/>
        <v>0.9472222222</v>
      </c>
      <c r="C8187" s="56">
        <f t="shared" si="3"/>
        <v>81840</v>
      </c>
      <c r="D8187" s="56">
        <v>0.0</v>
      </c>
    </row>
    <row r="8188" ht="15.75" customHeight="1">
      <c r="B8188" s="370">
        <f t="shared" si="2"/>
        <v>0.947337963</v>
      </c>
      <c r="C8188" s="56">
        <f t="shared" si="3"/>
        <v>81850</v>
      </c>
      <c r="D8188" s="56">
        <v>0.0</v>
      </c>
    </row>
    <row r="8189" ht="15.75" customHeight="1">
      <c r="B8189" s="370">
        <f t="shared" si="2"/>
        <v>0.9474537037</v>
      </c>
      <c r="C8189" s="56">
        <f t="shared" si="3"/>
        <v>81860</v>
      </c>
      <c r="D8189" s="56">
        <v>0.852</v>
      </c>
    </row>
    <row r="8190" ht="15.75" customHeight="1">
      <c r="B8190" s="370">
        <f t="shared" si="2"/>
        <v>0.9475694444</v>
      </c>
      <c r="C8190" s="56">
        <f t="shared" si="3"/>
        <v>81870</v>
      </c>
      <c r="D8190" s="56">
        <v>2.223</v>
      </c>
    </row>
    <row r="8191" ht="15.75" customHeight="1">
      <c r="B8191" s="370">
        <f t="shared" si="2"/>
        <v>0.9476851852</v>
      </c>
      <c r="C8191" s="56">
        <f t="shared" si="3"/>
        <v>81880</v>
      </c>
      <c r="D8191" s="56">
        <v>2.533</v>
      </c>
    </row>
    <row r="8192" ht="15.75" customHeight="1">
      <c r="B8192" s="370">
        <f t="shared" si="2"/>
        <v>0.9478009259</v>
      </c>
      <c r="C8192" s="56">
        <f t="shared" si="3"/>
        <v>81890</v>
      </c>
      <c r="D8192" s="56">
        <v>3.33</v>
      </c>
    </row>
    <row r="8193" ht="15.75" customHeight="1">
      <c r="B8193" s="370">
        <f t="shared" si="2"/>
        <v>0.9479166667</v>
      </c>
      <c r="C8193" s="56">
        <f t="shared" si="3"/>
        <v>81900</v>
      </c>
      <c r="D8193" s="56">
        <v>3.511</v>
      </c>
    </row>
    <row r="8194" ht="15.75" customHeight="1">
      <c r="B8194" s="370">
        <f t="shared" si="2"/>
        <v>0.9480324074</v>
      </c>
      <c r="C8194" s="56">
        <f t="shared" si="3"/>
        <v>81910</v>
      </c>
      <c r="D8194" s="56">
        <v>3.51</v>
      </c>
    </row>
    <row r="8195" ht="15.75" customHeight="1">
      <c r="B8195" s="370">
        <f t="shared" si="2"/>
        <v>0.9481481481</v>
      </c>
      <c r="C8195" s="56">
        <f t="shared" si="3"/>
        <v>81920</v>
      </c>
      <c r="D8195" s="56">
        <v>3.492</v>
      </c>
    </row>
    <row r="8196" ht="15.75" customHeight="1">
      <c r="B8196" s="370">
        <f t="shared" si="2"/>
        <v>0.9482638889</v>
      </c>
      <c r="C8196" s="56">
        <f t="shared" si="3"/>
        <v>81930</v>
      </c>
      <c r="D8196" s="56">
        <v>3.039</v>
      </c>
    </row>
    <row r="8197" ht="15.75" customHeight="1">
      <c r="B8197" s="370">
        <f t="shared" si="2"/>
        <v>0.9483796296</v>
      </c>
      <c r="C8197" s="56">
        <f t="shared" si="3"/>
        <v>81940</v>
      </c>
      <c r="D8197" s="56">
        <v>2.229</v>
      </c>
    </row>
    <row r="8198" ht="15.75" customHeight="1">
      <c r="B8198" s="370">
        <f t="shared" si="2"/>
        <v>0.9484953704</v>
      </c>
      <c r="C8198" s="56">
        <f t="shared" si="3"/>
        <v>81950</v>
      </c>
      <c r="D8198" s="56">
        <v>2.174</v>
      </c>
    </row>
    <row r="8199" ht="15.75" customHeight="1">
      <c r="B8199" s="370">
        <f t="shared" si="2"/>
        <v>0.9486111111</v>
      </c>
      <c r="C8199" s="56">
        <f t="shared" si="3"/>
        <v>81960</v>
      </c>
      <c r="D8199" s="56">
        <v>2.487</v>
      </c>
    </row>
    <row r="8200" ht="15.75" customHeight="1">
      <c r="B8200" s="370">
        <f t="shared" si="2"/>
        <v>0.9487268519</v>
      </c>
      <c r="C8200" s="56">
        <f t="shared" si="3"/>
        <v>81970</v>
      </c>
      <c r="D8200" s="56">
        <v>2.791</v>
      </c>
    </row>
    <row r="8201" ht="15.75" customHeight="1">
      <c r="B8201" s="370">
        <f t="shared" si="2"/>
        <v>0.9488425926</v>
      </c>
      <c r="C8201" s="56">
        <f t="shared" si="3"/>
        <v>81980</v>
      </c>
      <c r="D8201" s="56">
        <v>3.033</v>
      </c>
    </row>
    <row r="8202" ht="15.75" customHeight="1">
      <c r="B8202" s="370">
        <f t="shared" si="2"/>
        <v>0.9489583333</v>
      </c>
      <c r="C8202" s="56">
        <f t="shared" si="3"/>
        <v>81990</v>
      </c>
      <c r="D8202" s="56">
        <v>3.205</v>
      </c>
    </row>
    <row r="8203" ht="15.75" customHeight="1">
      <c r="B8203" s="370">
        <f t="shared" si="2"/>
        <v>0.9490740741</v>
      </c>
      <c r="C8203" s="56">
        <f t="shared" si="3"/>
        <v>82000</v>
      </c>
      <c r="D8203" s="56">
        <v>3.068</v>
      </c>
    </row>
    <row r="8204" ht="15.75" customHeight="1">
      <c r="B8204" s="370">
        <f t="shared" si="2"/>
        <v>0.9491898148</v>
      </c>
      <c r="C8204" s="56">
        <f t="shared" si="3"/>
        <v>82010</v>
      </c>
      <c r="D8204" s="56">
        <v>3.003</v>
      </c>
    </row>
    <row r="8205" ht="15.75" customHeight="1">
      <c r="B8205" s="370">
        <f t="shared" si="2"/>
        <v>0.9493055556</v>
      </c>
      <c r="C8205" s="56">
        <f t="shared" si="3"/>
        <v>82020</v>
      </c>
      <c r="D8205" s="56">
        <v>2.79</v>
      </c>
    </row>
    <row r="8206" ht="15.75" customHeight="1">
      <c r="B8206" s="370">
        <f t="shared" si="2"/>
        <v>0.9494212963</v>
      </c>
      <c r="C8206" s="56">
        <f t="shared" si="3"/>
        <v>82030</v>
      </c>
      <c r="D8206" s="56">
        <v>2.93</v>
      </c>
    </row>
    <row r="8207" ht="15.75" customHeight="1">
      <c r="B8207" s="370">
        <f t="shared" si="2"/>
        <v>0.949537037</v>
      </c>
      <c r="C8207" s="56">
        <f t="shared" si="3"/>
        <v>82040</v>
      </c>
      <c r="D8207" s="56">
        <v>2.833</v>
      </c>
    </row>
    <row r="8208" ht="15.75" customHeight="1">
      <c r="B8208" s="370">
        <f t="shared" si="2"/>
        <v>0.9496527778</v>
      </c>
      <c r="C8208" s="56">
        <f t="shared" si="3"/>
        <v>82050</v>
      </c>
      <c r="D8208" s="56">
        <v>2.741</v>
      </c>
    </row>
    <row r="8209" ht="15.75" customHeight="1">
      <c r="B8209" s="370">
        <f t="shared" si="2"/>
        <v>0.9497685185</v>
      </c>
      <c r="C8209" s="56">
        <f t="shared" si="3"/>
        <v>82060</v>
      </c>
      <c r="D8209" s="56">
        <v>2.587</v>
      </c>
    </row>
    <row r="8210" ht="15.75" customHeight="1">
      <c r="B8210" s="370">
        <f t="shared" si="2"/>
        <v>0.9498842593</v>
      </c>
      <c r="C8210" s="56">
        <f t="shared" si="3"/>
        <v>82070</v>
      </c>
      <c r="D8210" s="56">
        <v>2.352</v>
      </c>
    </row>
    <row r="8211" ht="15.75" customHeight="1">
      <c r="B8211" s="370">
        <f t="shared" si="2"/>
        <v>0.95</v>
      </c>
      <c r="C8211" s="56">
        <f t="shared" si="3"/>
        <v>82080</v>
      </c>
      <c r="D8211" s="56">
        <v>2.359</v>
      </c>
    </row>
    <row r="8212" ht="15.75" customHeight="1">
      <c r="B8212" s="370">
        <f t="shared" si="2"/>
        <v>0.9501157407</v>
      </c>
      <c r="C8212" s="56">
        <f t="shared" si="3"/>
        <v>82090</v>
      </c>
      <c r="D8212" s="56">
        <v>3.224</v>
      </c>
    </row>
    <row r="8213" ht="15.75" customHeight="1">
      <c r="B8213" s="370">
        <f t="shared" si="2"/>
        <v>0.9502314815</v>
      </c>
      <c r="C8213" s="56">
        <f t="shared" si="3"/>
        <v>82100</v>
      </c>
      <c r="D8213" s="56">
        <v>3.464</v>
      </c>
    </row>
    <row r="8214" ht="15.75" customHeight="1">
      <c r="B8214" s="370">
        <f t="shared" si="2"/>
        <v>0.9503472222</v>
      </c>
      <c r="C8214" s="56">
        <f t="shared" si="3"/>
        <v>82110</v>
      </c>
      <c r="D8214" s="56">
        <v>3.489</v>
      </c>
    </row>
    <row r="8215" ht="15.75" customHeight="1">
      <c r="B8215" s="370">
        <f t="shared" si="2"/>
        <v>0.950462963</v>
      </c>
      <c r="C8215" s="56">
        <f t="shared" si="3"/>
        <v>82120</v>
      </c>
      <c r="D8215" s="56">
        <v>3.506</v>
      </c>
    </row>
    <row r="8216" ht="15.75" customHeight="1">
      <c r="B8216" s="370">
        <f t="shared" si="2"/>
        <v>0.9505787037</v>
      </c>
      <c r="C8216" s="56">
        <f t="shared" si="3"/>
        <v>82130</v>
      </c>
      <c r="D8216" s="56">
        <v>3.155</v>
      </c>
    </row>
    <row r="8217" ht="15.75" customHeight="1">
      <c r="B8217" s="370">
        <f t="shared" si="2"/>
        <v>0.9506944444</v>
      </c>
      <c r="C8217" s="56">
        <f t="shared" si="3"/>
        <v>82140</v>
      </c>
      <c r="D8217" s="56">
        <v>2.42</v>
      </c>
    </row>
    <row r="8218" ht="15.75" customHeight="1">
      <c r="B8218" s="370">
        <f t="shared" si="2"/>
        <v>0.9508101852</v>
      </c>
      <c r="C8218" s="56">
        <f t="shared" si="3"/>
        <v>82150</v>
      </c>
      <c r="D8218" s="56">
        <v>2.033</v>
      </c>
    </row>
    <row r="8219" ht="15.75" customHeight="1">
      <c r="B8219" s="370">
        <f t="shared" si="2"/>
        <v>0.9509259259</v>
      </c>
      <c r="C8219" s="56">
        <f t="shared" si="3"/>
        <v>82160</v>
      </c>
      <c r="D8219" s="56">
        <v>2.345</v>
      </c>
    </row>
    <row r="8220" ht="15.75" customHeight="1">
      <c r="B8220" s="370">
        <f t="shared" si="2"/>
        <v>0.9510416667</v>
      </c>
      <c r="C8220" s="56">
        <f t="shared" si="3"/>
        <v>82170</v>
      </c>
      <c r="D8220" s="56">
        <v>2.717</v>
      </c>
    </row>
    <row r="8221" ht="15.75" customHeight="1">
      <c r="B8221" s="370">
        <f t="shared" si="2"/>
        <v>0.9511574074</v>
      </c>
      <c r="C8221" s="56">
        <f t="shared" si="3"/>
        <v>82180</v>
      </c>
      <c r="D8221" s="56">
        <v>3.055</v>
      </c>
    </row>
    <row r="8222" ht="15.75" customHeight="1">
      <c r="B8222" s="370">
        <f t="shared" si="2"/>
        <v>0.9512731481</v>
      </c>
      <c r="C8222" s="56">
        <f t="shared" si="3"/>
        <v>82190</v>
      </c>
      <c r="D8222" s="56">
        <v>3.316</v>
      </c>
    </row>
    <row r="8223" ht="15.75" customHeight="1">
      <c r="B8223" s="370">
        <f t="shared" si="2"/>
        <v>0.9513888889</v>
      </c>
      <c r="C8223" s="56">
        <f t="shared" si="3"/>
        <v>82200</v>
      </c>
      <c r="D8223" s="56">
        <v>3.222</v>
      </c>
    </row>
    <row r="8224" ht="15.75" customHeight="1">
      <c r="B8224" s="370">
        <f t="shared" si="2"/>
        <v>0.9515046296</v>
      </c>
      <c r="C8224" s="56">
        <f t="shared" si="3"/>
        <v>82210</v>
      </c>
      <c r="D8224" s="56">
        <v>3.1</v>
      </c>
    </row>
    <row r="8225" ht="15.75" customHeight="1">
      <c r="B8225" s="370">
        <f t="shared" si="2"/>
        <v>0.9516203704</v>
      </c>
      <c r="C8225" s="56">
        <f t="shared" si="3"/>
        <v>82220</v>
      </c>
      <c r="D8225" s="56">
        <v>2.897</v>
      </c>
    </row>
    <row r="8226" ht="15.75" customHeight="1">
      <c r="B8226" s="370">
        <f t="shared" si="2"/>
        <v>0.9517361111</v>
      </c>
      <c r="C8226" s="56">
        <f t="shared" si="3"/>
        <v>82230</v>
      </c>
      <c r="D8226" s="56">
        <v>2.718</v>
      </c>
    </row>
    <row r="8227" ht="15.75" customHeight="1">
      <c r="B8227" s="370">
        <f t="shared" si="2"/>
        <v>0.9518518519</v>
      </c>
      <c r="C8227" s="56">
        <f t="shared" si="3"/>
        <v>82240</v>
      </c>
      <c r="D8227" s="56">
        <v>2.764</v>
      </c>
    </row>
    <row r="8228" ht="15.75" customHeight="1">
      <c r="B8228" s="370">
        <f t="shared" si="2"/>
        <v>0.9519675926</v>
      </c>
      <c r="C8228" s="56">
        <f t="shared" si="3"/>
        <v>82250</v>
      </c>
      <c r="D8228" s="56">
        <v>2.756</v>
      </c>
    </row>
    <row r="8229" ht="15.75" customHeight="1">
      <c r="B8229" s="370">
        <f t="shared" si="2"/>
        <v>0.9520833333</v>
      </c>
      <c r="C8229" s="56">
        <f t="shared" si="3"/>
        <v>82260</v>
      </c>
      <c r="D8229" s="56">
        <v>2.669</v>
      </c>
    </row>
    <row r="8230" ht="15.75" customHeight="1">
      <c r="B8230" s="370">
        <f t="shared" si="2"/>
        <v>0.9521990741</v>
      </c>
      <c r="C8230" s="56">
        <f t="shared" si="3"/>
        <v>82270</v>
      </c>
      <c r="D8230" s="56">
        <v>2.566</v>
      </c>
    </row>
    <row r="8231" ht="15.75" customHeight="1">
      <c r="B8231" s="370">
        <f t="shared" si="2"/>
        <v>0.9523148148</v>
      </c>
      <c r="C8231" s="56">
        <f t="shared" si="3"/>
        <v>82280</v>
      </c>
      <c r="D8231" s="56">
        <v>2.258</v>
      </c>
    </row>
    <row r="8232" ht="15.75" customHeight="1">
      <c r="B8232" s="370">
        <f t="shared" si="2"/>
        <v>0.9524305556</v>
      </c>
      <c r="C8232" s="56">
        <f t="shared" si="3"/>
        <v>82290</v>
      </c>
      <c r="D8232" s="56">
        <v>3.087</v>
      </c>
    </row>
    <row r="8233" ht="15.75" customHeight="1">
      <c r="B8233" s="370">
        <f t="shared" si="2"/>
        <v>0.9525462963</v>
      </c>
      <c r="C8233" s="56">
        <f t="shared" si="3"/>
        <v>82300</v>
      </c>
      <c r="D8233" s="56">
        <v>3.4</v>
      </c>
    </row>
    <row r="8234" ht="15.75" customHeight="1">
      <c r="B8234" s="370">
        <f t="shared" si="2"/>
        <v>0.952662037</v>
      </c>
      <c r="C8234" s="56">
        <f t="shared" si="3"/>
        <v>82310</v>
      </c>
      <c r="D8234" s="56">
        <v>3.437</v>
      </c>
    </row>
    <row r="8235" ht="15.75" customHeight="1">
      <c r="B8235" s="370">
        <f t="shared" si="2"/>
        <v>0.9527777778</v>
      </c>
      <c r="C8235" s="56">
        <f t="shared" si="3"/>
        <v>82320</v>
      </c>
      <c r="D8235" s="56">
        <v>3.484</v>
      </c>
    </row>
    <row r="8236" ht="15.75" customHeight="1">
      <c r="B8236" s="370">
        <f t="shared" si="2"/>
        <v>0.9528935185</v>
      </c>
      <c r="C8236" s="56">
        <f t="shared" si="3"/>
        <v>82330</v>
      </c>
      <c r="D8236" s="56">
        <v>3.217</v>
      </c>
    </row>
    <row r="8237" ht="15.75" customHeight="1">
      <c r="B8237" s="370">
        <f t="shared" si="2"/>
        <v>0.9530092593</v>
      </c>
      <c r="C8237" s="56">
        <f t="shared" si="3"/>
        <v>82340</v>
      </c>
      <c r="D8237" s="56">
        <v>2.579</v>
      </c>
    </row>
    <row r="8238" ht="15.75" customHeight="1">
      <c r="B8238" s="370">
        <f t="shared" si="2"/>
        <v>0.953125</v>
      </c>
      <c r="C8238" s="56">
        <f t="shared" si="3"/>
        <v>82350</v>
      </c>
      <c r="D8238" s="56">
        <v>1.982</v>
      </c>
    </row>
    <row r="8239" ht="15.75" customHeight="1">
      <c r="B8239" s="370">
        <f t="shared" si="2"/>
        <v>0.9532407407</v>
      </c>
      <c r="C8239" s="56">
        <f t="shared" si="3"/>
        <v>82360</v>
      </c>
      <c r="D8239" s="56">
        <v>2.175</v>
      </c>
    </row>
    <row r="8240" ht="15.75" customHeight="1">
      <c r="B8240" s="370">
        <f t="shared" si="2"/>
        <v>0.9533564815</v>
      </c>
      <c r="C8240" s="56">
        <f t="shared" si="3"/>
        <v>82370</v>
      </c>
      <c r="D8240" s="56">
        <v>2.607</v>
      </c>
    </row>
    <row r="8241" ht="15.75" customHeight="1">
      <c r="B8241" s="370">
        <f t="shared" si="2"/>
        <v>0.9534722222</v>
      </c>
      <c r="C8241" s="56">
        <f t="shared" si="3"/>
        <v>82380</v>
      </c>
      <c r="D8241" s="56">
        <v>3.042</v>
      </c>
    </row>
    <row r="8242" ht="15.75" customHeight="1">
      <c r="B8242" s="370">
        <f t="shared" si="2"/>
        <v>0.953587963</v>
      </c>
      <c r="C8242" s="56">
        <f t="shared" si="3"/>
        <v>82390</v>
      </c>
      <c r="D8242" s="56">
        <v>3.387</v>
      </c>
    </row>
    <row r="8243" ht="15.75" customHeight="1">
      <c r="B8243" s="370">
        <f t="shared" si="2"/>
        <v>0.9537037037</v>
      </c>
      <c r="C8243" s="56">
        <f t="shared" si="3"/>
        <v>82400</v>
      </c>
      <c r="D8243" s="56">
        <v>3.323</v>
      </c>
    </row>
    <row r="8244" ht="15.75" customHeight="1">
      <c r="B8244" s="370">
        <f t="shared" si="2"/>
        <v>0.9538194444</v>
      </c>
      <c r="C8244" s="56">
        <f t="shared" si="3"/>
        <v>82410</v>
      </c>
      <c r="D8244" s="56">
        <v>3.279</v>
      </c>
    </row>
    <row r="8245" ht="15.75" customHeight="1">
      <c r="B8245" s="370">
        <f t="shared" si="2"/>
        <v>0.9539351852</v>
      </c>
      <c r="C8245" s="56">
        <f t="shared" si="3"/>
        <v>82420</v>
      </c>
      <c r="D8245" s="56">
        <v>3.063</v>
      </c>
    </row>
    <row r="8246" ht="15.75" customHeight="1">
      <c r="B8246" s="370">
        <f t="shared" si="2"/>
        <v>0.9540509259</v>
      </c>
      <c r="C8246" s="56">
        <f t="shared" si="3"/>
        <v>82430</v>
      </c>
      <c r="D8246" s="56">
        <v>2.577</v>
      </c>
    </row>
    <row r="8247" ht="15.75" customHeight="1">
      <c r="B8247" s="370">
        <f t="shared" si="2"/>
        <v>0.9541666667</v>
      </c>
      <c r="C8247" s="56">
        <f t="shared" si="3"/>
        <v>82440</v>
      </c>
      <c r="D8247" s="56">
        <v>2.659</v>
      </c>
    </row>
    <row r="8248" ht="15.75" customHeight="1">
      <c r="B8248" s="370">
        <f t="shared" si="2"/>
        <v>0.9542824074</v>
      </c>
      <c r="C8248" s="56">
        <f t="shared" si="3"/>
        <v>82450</v>
      </c>
      <c r="D8248" s="56">
        <v>2.739</v>
      </c>
    </row>
    <row r="8249" ht="15.75" customHeight="1">
      <c r="B8249" s="370">
        <f t="shared" si="2"/>
        <v>0.9543981481</v>
      </c>
      <c r="C8249" s="56">
        <f t="shared" si="3"/>
        <v>82460</v>
      </c>
      <c r="D8249" s="56">
        <v>2.713</v>
      </c>
    </row>
    <row r="8250" ht="15.75" customHeight="1">
      <c r="B8250" s="370">
        <f t="shared" si="2"/>
        <v>0.9545138889</v>
      </c>
      <c r="C8250" s="56">
        <f t="shared" si="3"/>
        <v>82470</v>
      </c>
      <c r="D8250" s="56">
        <v>2.685</v>
      </c>
    </row>
    <row r="8251" ht="15.75" customHeight="1">
      <c r="B8251" s="370">
        <f t="shared" si="2"/>
        <v>0.9546296296</v>
      </c>
      <c r="C8251" s="56">
        <f t="shared" si="3"/>
        <v>82480</v>
      </c>
      <c r="D8251" s="56">
        <v>2.506</v>
      </c>
    </row>
    <row r="8252" ht="15.75" customHeight="1">
      <c r="B8252" s="370">
        <f t="shared" si="2"/>
        <v>0.9547453704</v>
      </c>
      <c r="C8252" s="56">
        <f t="shared" si="3"/>
        <v>82490</v>
      </c>
      <c r="D8252" s="56">
        <v>2.9</v>
      </c>
    </row>
    <row r="8253" ht="15.75" customHeight="1">
      <c r="B8253" s="370">
        <f t="shared" si="2"/>
        <v>0.9548611111</v>
      </c>
      <c r="C8253" s="56">
        <f t="shared" si="3"/>
        <v>82500</v>
      </c>
      <c r="D8253" s="56">
        <v>3.296</v>
      </c>
    </row>
    <row r="8254" ht="15.75" customHeight="1">
      <c r="B8254" s="370">
        <f t="shared" si="2"/>
        <v>0.9549768519</v>
      </c>
      <c r="C8254" s="56">
        <f t="shared" si="3"/>
        <v>82510</v>
      </c>
      <c r="D8254" s="56">
        <v>3.357</v>
      </c>
    </row>
    <row r="8255" ht="15.75" customHeight="1">
      <c r="B8255" s="370">
        <f t="shared" si="2"/>
        <v>0.9550925926</v>
      </c>
      <c r="C8255" s="56">
        <f t="shared" si="3"/>
        <v>82520</v>
      </c>
      <c r="D8255" s="56">
        <v>3.425</v>
      </c>
    </row>
    <row r="8256" ht="15.75" customHeight="1">
      <c r="B8256" s="370">
        <f t="shared" si="2"/>
        <v>0.9552083333</v>
      </c>
      <c r="C8256" s="56">
        <f t="shared" si="3"/>
        <v>82530</v>
      </c>
      <c r="D8256" s="56">
        <v>3.242</v>
      </c>
    </row>
    <row r="8257" ht="15.75" customHeight="1">
      <c r="B8257" s="370">
        <f t="shared" si="2"/>
        <v>0.9553240741</v>
      </c>
      <c r="C8257" s="56">
        <f t="shared" si="3"/>
        <v>82540</v>
      </c>
      <c r="D8257" s="56">
        <v>2.688</v>
      </c>
    </row>
    <row r="8258" ht="15.75" customHeight="1">
      <c r="B8258" s="370">
        <f t="shared" si="2"/>
        <v>0.9554398148</v>
      </c>
      <c r="C8258" s="56">
        <f t="shared" si="3"/>
        <v>82550</v>
      </c>
      <c r="D8258" s="56">
        <v>2.256</v>
      </c>
    </row>
    <row r="8259" ht="15.75" customHeight="1">
      <c r="B8259" s="370">
        <f t="shared" si="2"/>
        <v>0.9555555556</v>
      </c>
      <c r="C8259" s="56">
        <f t="shared" si="3"/>
        <v>82560</v>
      </c>
      <c r="D8259" s="56">
        <v>1.936</v>
      </c>
    </row>
    <row r="8260" ht="15.75" customHeight="1">
      <c r="B8260" s="370">
        <f t="shared" si="2"/>
        <v>0.9556712963</v>
      </c>
      <c r="C8260" s="56">
        <f t="shared" si="3"/>
        <v>82570</v>
      </c>
      <c r="D8260" s="56">
        <v>2.464</v>
      </c>
    </row>
    <row r="8261" ht="15.75" customHeight="1">
      <c r="B8261" s="370">
        <f t="shared" si="2"/>
        <v>0.955787037</v>
      </c>
      <c r="C8261" s="56">
        <f t="shared" si="3"/>
        <v>82580</v>
      </c>
      <c r="D8261" s="56">
        <v>2.993</v>
      </c>
    </row>
    <row r="8262" ht="15.75" customHeight="1">
      <c r="B8262" s="370">
        <f t="shared" si="2"/>
        <v>0.9559027778</v>
      </c>
      <c r="C8262" s="56">
        <f t="shared" si="3"/>
        <v>82590</v>
      </c>
      <c r="D8262" s="56">
        <v>3.437</v>
      </c>
    </row>
    <row r="8263" ht="15.75" customHeight="1">
      <c r="B8263" s="370">
        <f t="shared" si="2"/>
        <v>0.9560185185</v>
      </c>
      <c r="C8263" s="56">
        <f t="shared" si="3"/>
        <v>82600</v>
      </c>
      <c r="D8263" s="56">
        <v>3.429</v>
      </c>
    </row>
    <row r="8264" ht="15.75" customHeight="1">
      <c r="B8264" s="370">
        <f t="shared" si="2"/>
        <v>0.9561342593</v>
      </c>
      <c r="C8264" s="56">
        <f t="shared" si="3"/>
        <v>82610</v>
      </c>
      <c r="D8264" s="56">
        <v>3.38</v>
      </c>
    </row>
    <row r="8265" ht="15.75" customHeight="1">
      <c r="B8265" s="370">
        <f t="shared" si="2"/>
        <v>0.95625</v>
      </c>
      <c r="C8265" s="56">
        <f t="shared" si="3"/>
        <v>82620</v>
      </c>
      <c r="D8265" s="56">
        <v>3.215</v>
      </c>
    </row>
    <row r="8266" ht="15.75" customHeight="1">
      <c r="B8266" s="370">
        <f t="shared" si="2"/>
        <v>0.9563657407</v>
      </c>
      <c r="C8266" s="56">
        <f t="shared" si="3"/>
        <v>82630</v>
      </c>
      <c r="D8266" s="56">
        <v>2.431</v>
      </c>
    </row>
    <row r="8267" ht="15.75" customHeight="1">
      <c r="B8267" s="370">
        <f t="shared" si="2"/>
        <v>0.9564814815</v>
      </c>
      <c r="C8267" s="56">
        <f t="shared" si="3"/>
        <v>82640</v>
      </c>
      <c r="D8267" s="56">
        <v>2.52</v>
      </c>
    </row>
    <row r="8268" ht="15.75" customHeight="1">
      <c r="B8268" s="370">
        <f t="shared" si="2"/>
        <v>0.9565972222</v>
      </c>
      <c r="C8268" s="56">
        <f t="shared" si="3"/>
        <v>82650</v>
      </c>
      <c r="D8268" s="56">
        <v>2.683</v>
      </c>
    </row>
    <row r="8269" ht="15.75" customHeight="1">
      <c r="B8269" s="370">
        <f t="shared" si="2"/>
        <v>0.956712963</v>
      </c>
      <c r="C8269" s="56">
        <f t="shared" si="3"/>
        <v>82660</v>
      </c>
      <c r="D8269" s="56">
        <v>2.722</v>
      </c>
    </row>
    <row r="8270" ht="15.75" customHeight="1">
      <c r="B8270" s="370">
        <f t="shared" si="2"/>
        <v>0.9568287037</v>
      </c>
      <c r="C8270" s="56">
        <f t="shared" si="3"/>
        <v>82670</v>
      </c>
      <c r="D8270" s="56">
        <v>2.77</v>
      </c>
    </row>
    <row r="8271" ht="15.75" customHeight="1">
      <c r="B8271" s="370">
        <f t="shared" si="2"/>
        <v>0.9569444444</v>
      </c>
      <c r="C8271" s="56">
        <f t="shared" si="3"/>
        <v>82680</v>
      </c>
      <c r="D8271" s="56">
        <v>2.626</v>
      </c>
    </row>
    <row r="8272" ht="15.75" customHeight="1">
      <c r="B8272" s="370">
        <f t="shared" si="2"/>
        <v>0.9570601852</v>
      </c>
      <c r="C8272" s="56">
        <f t="shared" si="3"/>
        <v>82690</v>
      </c>
      <c r="D8272" s="56">
        <v>2.736</v>
      </c>
    </row>
    <row r="8273" ht="15.75" customHeight="1">
      <c r="B8273" s="370">
        <f t="shared" si="2"/>
        <v>0.9571759259</v>
      </c>
      <c r="C8273" s="56">
        <f t="shared" si="3"/>
        <v>82700</v>
      </c>
      <c r="D8273" s="56">
        <v>3.138</v>
      </c>
    </row>
    <row r="8274" ht="15.75" customHeight="1">
      <c r="B8274" s="370">
        <f t="shared" si="2"/>
        <v>0.9572916667</v>
      </c>
      <c r="C8274" s="56">
        <f t="shared" si="3"/>
        <v>82710</v>
      </c>
      <c r="D8274" s="56">
        <v>3.244</v>
      </c>
    </row>
    <row r="8275" ht="15.75" customHeight="1">
      <c r="B8275" s="370">
        <f t="shared" si="2"/>
        <v>0.9574074074</v>
      </c>
      <c r="C8275" s="56">
        <f t="shared" si="3"/>
        <v>82720</v>
      </c>
      <c r="D8275" s="56">
        <v>3.348</v>
      </c>
    </row>
    <row r="8276" ht="15.75" customHeight="1">
      <c r="B8276" s="370">
        <f t="shared" si="2"/>
        <v>0.9575231481</v>
      </c>
      <c r="C8276" s="56">
        <f t="shared" si="3"/>
        <v>82730</v>
      </c>
      <c r="D8276" s="56">
        <v>3.234</v>
      </c>
    </row>
    <row r="8277" ht="15.75" customHeight="1">
      <c r="B8277" s="370">
        <f t="shared" si="2"/>
        <v>0.9576388889</v>
      </c>
      <c r="C8277" s="56">
        <f t="shared" si="3"/>
        <v>82740</v>
      </c>
      <c r="D8277" s="56">
        <v>2.795</v>
      </c>
    </row>
    <row r="8278" ht="15.75" customHeight="1">
      <c r="B8278" s="370">
        <f t="shared" si="2"/>
        <v>0.9577546296</v>
      </c>
      <c r="C8278" s="56">
        <f t="shared" si="3"/>
        <v>82750</v>
      </c>
      <c r="D8278" s="56">
        <v>2.426</v>
      </c>
    </row>
    <row r="8279" ht="15.75" customHeight="1">
      <c r="B8279" s="370">
        <f t="shared" si="2"/>
        <v>0.9578703704</v>
      </c>
      <c r="C8279" s="56">
        <f t="shared" si="3"/>
        <v>82760</v>
      </c>
      <c r="D8279" s="56">
        <v>2.065</v>
      </c>
    </row>
    <row r="8280" ht="15.75" customHeight="1">
      <c r="B8280" s="370">
        <f t="shared" si="2"/>
        <v>0.9579861111</v>
      </c>
      <c r="C8280" s="56">
        <f t="shared" si="3"/>
        <v>82770</v>
      </c>
      <c r="D8280" s="56">
        <v>2.267</v>
      </c>
    </row>
    <row r="8281" ht="15.75" customHeight="1">
      <c r="B8281" s="370">
        <f t="shared" si="2"/>
        <v>0.9581018519</v>
      </c>
      <c r="C8281" s="56">
        <f t="shared" si="3"/>
        <v>82780</v>
      </c>
      <c r="D8281" s="56">
        <v>2.906</v>
      </c>
    </row>
    <row r="8282" ht="15.75" customHeight="1">
      <c r="B8282" s="370">
        <f t="shared" si="2"/>
        <v>0.9582175926</v>
      </c>
      <c r="C8282" s="56">
        <f t="shared" si="3"/>
        <v>82790</v>
      </c>
      <c r="D8282" s="56">
        <v>3.448</v>
      </c>
    </row>
    <row r="8283" ht="15.75" customHeight="1">
      <c r="B8283" s="370">
        <f t="shared" si="2"/>
        <v>0.9583333333</v>
      </c>
      <c r="C8283" s="56">
        <f t="shared" si="3"/>
        <v>82800</v>
      </c>
      <c r="D8283" s="56">
        <v>3.489</v>
      </c>
    </row>
    <row r="8284" ht="15.75" customHeight="1">
      <c r="B8284" s="370">
        <f t="shared" si="2"/>
        <v>0.9584490741</v>
      </c>
      <c r="C8284" s="56">
        <f t="shared" si="3"/>
        <v>82810</v>
      </c>
      <c r="D8284" s="56">
        <v>3.449</v>
      </c>
    </row>
    <row r="8285" ht="15.75" customHeight="1">
      <c r="B8285" s="370">
        <f t="shared" si="2"/>
        <v>0.9585648148</v>
      </c>
      <c r="C8285" s="56">
        <f t="shared" si="3"/>
        <v>82820</v>
      </c>
      <c r="D8285" s="56">
        <v>3.321</v>
      </c>
    </row>
    <row r="8286" ht="15.75" customHeight="1">
      <c r="B8286" s="370">
        <f t="shared" si="2"/>
        <v>0.9586805556</v>
      </c>
      <c r="C8286" s="56">
        <f t="shared" si="3"/>
        <v>82830</v>
      </c>
      <c r="D8286" s="56">
        <v>2.68</v>
      </c>
    </row>
    <row r="8287" ht="15.75" customHeight="1">
      <c r="B8287" s="370">
        <f t="shared" si="2"/>
        <v>0.9587962963</v>
      </c>
      <c r="C8287" s="56">
        <f t="shared" si="3"/>
        <v>82840</v>
      </c>
      <c r="D8287" s="56">
        <v>2.286</v>
      </c>
    </row>
    <row r="8288" ht="15.75" customHeight="1">
      <c r="B8288" s="370">
        <f t="shared" si="2"/>
        <v>0.958912037</v>
      </c>
      <c r="C8288" s="56">
        <f t="shared" si="3"/>
        <v>82850</v>
      </c>
      <c r="D8288" s="56">
        <v>2.59</v>
      </c>
    </row>
    <row r="8289" ht="15.75" customHeight="1">
      <c r="B8289" s="370">
        <f t="shared" si="2"/>
        <v>0.9590277778</v>
      </c>
      <c r="C8289" s="56">
        <f t="shared" si="3"/>
        <v>82860</v>
      </c>
      <c r="D8289" s="56">
        <v>2.698</v>
      </c>
    </row>
    <row r="8290" ht="15.75" customHeight="1">
      <c r="B8290" s="370">
        <f t="shared" si="2"/>
        <v>0.9591435185</v>
      </c>
      <c r="C8290" s="56">
        <f t="shared" si="3"/>
        <v>82870</v>
      </c>
      <c r="D8290" s="56">
        <v>2.821</v>
      </c>
    </row>
    <row r="8291" ht="15.75" customHeight="1">
      <c r="B8291" s="370">
        <f t="shared" si="2"/>
        <v>0.9592592593</v>
      </c>
      <c r="C8291" s="56">
        <f t="shared" si="3"/>
        <v>82880</v>
      </c>
      <c r="D8291" s="56">
        <v>2.824</v>
      </c>
    </row>
    <row r="8292" ht="15.75" customHeight="1">
      <c r="B8292" s="370">
        <f t="shared" si="2"/>
        <v>0.959375</v>
      </c>
      <c r="C8292" s="56">
        <f t="shared" si="3"/>
        <v>82890</v>
      </c>
      <c r="D8292" s="56">
        <v>2.769</v>
      </c>
    </row>
    <row r="8293" ht="15.75" customHeight="1">
      <c r="B8293" s="370">
        <f t="shared" si="2"/>
        <v>0.9594907407</v>
      </c>
      <c r="C8293" s="56">
        <f t="shared" si="3"/>
        <v>82900</v>
      </c>
      <c r="D8293" s="56">
        <v>3.02</v>
      </c>
    </row>
    <row r="8294" ht="15.75" customHeight="1">
      <c r="B8294" s="370">
        <f t="shared" si="2"/>
        <v>0.9596064815</v>
      </c>
      <c r="C8294" s="56">
        <f t="shared" si="3"/>
        <v>82910</v>
      </c>
      <c r="D8294" s="56">
        <v>3.095</v>
      </c>
    </row>
    <row r="8295" ht="15.75" customHeight="1">
      <c r="B8295" s="370">
        <f t="shared" si="2"/>
        <v>0.9597222222</v>
      </c>
      <c r="C8295" s="56">
        <f t="shared" si="3"/>
        <v>82920</v>
      </c>
      <c r="D8295" s="56">
        <v>3.229</v>
      </c>
    </row>
    <row r="8296" ht="15.75" customHeight="1">
      <c r="B8296" s="370">
        <f t="shared" si="2"/>
        <v>0.959837963</v>
      </c>
      <c r="C8296" s="56">
        <f t="shared" si="3"/>
        <v>82930</v>
      </c>
      <c r="D8296" s="56">
        <v>3.19</v>
      </c>
    </row>
    <row r="8297" ht="15.75" customHeight="1">
      <c r="B8297" s="370">
        <f t="shared" si="2"/>
        <v>0.9599537037</v>
      </c>
      <c r="C8297" s="56">
        <f t="shared" si="3"/>
        <v>82940</v>
      </c>
      <c r="D8297" s="56">
        <v>2.852</v>
      </c>
    </row>
    <row r="8298" ht="15.75" customHeight="1">
      <c r="B8298" s="370">
        <f t="shared" si="2"/>
        <v>0.9600694444</v>
      </c>
      <c r="C8298" s="56">
        <f t="shared" si="3"/>
        <v>82950</v>
      </c>
      <c r="D8298" s="56">
        <v>2.555</v>
      </c>
    </row>
    <row r="8299" ht="15.75" customHeight="1">
      <c r="B8299" s="370">
        <f t="shared" si="2"/>
        <v>0.9601851852</v>
      </c>
      <c r="C8299" s="56">
        <f t="shared" si="3"/>
        <v>82960</v>
      </c>
      <c r="D8299" s="56">
        <v>2.196</v>
      </c>
    </row>
    <row r="8300" ht="15.75" customHeight="1">
      <c r="B8300" s="370">
        <f t="shared" si="2"/>
        <v>0.9603009259</v>
      </c>
      <c r="C8300" s="56">
        <f t="shared" si="3"/>
        <v>82970</v>
      </c>
      <c r="D8300" s="56">
        <v>2.087</v>
      </c>
    </row>
    <row r="8301" ht="15.75" customHeight="1">
      <c r="B8301" s="370">
        <f t="shared" si="2"/>
        <v>0.9604166667</v>
      </c>
      <c r="C8301" s="56">
        <f t="shared" si="3"/>
        <v>82980</v>
      </c>
      <c r="D8301" s="56">
        <v>2.774</v>
      </c>
    </row>
    <row r="8302" ht="15.75" customHeight="1">
      <c r="B8302" s="370">
        <f t="shared" si="2"/>
        <v>0.9605324074</v>
      </c>
      <c r="C8302" s="56">
        <f t="shared" si="3"/>
        <v>82990</v>
      </c>
      <c r="D8302" s="56">
        <v>3.42</v>
      </c>
    </row>
    <row r="8303" ht="15.75" customHeight="1">
      <c r="B8303" s="370">
        <f t="shared" si="2"/>
        <v>0.9606481481</v>
      </c>
      <c r="C8303" s="56">
        <f t="shared" si="3"/>
        <v>83000</v>
      </c>
      <c r="D8303" s="56">
        <v>3.517</v>
      </c>
    </row>
    <row r="8304" ht="15.75" customHeight="1">
      <c r="B8304" s="370">
        <f t="shared" si="2"/>
        <v>0.9607638889</v>
      </c>
      <c r="C8304" s="56">
        <f t="shared" si="3"/>
        <v>83010</v>
      </c>
      <c r="D8304" s="56">
        <v>3.498</v>
      </c>
    </row>
    <row r="8305" ht="15.75" customHeight="1">
      <c r="B8305" s="370">
        <f t="shared" si="2"/>
        <v>0.9608796296</v>
      </c>
      <c r="C8305" s="56">
        <f t="shared" si="3"/>
        <v>83020</v>
      </c>
      <c r="D8305" s="56">
        <v>3.423</v>
      </c>
    </row>
    <row r="8306" ht="15.75" customHeight="1">
      <c r="B8306" s="370">
        <f t="shared" si="2"/>
        <v>0.9609953704</v>
      </c>
      <c r="C8306" s="56">
        <f t="shared" si="3"/>
        <v>83030</v>
      </c>
      <c r="D8306" s="56">
        <v>2.86</v>
      </c>
    </row>
    <row r="8307" ht="15.75" customHeight="1">
      <c r="B8307" s="370">
        <f t="shared" si="2"/>
        <v>0.9611111111</v>
      </c>
      <c r="C8307" s="56">
        <f t="shared" si="3"/>
        <v>83040</v>
      </c>
      <c r="D8307" s="56">
        <v>2.145</v>
      </c>
    </row>
    <row r="8308" ht="15.75" customHeight="1">
      <c r="B8308" s="370">
        <f t="shared" si="2"/>
        <v>0.9612268519</v>
      </c>
      <c r="C8308" s="56">
        <f t="shared" si="3"/>
        <v>83050</v>
      </c>
      <c r="D8308" s="56">
        <v>2.473</v>
      </c>
    </row>
    <row r="8309" ht="15.75" customHeight="1">
      <c r="B8309" s="370">
        <f t="shared" si="2"/>
        <v>0.9613425926</v>
      </c>
      <c r="C8309" s="56">
        <f t="shared" si="3"/>
        <v>83060</v>
      </c>
      <c r="D8309" s="56">
        <v>2.638</v>
      </c>
    </row>
    <row r="8310" ht="15.75" customHeight="1">
      <c r="B8310" s="370">
        <f t="shared" si="2"/>
        <v>0.9614583333</v>
      </c>
      <c r="C8310" s="56">
        <f t="shared" si="3"/>
        <v>83070</v>
      </c>
      <c r="D8310" s="56">
        <v>2.834</v>
      </c>
    </row>
    <row r="8311" ht="15.75" customHeight="1">
      <c r="B8311" s="370">
        <f t="shared" si="2"/>
        <v>0.9615740741</v>
      </c>
      <c r="C8311" s="56">
        <f t="shared" si="3"/>
        <v>83080</v>
      </c>
      <c r="D8311" s="56">
        <v>2.936</v>
      </c>
    </row>
    <row r="8312" ht="15.75" customHeight="1">
      <c r="B8312" s="370">
        <f t="shared" si="2"/>
        <v>0.9616898148</v>
      </c>
      <c r="C8312" s="56">
        <f t="shared" si="3"/>
        <v>83090</v>
      </c>
      <c r="D8312" s="56">
        <v>2.985</v>
      </c>
    </row>
    <row r="8313" ht="15.75" customHeight="1">
      <c r="B8313" s="370">
        <f t="shared" si="2"/>
        <v>0.9618055556</v>
      </c>
      <c r="C8313" s="56">
        <f t="shared" si="3"/>
        <v>83100</v>
      </c>
      <c r="D8313" s="56">
        <v>2.855</v>
      </c>
    </row>
    <row r="8314" ht="15.75" customHeight="1">
      <c r="B8314" s="370">
        <f t="shared" si="2"/>
        <v>0.9619212963</v>
      </c>
      <c r="C8314" s="56">
        <f t="shared" si="3"/>
        <v>83110</v>
      </c>
      <c r="D8314" s="56">
        <v>2.962</v>
      </c>
    </row>
    <row r="8315" ht="15.75" customHeight="1">
      <c r="B8315" s="370">
        <f t="shared" si="2"/>
        <v>0.962037037</v>
      </c>
      <c r="C8315" s="56">
        <f t="shared" si="3"/>
        <v>83120</v>
      </c>
      <c r="D8315" s="56">
        <v>3.041</v>
      </c>
    </row>
    <row r="8316" ht="15.75" customHeight="1">
      <c r="B8316" s="370">
        <f t="shared" si="2"/>
        <v>0.9621527778</v>
      </c>
      <c r="C8316" s="56">
        <f t="shared" si="3"/>
        <v>83130</v>
      </c>
      <c r="D8316" s="56">
        <v>3.109</v>
      </c>
    </row>
    <row r="8317" ht="15.75" customHeight="1">
      <c r="B8317" s="370">
        <f t="shared" si="2"/>
        <v>0.9622685185</v>
      </c>
      <c r="C8317" s="56">
        <f t="shared" si="3"/>
        <v>83140</v>
      </c>
      <c r="D8317" s="56">
        <v>2.872</v>
      </c>
    </row>
    <row r="8318" ht="15.75" customHeight="1">
      <c r="B8318" s="370">
        <f t="shared" si="2"/>
        <v>0.9623842593</v>
      </c>
      <c r="C8318" s="56">
        <f t="shared" si="3"/>
        <v>83150</v>
      </c>
      <c r="D8318" s="56">
        <v>2.657</v>
      </c>
    </row>
    <row r="8319" ht="15.75" customHeight="1">
      <c r="B8319" s="370">
        <f t="shared" si="2"/>
        <v>0.9625</v>
      </c>
      <c r="C8319" s="56">
        <f t="shared" si="3"/>
        <v>83160</v>
      </c>
      <c r="D8319" s="56">
        <v>2.404</v>
      </c>
    </row>
    <row r="8320" ht="15.75" customHeight="1">
      <c r="B8320" s="370">
        <f t="shared" si="2"/>
        <v>0.9626157407</v>
      </c>
      <c r="C8320" s="56">
        <f t="shared" si="3"/>
        <v>83170</v>
      </c>
      <c r="D8320" s="56">
        <v>2.092</v>
      </c>
    </row>
    <row r="8321" ht="15.75" customHeight="1">
      <c r="B8321" s="370">
        <f t="shared" si="2"/>
        <v>0.9627314815</v>
      </c>
      <c r="C8321" s="56">
        <f t="shared" si="3"/>
        <v>83180</v>
      </c>
      <c r="D8321" s="56">
        <v>2.634</v>
      </c>
    </row>
    <row r="8322" ht="15.75" customHeight="1">
      <c r="B8322" s="370">
        <f t="shared" si="2"/>
        <v>0.9628472222</v>
      </c>
      <c r="C8322" s="56">
        <f t="shared" si="3"/>
        <v>83190</v>
      </c>
      <c r="D8322" s="56">
        <v>3.368</v>
      </c>
    </row>
    <row r="8323" ht="15.75" customHeight="1">
      <c r="B8323" s="370">
        <f t="shared" si="2"/>
        <v>0.962962963</v>
      </c>
      <c r="C8323" s="56">
        <f t="shared" si="3"/>
        <v>83200</v>
      </c>
      <c r="D8323" s="56">
        <v>3.52</v>
      </c>
    </row>
    <row r="8324" ht="15.75" customHeight="1">
      <c r="B8324" s="370">
        <f t="shared" si="2"/>
        <v>0.9630787037</v>
      </c>
      <c r="C8324" s="56">
        <f t="shared" si="3"/>
        <v>83210</v>
      </c>
      <c r="D8324" s="56">
        <v>3.515</v>
      </c>
    </row>
    <row r="8325" ht="15.75" customHeight="1">
      <c r="B8325" s="370">
        <f t="shared" si="2"/>
        <v>0.9631944444</v>
      </c>
      <c r="C8325" s="56">
        <f t="shared" si="3"/>
        <v>83220</v>
      </c>
      <c r="D8325" s="56">
        <v>3.48</v>
      </c>
    </row>
    <row r="8326" ht="15.75" customHeight="1">
      <c r="B8326" s="370">
        <f t="shared" si="2"/>
        <v>0.9633101852</v>
      </c>
      <c r="C8326" s="56">
        <f t="shared" si="3"/>
        <v>83230</v>
      </c>
      <c r="D8326" s="56">
        <v>3.0</v>
      </c>
    </row>
    <row r="8327" ht="15.75" customHeight="1">
      <c r="B8327" s="370">
        <f t="shared" si="2"/>
        <v>0.9634259259</v>
      </c>
      <c r="C8327" s="56">
        <f t="shared" si="3"/>
        <v>83240</v>
      </c>
      <c r="D8327" s="56">
        <v>2.038</v>
      </c>
    </row>
    <row r="8328" ht="15.75" customHeight="1">
      <c r="B8328" s="370">
        <f t="shared" si="2"/>
        <v>0.9635416667</v>
      </c>
      <c r="C8328" s="56">
        <f t="shared" si="3"/>
        <v>83250</v>
      </c>
      <c r="D8328" s="56">
        <v>2.313</v>
      </c>
    </row>
    <row r="8329" ht="15.75" customHeight="1">
      <c r="B8329" s="370">
        <f t="shared" si="2"/>
        <v>0.9636574074</v>
      </c>
      <c r="C8329" s="56">
        <f t="shared" si="3"/>
        <v>83260</v>
      </c>
      <c r="D8329" s="56">
        <v>2.546</v>
      </c>
    </row>
    <row r="8330" ht="15.75" customHeight="1">
      <c r="B8330" s="370">
        <f t="shared" si="2"/>
        <v>0.9637731481</v>
      </c>
      <c r="C8330" s="56">
        <f t="shared" si="3"/>
        <v>83270</v>
      </c>
      <c r="D8330" s="56">
        <v>2.811</v>
      </c>
    </row>
    <row r="8331" ht="15.75" customHeight="1">
      <c r="B8331" s="370">
        <f t="shared" si="2"/>
        <v>0.9638888889</v>
      </c>
      <c r="C8331" s="56">
        <f t="shared" si="3"/>
        <v>83280</v>
      </c>
      <c r="D8331" s="56">
        <v>3.008</v>
      </c>
    </row>
    <row r="8332" ht="15.75" customHeight="1">
      <c r="B8332" s="370">
        <f t="shared" si="2"/>
        <v>0.9640046296</v>
      </c>
      <c r="C8332" s="56">
        <f t="shared" si="3"/>
        <v>83290</v>
      </c>
      <c r="D8332" s="56">
        <v>3.107</v>
      </c>
    </row>
    <row r="8333" ht="15.75" customHeight="1">
      <c r="B8333" s="370">
        <f t="shared" si="2"/>
        <v>0.9641203704</v>
      </c>
      <c r="C8333" s="56">
        <f t="shared" si="3"/>
        <v>83300</v>
      </c>
      <c r="D8333" s="56">
        <v>3.01</v>
      </c>
    </row>
    <row r="8334" ht="15.75" customHeight="1">
      <c r="B8334" s="370">
        <f t="shared" si="2"/>
        <v>0.9642361111</v>
      </c>
      <c r="C8334" s="56">
        <f t="shared" si="3"/>
        <v>83310</v>
      </c>
      <c r="D8334" s="56">
        <v>2.889</v>
      </c>
    </row>
    <row r="8335" ht="15.75" customHeight="1">
      <c r="B8335" s="370">
        <f t="shared" si="2"/>
        <v>0.9643518519</v>
      </c>
      <c r="C8335" s="56">
        <f t="shared" si="3"/>
        <v>83320</v>
      </c>
      <c r="D8335" s="56">
        <v>2.912</v>
      </c>
    </row>
    <row r="8336" ht="15.75" customHeight="1">
      <c r="B8336" s="370">
        <f t="shared" si="2"/>
        <v>0.9644675926</v>
      </c>
      <c r="C8336" s="56">
        <f t="shared" si="3"/>
        <v>83330</v>
      </c>
      <c r="D8336" s="56">
        <v>2.998</v>
      </c>
    </row>
    <row r="8337" ht="15.75" customHeight="1">
      <c r="B8337" s="370">
        <f t="shared" si="2"/>
        <v>0.9645833333</v>
      </c>
      <c r="C8337" s="56">
        <f t="shared" si="3"/>
        <v>83340</v>
      </c>
      <c r="D8337" s="56">
        <v>2.855</v>
      </c>
    </row>
    <row r="8338" ht="15.75" customHeight="1">
      <c r="B8338" s="370">
        <f t="shared" si="2"/>
        <v>0.9646990741</v>
      </c>
      <c r="C8338" s="56">
        <f t="shared" si="3"/>
        <v>83350</v>
      </c>
      <c r="D8338" s="56">
        <v>2.723</v>
      </c>
    </row>
    <row r="8339" ht="15.75" customHeight="1">
      <c r="B8339" s="370">
        <f t="shared" si="2"/>
        <v>0.9648148148</v>
      </c>
      <c r="C8339" s="56">
        <f t="shared" si="3"/>
        <v>83360</v>
      </c>
      <c r="D8339" s="56">
        <v>2.542</v>
      </c>
    </row>
    <row r="8340" ht="15.75" customHeight="1">
      <c r="B8340" s="370">
        <f t="shared" si="2"/>
        <v>0.9649305556</v>
      </c>
      <c r="C8340" s="56">
        <f t="shared" si="3"/>
        <v>83370</v>
      </c>
      <c r="D8340" s="56">
        <v>2.328</v>
      </c>
    </row>
    <row r="8341" ht="15.75" customHeight="1">
      <c r="B8341" s="370">
        <f t="shared" si="2"/>
        <v>0.9650462963</v>
      </c>
      <c r="C8341" s="56">
        <f t="shared" si="3"/>
        <v>83380</v>
      </c>
      <c r="D8341" s="56">
        <v>2.419</v>
      </c>
    </row>
    <row r="8342" ht="15.75" customHeight="1">
      <c r="B8342" s="370">
        <f t="shared" si="2"/>
        <v>0.965162037</v>
      </c>
      <c r="C8342" s="56">
        <f t="shared" si="3"/>
        <v>83390</v>
      </c>
      <c r="D8342" s="56">
        <v>3.278</v>
      </c>
    </row>
    <row r="8343" ht="15.75" customHeight="1">
      <c r="B8343" s="370">
        <f t="shared" si="2"/>
        <v>0.9652777778</v>
      </c>
      <c r="C8343" s="56">
        <f t="shared" si="3"/>
        <v>83400</v>
      </c>
      <c r="D8343" s="56">
        <v>3.494</v>
      </c>
    </row>
    <row r="8344" ht="15.75" customHeight="1">
      <c r="B8344" s="370">
        <f t="shared" si="2"/>
        <v>0.9653935185</v>
      </c>
      <c r="C8344" s="56">
        <f t="shared" si="3"/>
        <v>83410</v>
      </c>
      <c r="D8344" s="56">
        <v>3.5</v>
      </c>
    </row>
    <row r="8345" ht="15.75" customHeight="1">
      <c r="B8345" s="370">
        <f t="shared" si="2"/>
        <v>0.9655092593</v>
      </c>
      <c r="C8345" s="56">
        <f t="shared" si="3"/>
        <v>83420</v>
      </c>
      <c r="D8345" s="56">
        <v>3.505</v>
      </c>
    </row>
    <row r="8346" ht="15.75" customHeight="1">
      <c r="B8346" s="370">
        <f t="shared" si="2"/>
        <v>0.965625</v>
      </c>
      <c r="C8346" s="56">
        <f t="shared" si="3"/>
        <v>83430</v>
      </c>
      <c r="D8346" s="56">
        <v>3.107</v>
      </c>
    </row>
    <row r="8347" ht="15.75" customHeight="1">
      <c r="B8347" s="370">
        <f t="shared" si="2"/>
        <v>0.9657407407</v>
      </c>
      <c r="C8347" s="56">
        <f t="shared" si="3"/>
        <v>83440</v>
      </c>
      <c r="D8347" s="56">
        <v>2.335</v>
      </c>
    </row>
    <row r="8348" ht="15.75" customHeight="1">
      <c r="B8348" s="370">
        <f t="shared" si="2"/>
        <v>0.9658564815</v>
      </c>
      <c r="C8348" s="56">
        <f t="shared" si="3"/>
        <v>83450</v>
      </c>
      <c r="D8348" s="56">
        <v>2.058</v>
      </c>
    </row>
    <row r="8349" ht="15.75" customHeight="1">
      <c r="B8349" s="370">
        <f t="shared" si="2"/>
        <v>0.9659722222</v>
      </c>
      <c r="C8349" s="56">
        <f t="shared" si="3"/>
        <v>83460</v>
      </c>
      <c r="D8349" s="56">
        <v>2.416</v>
      </c>
    </row>
    <row r="8350" ht="15.75" customHeight="1">
      <c r="B8350" s="370">
        <f t="shared" si="2"/>
        <v>0.966087963</v>
      </c>
      <c r="C8350" s="56">
        <f t="shared" si="3"/>
        <v>83470</v>
      </c>
      <c r="D8350" s="56">
        <v>2.756</v>
      </c>
    </row>
    <row r="8351" ht="15.75" customHeight="1">
      <c r="B8351" s="370">
        <f t="shared" si="2"/>
        <v>0.9662037037</v>
      </c>
      <c r="C8351" s="56">
        <f t="shared" si="3"/>
        <v>83480</v>
      </c>
      <c r="D8351" s="56">
        <v>3.049</v>
      </c>
    </row>
    <row r="8352" ht="15.75" customHeight="1">
      <c r="B8352" s="370">
        <f t="shared" si="2"/>
        <v>0.9663194444</v>
      </c>
      <c r="C8352" s="56">
        <f t="shared" si="3"/>
        <v>83490</v>
      </c>
      <c r="D8352" s="56">
        <v>3.269</v>
      </c>
    </row>
    <row r="8353" ht="15.75" customHeight="1">
      <c r="B8353" s="370">
        <f t="shared" si="2"/>
        <v>0.9664351852</v>
      </c>
      <c r="C8353" s="56">
        <f t="shared" si="3"/>
        <v>83500</v>
      </c>
      <c r="D8353" s="56">
        <v>3.161</v>
      </c>
    </row>
    <row r="8354" ht="15.75" customHeight="1">
      <c r="B8354" s="370">
        <f t="shared" si="2"/>
        <v>0.9665509259</v>
      </c>
      <c r="C8354" s="56">
        <f t="shared" si="3"/>
        <v>83510</v>
      </c>
      <c r="D8354" s="56">
        <v>3.086</v>
      </c>
    </row>
    <row r="8355" ht="15.75" customHeight="1">
      <c r="B8355" s="370">
        <f t="shared" si="2"/>
        <v>0.9666666667</v>
      </c>
      <c r="C8355" s="56">
        <f t="shared" si="3"/>
        <v>83520</v>
      </c>
      <c r="D8355" s="56">
        <v>2.782</v>
      </c>
    </row>
    <row r="8356" ht="15.75" customHeight="1">
      <c r="B8356" s="370">
        <f t="shared" si="2"/>
        <v>0.9667824074</v>
      </c>
      <c r="C8356" s="56">
        <f t="shared" si="3"/>
        <v>83530</v>
      </c>
      <c r="D8356" s="56">
        <v>2.85</v>
      </c>
    </row>
    <row r="8357" ht="15.75" customHeight="1">
      <c r="B8357" s="370">
        <f t="shared" si="2"/>
        <v>0.9668981481</v>
      </c>
      <c r="C8357" s="56">
        <f t="shared" si="3"/>
        <v>83540</v>
      </c>
      <c r="D8357" s="56">
        <v>2.802</v>
      </c>
    </row>
    <row r="8358" ht="15.75" customHeight="1">
      <c r="B8358" s="370">
        <f t="shared" si="2"/>
        <v>0.9670138889</v>
      </c>
      <c r="C8358" s="56">
        <f t="shared" si="3"/>
        <v>83550</v>
      </c>
      <c r="D8358" s="56">
        <v>2.754</v>
      </c>
    </row>
    <row r="8359" ht="15.75" customHeight="1">
      <c r="B8359" s="370">
        <f t="shared" si="2"/>
        <v>0.9671296296</v>
      </c>
      <c r="C8359" s="56">
        <f t="shared" si="3"/>
        <v>83560</v>
      </c>
      <c r="D8359" s="56">
        <v>2.634</v>
      </c>
    </row>
    <row r="8360" ht="15.75" customHeight="1">
      <c r="B8360" s="370">
        <f t="shared" si="2"/>
        <v>0.9672453704</v>
      </c>
      <c r="C8360" s="56">
        <f t="shared" si="3"/>
        <v>83570</v>
      </c>
      <c r="D8360" s="56">
        <v>2.45</v>
      </c>
    </row>
    <row r="8361" ht="15.75" customHeight="1">
      <c r="B8361" s="370">
        <f t="shared" si="2"/>
        <v>0.9673611111</v>
      </c>
      <c r="C8361" s="56">
        <f t="shared" si="3"/>
        <v>83580</v>
      </c>
      <c r="D8361" s="56">
        <v>2.247</v>
      </c>
    </row>
    <row r="8362" ht="15.75" customHeight="1">
      <c r="B8362" s="370">
        <f t="shared" si="2"/>
        <v>0.9674768519</v>
      </c>
      <c r="C8362" s="56">
        <f t="shared" si="3"/>
        <v>83590</v>
      </c>
      <c r="D8362" s="56">
        <v>3.14</v>
      </c>
    </row>
    <row r="8363" ht="15.75" customHeight="1">
      <c r="B8363" s="370">
        <f t="shared" si="2"/>
        <v>0.9675925926</v>
      </c>
      <c r="C8363" s="56">
        <f t="shared" si="3"/>
        <v>83600</v>
      </c>
      <c r="D8363" s="56">
        <v>3.429</v>
      </c>
    </row>
    <row r="8364" ht="15.75" customHeight="1">
      <c r="B8364" s="370">
        <f t="shared" si="2"/>
        <v>0.9677083333</v>
      </c>
      <c r="C8364" s="56">
        <f t="shared" si="3"/>
        <v>83610</v>
      </c>
      <c r="D8364" s="56">
        <v>3.465</v>
      </c>
    </row>
    <row r="8365" ht="15.75" customHeight="1">
      <c r="B8365" s="370">
        <f t="shared" si="2"/>
        <v>0.9678240741</v>
      </c>
      <c r="C8365" s="56">
        <f t="shared" si="3"/>
        <v>83620</v>
      </c>
      <c r="D8365" s="56">
        <v>3.498</v>
      </c>
    </row>
    <row r="8366" ht="15.75" customHeight="1">
      <c r="B8366" s="370">
        <f t="shared" si="2"/>
        <v>0.9679398148</v>
      </c>
      <c r="C8366" s="56">
        <f t="shared" si="3"/>
        <v>83630</v>
      </c>
      <c r="D8366" s="56">
        <v>3.193</v>
      </c>
    </row>
    <row r="8367" ht="15.75" customHeight="1">
      <c r="B8367" s="370">
        <f t="shared" si="2"/>
        <v>0.9680555556</v>
      </c>
      <c r="C8367" s="56">
        <f t="shared" si="3"/>
        <v>83640</v>
      </c>
      <c r="D8367" s="56">
        <v>2.51</v>
      </c>
    </row>
    <row r="8368" ht="15.75" customHeight="1">
      <c r="B8368" s="370">
        <f t="shared" si="2"/>
        <v>0.9681712963</v>
      </c>
      <c r="C8368" s="56">
        <f t="shared" si="3"/>
        <v>83650</v>
      </c>
      <c r="D8368" s="56">
        <v>1.972</v>
      </c>
    </row>
    <row r="8369" ht="15.75" customHeight="1">
      <c r="B8369" s="370">
        <f t="shared" si="2"/>
        <v>0.968287037</v>
      </c>
      <c r="C8369" s="56">
        <f t="shared" si="3"/>
        <v>83660</v>
      </c>
      <c r="D8369" s="56">
        <v>2.246</v>
      </c>
    </row>
    <row r="8370" ht="15.75" customHeight="1">
      <c r="B8370" s="370">
        <f t="shared" si="2"/>
        <v>0.9684027778</v>
      </c>
      <c r="C8370" s="56">
        <f t="shared" si="3"/>
        <v>83670</v>
      </c>
      <c r="D8370" s="56">
        <v>2.662</v>
      </c>
    </row>
    <row r="8371" ht="15.75" customHeight="1">
      <c r="B8371" s="370">
        <f t="shared" si="2"/>
        <v>0.9685185185</v>
      </c>
      <c r="C8371" s="56">
        <f t="shared" si="3"/>
        <v>83680</v>
      </c>
      <c r="D8371" s="56">
        <v>3.053</v>
      </c>
    </row>
    <row r="8372" ht="15.75" customHeight="1">
      <c r="B8372" s="370">
        <f t="shared" si="2"/>
        <v>0.9686342593</v>
      </c>
      <c r="C8372" s="56">
        <f t="shared" si="3"/>
        <v>83690</v>
      </c>
      <c r="D8372" s="56">
        <v>3.361</v>
      </c>
    </row>
    <row r="8373" ht="15.75" customHeight="1">
      <c r="B8373" s="370">
        <f t="shared" si="2"/>
        <v>0.96875</v>
      </c>
      <c r="C8373" s="56">
        <f t="shared" si="3"/>
        <v>83700</v>
      </c>
      <c r="D8373" s="56">
        <v>3.287</v>
      </c>
    </row>
    <row r="8374" ht="15.75" customHeight="1">
      <c r="B8374" s="370">
        <f t="shared" si="2"/>
        <v>0.9688657407</v>
      </c>
      <c r="C8374" s="56">
        <f t="shared" si="3"/>
        <v>83710</v>
      </c>
      <c r="D8374" s="56">
        <v>3.188</v>
      </c>
    </row>
    <row r="8375" ht="15.75" customHeight="1">
      <c r="B8375" s="370">
        <f t="shared" si="2"/>
        <v>0.9689814815</v>
      </c>
      <c r="C8375" s="56">
        <f t="shared" si="3"/>
        <v>83720</v>
      </c>
      <c r="D8375" s="56">
        <v>2.992</v>
      </c>
    </row>
    <row r="8376" ht="15.75" customHeight="1">
      <c r="B8376" s="370">
        <f t="shared" si="2"/>
        <v>0.9690972222</v>
      </c>
      <c r="C8376" s="56">
        <f t="shared" si="3"/>
        <v>83730</v>
      </c>
      <c r="D8376" s="56">
        <v>2.603</v>
      </c>
    </row>
    <row r="8377" ht="15.75" customHeight="1">
      <c r="B8377" s="370">
        <f t="shared" si="2"/>
        <v>0.969212963</v>
      </c>
      <c r="C8377" s="56">
        <f t="shared" si="3"/>
        <v>83740</v>
      </c>
      <c r="D8377" s="56">
        <v>2.712</v>
      </c>
    </row>
    <row r="8378" ht="15.75" customHeight="1">
      <c r="B8378" s="370">
        <f t="shared" si="2"/>
        <v>0.9693287037</v>
      </c>
      <c r="C8378" s="56">
        <f t="shared" si="3"/>
        <v>83750</v>
      </c>
      <c r="D8378" s="56">
        <v>2.75</v>
      </c>
    </row>
    <row r="8379" ht="15.75" customHeight="1">
      <c r="B8379" s="370">
        <f t="shared" si="2"/>
        <v>0.9694444444</v>
      </c>
      <c r="C8379" s="56">
        <f t="shared" si="3"/>
        <v>83760</v>
      </c>
      <c r="D8379" s="56">
        <v>2.697</v>
      </c>
    </row>
    <row r="8380" ht="15.75" customHeight="1">
      <c r="B8380" s="370">
        <f t="shared" si="2"/>
        <v>0.9695601852</v>
      </c>
      <c r="C8380" s="56">
        <f t="shared" si="3"/>
        <v>83770</v>
      </c>
      <c r="D8380" s="56">
        <v>2.633</v>
      </c>
    </row>
    <row r="8381" ht="15.75" customHeight="1">
      <c r="B8381" s="370">
        <f t="shared" si="2"/>
        <v>0.9696759259</v>
      </c>
      <c r="C8381" s="56">
        <f t="shared" si="3"/>
        <v>83780</v>
      </c>
      <c r="D8381" s="56">
        <v>2.385</v>
      </c>
    </row>
    <row r="8382" ht="15.75" customHeight="1">
      <c r="B8382" s="370">
        <f t="shared" si="2"/>
        <v>0.9697916667</v>
      </c>
      <c r="C8382" s="56">
        <f t="shared" si="3"/>
        <v>83790</v>
      </c>
      <c r="D8382" s="56">
        <v>3.003</v>
      </c>
    </row>
    <row r="8383" ht="15.75" customHeight="1">
      <c r="B8383" s="370">
        <f t="shared" si="2"/>
        <v>0.9699074074</v>
      </c>
      <c r="C8383" s="56">
        <f t="shared" si="3"/>
        <v>83800</v>
      </c>
      <c r="D8383" s="56">
        <v>3.349</v>
      </c>
    </row>
    <row r="8384" ht="15.75" customHeight="1">
      <c r="B8384" s="370">
        <f t="shared" si="2"/>
        <v>0.9700231481</v>
      </c>
      <c r="C8384" s="56">
        <f t="shared" si="3"/>
        <v>83810</v>
      </c>
      <c r="D8384" s="56">
        <v>3.394</v>
      </c>
    </row>
    <row r="8385" ht="15.75" customHeight="1">
      <c r="B8385" s="370">
        <f t="shared" si="2"/>
        <v>0.9701388889</v>
      </c>
      <c r="C8385" s="56">
        <f t="shared" si="3"/>
        <v>83820</v>
      </c>
      <c r="D8385" s="56">
        <v>3.462</v>
      </c>
    </row>
    <row r="8386" ht="15.75" customHeight="1">
      <c r="B8386" s="370">
        <f t="shared" si="2"/>
        <v>0.9702546296</v>
      </c>
      <c r="C8386" s="56">
        <f t="shared" si="3"/>
        <v>83830</v>
      </c>
      <c r="D8386" s="56">
        <v>3.235</v>
      </c>
    </row>
    <row r="8387" ht="15.75" customHeight="1">
      <c r="B8387" s="370">
        <f t="shared" si="2"/>
        <v>0.9703703704</v>
      </c>
      <c r="C8387" s="56">
        <f t="shared" si="3"/>
        <v>83840</v>
      </c>
      <c r="D8387" s="56">
        <v>2.65</v>
      </c>
    </row>
    <row r="8388" ht="15.75" customHeight="1">
      <c r="B8388" s="370">
        <f t="shared" si="2"/>
        <v>0.9704861111</v>
      </c>
      <c r="C8388" s="56">
        <f t="shared" si="3"/>
        <v>83850</v>
      </c>
      <c r="D8388" s="56">
        <v>2.098</v>
      </c>
    </row>
    <row r="8389" ht="15.75" customHeight="1">
      <c r="B8389" s="370">
        <f t="shared" si="2"/>
        <v>0.9706018519</v>
      </c>
      <c r="C8389" s="56">
        <f t="shared" si="3"/>
        <v>83860</v>
      </c>
      <c r="D8389" s="56">
        <v>2.072</v>
      </c>
    </row>
    <row r="8390" ht="15.75" customHeight="1">
      <c r="B8390" s="370">
        <f t="shared" si="2"/>
        <v>0.9707175926</v>
      </c>
      <c r="C8390" s="56">
        <f t="shared" si="3"/>
        <v>83870</v>
      </c>
      <c r="D8390" s="56">
        <v>2.516</v>
      </c>
    </row>
    <row r="8391" ht="15.75" customHeight="1">
      <c r="B8391" s="370">
        <f t="shared" si="2"/>
        <v>0.9708333333</v>
      </c>
      <c r="C8391" s="56">
        <f t="shared" si="3"/>
        <v>83880</v>
      </c>
      <c r="D8391" s="56">
        <v>3.019</v>
      </c>
    </row>
    <row r="8392" ht="15.75" customHeight="1">
      <c r="B8392" s="370">
        <f t="shared" si="2"/>
        <v>0.9709490741</v>
      </c>
      <c r="C8392" s="56">
        <f t="shared" si="3"/>
        <v>83890</v>
      </c>
      <c r="D8392" s="56">
        <v>3.407</v>
      </c>
    </row>
    <row r="8393" ht="15.75" customHeight="1">
      <c r="B8393" s="370">
        <f t="shared" si="2"/>
        <v>0.9710648148</v>
      </c>
      <c r="C8393" s="56">
        <f t="shared" si="3"/>
        <v>83900</v>
      </c>
      <c r="D8393" s="56">
        <v>3.384</v>
      </c>
    </row>
    <row r="8394" ht="15.75" customHeight="1">
      <c r="B8394" s="370">
        <f t="shared" si="2"/>
        <v>0.9711805556</v>
      </c>
      <c r="C8394" s="56">
        <f t="shared" si="3"/>
        <v>83910</v>
      </c>
      <c r="D8394" s="56">
        <v>3.336</v>
      </c>
    </row>
    <row r="8395" ht="15.75" customHeight="1">
      <c r="B8395" s="370">
        <f t="shared" si="2"/>
        <v>0.9712962963</v>
      </c>
      <c r="C8395" s="56">
        <f t="shared" si="3"/>
        <v>83920</v>
      </c>
      <c r="D8395" s="56">
        <v>3.155</v>
      </c>
    </row>
    <row r="8396" ht="15.75" customHeight="1">
      <c r="B8396" s="370">
        <f t="shared" si="2"/>
        <v>0.971412037</v>
      </c>
      <c r="C8396" s="56">
        <f t="shared" si="3"/>
        <v>83930</v>
      </c>
      <c r="D8396" s="56">
        <v>2.47</v>
      </c>
    </row>
    <row r="8397" ht="15.75" customHeight="1">
      <c r="B8397" s="370">
        <f t="shared" si="2"/>
        <v>0.9715277778</v>
      </c>
      <c r="C8397" s="56">
        <f t="shared" si="3"/>
        <v>83940</v>
      </c>
      <c r="D8397" s="56">
        <v>2.589</v>
      </c>
    </row>
    <row r="8398" ht="15.75" customHeight="1">
      <c r="B8398" s="370">
        <f t="shared" si="2"/>
        <v>0.9716435185</v>
      </c>
      <c r="C8398" s="56">
        <f t="shared" si="3"/>
        <v>83950</v>
      </c>
      <c r="D8398" s="56">
        <v>2.712</v>
      </c>
    </row>
    <row r="8399" ht="15.75" customHeight="1">
      <c r="B8399" s="370">
        <f t="shared" si="2"/>
        <v>0.9717592593</v>
      </c>
      <c r="C8399" s="56">
        <f t="shared" si="3"/>
        <v>83960</v>
      </c>
      <c r="D8399" s="56">
        <v>2.722</v>
      </c>
    </row>
    <row r="8400" ht="15.75" customHeight="1">
      <c r="B8400" s="370">
        <f t="shared" si="2"/>
        <v>0.971875</v>
      </c>
      <c r="C8400" s="56">
        <f t="shared" si="3"/>
        <v>83970</v>
      </c>
      <c r="D8400" s="56">
        <v>2.733</v>
      </c>
    </row>
    <row r="8401" ht="15.75" customHeight="1">
      <c r="B8401" s="370">
        <f t="shared" si="2"/>
        <v>0.9719907407</v>
      </c>
      <c r="C8401" s="56">
        <f t="shared" si="3"/>
        <v>83980</v>
      </c>
      <c r="D8401" s="56">
        <v>2.602</v>
      </c>
    </row>
    <row r="8402" ht="15.75" customHeight="1">
      <c r="B8402" s="370">
        <f t="shared" si="2"/>
        <v>0.9721064815</v>
      </c>
      <c r="C8402" s="56">
        <f t="shared" si="3"/>
        <v>83990</v>
      </c>
      <c r="D8402" s="56">
        <v>2.784</v>
      </c>
    </row>
    <row r="8403" ht="15.75" customHeight="1">
      <c r="B8403" s="370">
        <f t="shared" si="2"/>
        <v>0.9722222222</v>
      </c>
      <c r="C8403" s="56">
        <f t="shared" si="3"/>
        <v>84000</v>
      </c>
      <c r="D8403" s="56">
        <v>3.233</v>
      </c>
    </row>
    <row r="8404" ht="15.75" customHeight="1">
      <c r="B8404" s="370">
        <f t="shared" si="2"/>
        <v>0.972337963</v>
      </c>
      <c r="C8404" s="56">
        <f t="shared" si="3"/>
        <v>84010</v>
      </c>
      <c r="D8404" s="56">
        <v>3.291</v>
      </c>
    </row>
    <row r="8405" ht="15.75" customHeight="1">
      <c r="B8405" s="370">
        <f t="shared" si="2"/>
        <v>0.9724537037</v>
      </c>
      <c r="C8405" s="56">
        <f t="shared" si="3"/>
        <v>84020</v>
      </c>
      <c r="D8405" s="56">
        <v>3.383</v>
      </c>
    </row>
    <row r="8406" ht="15.75" customHeight="1">
      <c r="B8406" s="370">
        <f t="shared" si="2"/>
        <v>0.9725694444</v>
      </c>
      <c r="C8406" s="56">
        <f t="shared" si="3"/>
        <v>84030</v>
      </c>
      <c r="D8406" s="56">
        <v>3.241</v>
      </c>
    </row>
    <row r="8407" ht="15.75" customHeight="1">
      <c r="B8407" s="370">
        <f t="shared" si="2"/>
        <v>0.9726851852</v>
      </c>
      <c r="C8407" s="56">
        <f t="shared" si="3"/>
        <v>84040</v>
      </c>
      <c r="D8407" s="56">
        <v>2.753</v>
      </c>
    </row>
    <row r="8408" ht="15.75" customHeight="1">
      <c r="B8408" s="370">
        <f t="shared" si="2"/>
        <v>0.9728009259</v>
      </c>
      <c r="C8408" s="56">
        <f t="shared" si="3"/>
        <v>84050</v>
      </c>
      <c r="D8408" s="56">
        <v>2.35</v>
      </c>
    </row>
    <row r="8409" ht="15.75" customHeight="1">
      <c r="B8409" s="370">
        <f t="shared" si="2"/>
        <v>0.9729166667</v>
      </c>
      <c r="C8409" s="56">
        <f t="shared" si="3"/>
        <v>84060</v>
      </c>
      <c r="D8409" s="56">
        <v>1.936</v>
      </c>
    </row>
    <row r="8410" ht="15.75" customHeight="1">
      <c r="B8410" s="370">
        <f t="shared" si="2"/>
        <v>0.9730324074</v>
      </c>
      <c r="C8410" s="56">
        <f t="shared" si="3"/>
        <v>84070</v>
      </c>
      <c r="D8410" s="56">
        <v>2.375</v>
      </c>
    </row>
    <row r="8411" ht="15.75" customHeight="1">
      <c r="B8411" s="370">
        <f t="shared" si="2"/>
        <v>0.9731481481</v>
      </c>
      <c r="C8411" s="56">
        <f t="shared" si="3"/>
        <v>84080</v>
      </c>
      <c r="D8411" s="56">
        <v>2.952</v>
      </c>
    </row>
    <row r="8412" ht="15.75" customHeight="1">
      <c r="B8412" s="370">
        <f t="shared" si="2"/>
        <v>0.9732638889</v>
      </c>
      <c r="C8412" s="56">
        <f t="shared" si="3"/>
        <v>84090</v>
      </c>
      <c r="D8412" s="56">
        <v>3.447</v>
      </c>
    </row>
    <row r="8413" ht="15.75" customHeight="1">
      <c r="B8413" s="370">
        <f t="shared" si="2"/>
        <v>0.9733796296</v>
      </c>
      <c r="C8413" s="56">
        <f t="shared" si="3"/>
        <v>84100</v>
      </c>
      <c r="D8413" s="56">
        <v>3.465</v>
      </c>
    </row>
    <row r="8414" ht="15.75" customHeight="1">
      <c r="B8414" s="370">
        <f t="shared" si="2"/>
        <v>0.9734953704</v>
      </c>
      <c r="C8414" s="56">
        <f t="shared" si="3"/>
        <v>84110</v>
      </c>
      <c r="D8414" s="56">
        <v>3.422</v>
      </c>
    </row>
    <row r="8415" ht="15.75" customHeight="1">
      <c r="B8415" s="370">
        <f t="shared" si="2"/>
        <v>0.9736111111</v>
      </c>
      <c r="C8415" s="56">
        <f t="shared" si="3"/>
        <v>84120</v>
      </c>
      <c r="D8415" s="56">
        <v>3.28</v>
      </c>
    </row>
    <row r="8416" ht="15.75" customHeight="1">
      <c r="B8416" s="370">
        <f t="shared" si="2"/>
        <v>0.9737268519</v>
      </c>
      <c r="C8416" s="56">
        <f t="shared" si="3"/>
        <v>84130</v>
      </c>
      <c r="D8416" s="56">
        <v>2.509</v>
      </c>
    </row>
    <row r="8417" ht="15.75" customHeight="1">
      <c r="B8417" s="370">
        <f t="shared" si="2"/>
        <v>0.9738425926</v>
      </c>
      <c r="C8417" s="56">
        <f t="shared" si="3"/>
        <v>84140</v>
      </c>
      <c r="D8417" s="56">
        <v>2.432</v>
      </c>
    </row>
    <row r="8418" ht="15.75" customHeight="1">
      <c r="B8418" s="370">
        <f t="shared" si="2"/>
        <v>0.9739583333</v>
      </c>
      <c r="C8418" s="56">
        <f t="shared" si="3"/>
        <v>84150</v>
      </c>
      <c r="D8418" s="56">
        <v>2.64</v>
      </c>
    </row>
    <row r="8419" ht="15.75" customHeight="1">
      <c r="B8419" s="370">
        <f t="shared" si="2"/>
        <v>0.9740740741</v>
      </c>
      <c r="C8419" s="56">
        <f t="shared" si="3"/>
        <v>84160</v>
      </c>
      <c r="D8419" s="56">
        <v>2.713</v>
      </c>
    </row>
    <row r="8420" ht="15.75" customHeight="1">
      <c r="B8420" s="370">
        <f t="shared" si="2"/>
        <v>0.9741898148</v>
      </c>
      <c r="C8420" s="56">
        <f t="shared" si="3"/>
        <v>84170</v>
      </c>
      <c r="D8420" s="56">
        <v>2.801</v>
      </c>
    </row>
    <row r="8421" ht="15.75" customHeight="1">
      <c r="B8421" s="370">
        <f t="shared" si="2"/>
        <v>0.9743055556</v>
      </c>
      <c r="C8421" s="56">
        <f t="shared" si="3"/>
        <v>84180</v>
      </c>
      <c r="D8421" s="56">
        <v>2.721</v>
      </c>
    </row>
    <row r="8422" ht="15.75" customHeight="1">
      <c r="B8422" s="370">
        <f t="shared" si="2"/>
        <v>0.9744212963</v>
      </c>
      <c r="C8422" s="56">
        <f t="shared" si="3"/>
        <v>84190</v>
      </c>
      <c r="D8422" s="56">
        <v>2.718</v>
      </c>
    </row>
    <row r="8423" ht="15.75" customHeight="1">
      <c r="B8423" s="370">
        <f t="shared" si="2"/>
        <v>0.974537037</v>
      </c>
      <c r="C8423" s="56">
        <f t="shared" si="3"/>
        <v>84200</v>
      </c>
      <c r="D8423" s="56">
        <v>3.036</v>
      </c>
    </row>
    <row r="8424" ht="15.75" customHeight="1">
      <c r="B8424" s="370">
        <f t="shared" si="2"/>
        <v>0.9746527778</v>
      </c>
      <c r="C8424" s="56">
        <f t="shared" si="3"/>
        <v>84210</v>
      </c>
      <c r="D8424" s="56">
        <v>3.177</v>
      </c>
    </row>
    <row r="8425" ht="15.75" customHeight="1">
      <c r="B8425" s="370">
        <f t="shared" si="2"/>
        <v>0.9747685185</v>
      </c>
      <c r="C8425" s="56">
        <f t="shared" si="3"/>
        <v>84220</v>
      </c>
      <c r="D8425" s="56">
        <v>3.29</v>
      </c>
    </row>
    <row r="8426" ht="15.75" customHeight="1">
      <c r="B8426" s="370">
        <f t="shared" si="2"/>
        <v>0.9748842593</v>
      </c>
      <c r="C8426" s="56">
        <f t="shared" si="3"/>
        <v>84230</v>
      </c>
      <c r="D8426" s="56">
        <v>3.215</v>
      </c>
    </row>
    <row r="8427" ht="15.75" customHeight="1">
      <c r="B8427" s="370">
        <f t="shared" si="2"/>
        <v>0.975</v>
      </c>
      <c r="C8427" s="56">
        <f t="shared" si="3"/>
        <v>84240</v>
      </c>
      <c r="D8427" s="56">
        <v>2.83</v>
      </c>
    </row>
    <row r="8428" ht="15.75" customHeight="1">
      <c r="B8428" s="370">
        <f t="shared" si="2"/>
        <v>0.9751157407</v>
      </c>
      <c r="C8428" s="56">
        <f t="shared" si="3"/>
        <v>84250</v>
      </c>
      <c r="D8428" s="56">
        <v>2.501</v>
      </c>
    </row>
    <row r="8429" ht="15.75" customHeight="1">
      <c r="B8429" s="370">
        <f t="shared" si="2"/>
        <v>0.9752314815</v>
      </c>
      <c r="C8429" s="56">
        <f t="shared" si="3"/>
        <v>84260</v>
      </c>
      <c r="D8429" s="56">
        <v>2.169</v>
      </c>
    </row>
    <row r="8430" ht="15.75" customHeight="1">
      <c r="B8430" s="370">
        <f t="shared" si="2"/>
        <v>0.9753472222</v>
      </c>
      <c r="C8430" s="56">
        <f t="shared" si="3"/>
        <v>84270</v>
      </c>
      <c r="D8430" s="56">
        <v>2.15</v>
      </c>
    </row>
    <row r="8431" ht="15.75" customHeight="1">
      <c r="B8431" s="370">
        <f t="shared" si="2"/>
        <v>0.975462963</v>
      </c>
      <c r="C8431" s="56">
        <f t="shared" si="3"/>
        <v>84280</v>
      </c>
      <c r="D8431" s="56">
        <v>2.847</v>
      </c>
    </row>
    <row r="8432" ht="15.75" customHeight="1">
      <c r="B8432" s="370">
        <f t="shared" si="2"/>
        <v>0.9755787037</v>
      </c>
      <c r="C8432" s="56">
        <f t="shared" si="3"/>
        <v>84290</v>
      </c>
      <c r="D8432" s="56">
        <v>3.439</v>
      </c>
    </row>
    <row r="8433" ht="15.75" customHeight="1">
      <c r="B8433" s="370">
        <f t="shared" si="2"/>
        <v>0.9756944444</v>
      </c>
      <c r="C8433" s="56">
        <f t="shared" si="3"/>
        <v>84300</v>
      </c>
      <c r="D8433" s="56">
        <v>3.51</v>
      </c>
    </row>
    <row r="8434" ht="15.75" customHeight="1">
      <c r="B8434" s="370">
        <f t="shared" si="2"/>
        <v>0.9758101852</v>
      </c>
      <c r="C8434" s="56">
        <f t="shared" si="3"/>
        <v>84310</v>
      </c>
      <c r="D8434" s="56">
        <v>3.476</v>
      </c>
    </row>
    <row r="8435" ht="15.75" customHeight="1">
      <c r="B8435" s="370">
        <f t="shared" si="2"/>
        <v>0.9759259259</v>
      </c>
      <c r="C8435" s="56">
        <f t="shared" si="3"/>
        <v>84320</v>
      </c>
      <c r="D8435" s="56">
        <v>3.382</v>
      </c>
    </row>
    <row r="8436" ht="15.75" customHeight="1">
      <c r="B8436" s="370">
        <f t="shared" si="2"/>
        <v>0.9760416667</v>
      </c>
      <c r="C8436" s="56">
        <f t="shared" si="3"/>
        <v>84330</v>
      </c>
      <c r="D8436" s="56">
        <v>2.779</v>
      </c>
    </row>
    <row r="8437" ht="15.75" customHeight="1">
      <c r="B8437" s="370">
        <f t="shared" si="2"/>
        <v>0.9761574074</v>
      </c>
      <c r="C8437" s="56">
        <f t="shared" si="3"/>
        <v>84340</v>
      </c>
      <c r="D8437" s="56">
        <v>2.165</v>
      </c>
    </row>
    <row r="8438" ht="15.75" customHeight="1">
      <c r="B8438" s="370">
        <f t="shared" si="2"/>
        <v>0.9762731481</v>
      </c>
      <c r="C8438" s="56">
        <f t="shared" si="3"/>
        <v>84350</v>
      </c>
      <c r="D8438" s="56">
        <v>2.528</v>
      </c>
    </row>
    <row r="8439" ht="15.75" customHeight="1">
      <c r="B8439" s="370">
        <f t="shared" si="2"/>
        <v>0.9763888889</v>
      </c>
      <c r="C8439" s="56">
        <f t="shared" si="3"/>
        <v>84360</v>
      </c>
      <c r="D8439" s="56">
        <v>2.671</v>
      </c>
    </row>
    <row r="8440" ht="15.75" customHeight="1">
      <c r="B8440" s="370">
        <f t="shared" si="2"/>
        <v>0.9765046296</v>
      </c>
      <c r="C8440" s="56">
        <f t="shared" si="3"/>
        <v>84370</v>
      </c>
      <c r="D8440" s="56">
        <v>2.832</v>
      </c>
    </row>
    <row r="8441" ht="15.75" customHeight="1">
      <c r="B8441" s="370">
        <f t="shared" si="2"/>
        <v>0.9766203704</v>
      </c>
      <c r="C8441" s="56">
        <f t="shared" si="3"/>
        <v>84380</v>
      </c>
      <c r="D8441" s="56">
        <v>2.887</v>
      </c>
    </row>
    <row r="8442" ht="15.75" customHeight="1">
      <c r="B8442" s="370">
        <f t="shared" si="2"/>
        <v>0.9767361111</v>
      </c>
      <c r="C8442" s="56">
        <f t="shared" si="3"/>
        <v>84390</v>
      </c>
      <c r="D8442" s="56">
        <v>2.887</v>
      </c>
    </row>
    <row r="8443" ht="15.75" customHeight="1">
      <c r="B8443" s="370">
        <f t="shared" si="2"/>
        <v>0.9768518519</v>
      </c>
      <c r="C8443" s="56">
        <f t="shared" si="3"/>
        <v>84400</v>
      </c>
      <c r="D8443" s="56">
        <v>2.931</v>
      </c>
    </row>
    <row r="8444" ht="15.75" customHeight="1">
      <c r="B8444" s="370">
        <f t="shared" si="2"/>
        <v>0.9769675926</v>
      </c>
      <c r="C8444" s="56">
        <f t="shared" si="3"/>
        <v>84410</v>
      </c>
      <c r="D8444" s="56">
        <v>3.001</v>
      </c>
    </row>
    <row r="8445" ht="15.75" customHeight="1">
      <c r="B8445" s="370">
        <f t="shared" si="2"/>
        <v>0.9770833333</v>
      </c>
      <c r="C8445" s="56">
        <f t="shared" si="3"/>
        <v>84420</v>
      </c>
      <c r="D8445" s="56">
        <v>3.154</v>
      </c>
    </row>
    <row r="8446" ht="15.75" customHeight="1">
      <c r="B8446" s="370">
        <f t="shared" si="2"/>
        <v>0.9771990741</v>
      </c>
      <c r="C8446" s="56">
        <f t="shared" si="3"/>
        <v>84430</v>
      </c>
      <c r="D8446" s="56">
        <v>3.152</v>
      </c>
    </row>
    <row r="8447" ht="15.75" customHeight="1">
      <c r="B8447" s="370">
        <f t="shared" si="2"/>
        <v>0.9773148148</v>
      </c>
      <c r="C8447" s="56">
        <f t="shared" si="3"/>
        <v>84440</v>
      </c>
      <c r="D8447" s="56">
        <v>2.866</v>
      </c>
    </row>
    <row r="8448" ht="15.75" customHeight="1">
      <c r="B8448" s="370">
        <f t="shared" si="2"/>
        <v>0.9774305556</v>
      </c>
      <c r="C8448" s="56">
        <f t="shared" si="3"/>
        <v>84450</v>
      </c>
      <c r="D8448" s="56">
        <v>2.613</v>
      </c>
    </row>
    <row r="8449" ht="15.75" customHeight="1">
      <c r="B8449" s="370">
        <f t="shared" si="2"/>
        <v>0.9775462963</v>
      </c>
      <c r="C8449" s="56">
        <f t="shared" si="3"/>
        <v>84460</v>
      </c>
      <c r="D8449" s="56">
        <v>2.296</v>
      </c>
    </row>
    <row r="8450" ht="15.75" customHeight="1">
      <c r="B8450" s="370">
        <f t="shared" si="2"/>
        <v>0.977662037</v>
      </c>
      <c r="C8450" s="56">
        <f t="shared" si="3"/>
        <v>84470</v>
      </c>
      <c r="D8450" s="56">
        <v>2.034</v>
      </c>
    </row>
    <row r="8451" ht="15.75" customHeight="1">
      <c r="B8451" s="370">
        <f t="shared" si="2"/>
        <v>0.9777777778</v>
      </c>
      <c r="C8451" s="56">
        <f t="shared" si="3"/>
        <v>84480</v>
      </c>
      <c r="D8451" s="56">
        <v>2.68</v>
      </c>
    </row>
    <row r="8452" ht="15.75" customHeight="1">
      <c r="B8452" s="370">
        <f t="shared" si="2"/>
        <v>0.9778935185</v>
      </c>
      <c r="C8452" s="56">
        <f t="shared" si="3"/>
        <v>84490</v>
      </c>
      <c r="D8452" s="56">
        <v>3.394</v>
      </c>
    </row>
    <row r="8453" ht="15.75" customHeight="1">
      <c r="B8453" s="370">
        <f t="shared" si="2"/>
        <v>0.9780092593</v>
      </c>
      <c r="C8453" s="56">
        <f t="shared" si="3"/>
        <v>84500</v>
      </c>
      <c r="D8453" s="56">
        <v>3.522</v>
      </c>
    </row>
    <row r="8454" ht="15.75" customHeight="1">
      <c r="B8454" s="370">
        <f t="shared" si="2"/>
        <v>0.978125</v>
      </c>
      <c r="C8454" s="56">
        <f t="shared" si="3"/>
        <v>84510</v>
      </c>
      <c r="D8454" s="56">
        <v>3.511</v>
      </c>
    </row>
    <row r="8455" ht="15.75" customHeight="1">
      <c r="B8455" s="370">
        <f t="shared" si="2"/>
        <v>0.9782407407</v>
      </c>
      <c r="C8455" s="56">
        <f t="shared" si="3"/>
        <v>84520</v>
      </c>
      <c r="D8455" s="56">
        <v>3.458</v>
      </c>
    </row>
    <row r="8456" ht="15.75" customHeight="1">
      <c r="B8456" s="370">
        <f t="shared" si="2"/>
        <v>0.9783564815</v>
      </c>
      <c r="C8456" s="56">
        <f t="shared" si="3"/>
        <v>84530</v>
      </c>
      <c r="D8456" s="56">
        <v>2.942</v>
      </c>
    </row>
    <row r="8457" ht="15.75" customHeight="1">
      <c r="B8457" s="370">
        <f t="shared" si="2"/>
        <v>0.9784722222</v>
      </c>
      <c r="C8457" s="56">
        <f t="shared" si="3"/>
        <v>84540</v>
      </c>
      <c r="D8457" s="56">
        <v>2.03</v>
      </c>
    </row>
    <row r="8458" ht="15.75" customHeight="1">
      <c r="B8458" s="370">
        <f t="shared" si="2"/>
        <v>0.978587963</v>
      </c>
      <c r="C8458" s="56">
        <f t="shared" si="3"/>
        <v>84550</v>
      </c>
      <c r="D8458" s="56">
        <v>2.388</v>
      </c>
    </row>
    <row r="8459" ht="15.75" customHeight="1">
      <c r="B8459" s="370">
        <f t="shared" si="2"/>
        <v>0.9787037037</v>
      </c>
      <c r="C8459" s="56">
        <f t="shared" si="3"/>
        <v>84560</v>
      </c>
      <c r="D8459" s="56">
        <v>2.592</v>
      </c>
    </row>
    <row r="8460" ht="15.75" customHeight="1">
      <c r="B8460" s="370">
        <f t="shared" si="2"/>
        <v>0.9788194444</v>
      </c>
      <c r="C8460" s="56">
        <f t="shared" si="3"/>
        <v>84570</v>
      </c>
      <c r="D8460" s="56">
        <v>2.828</v>
      </c>
    </row>
    <row r="8461" ht="15.75" customHeight="1">
      <c r="B8461" s="370">
        <f t="shared" si="2"/>
        <v>0.9789351852</v>
      </c>
      <c r="C8461" s="56">
        <f t="shared" si="3"/>
        <v>84580</v>
      </c>
      <c r="D8461" s="56">
        <v>2.98</v>
      </c>
    </row>
    <row r="8462" ht="15.75" customHeight="1">
      <c r="B8462" s="370">
        <f t="shared" si="2"/>
        <v>0.9790509259</v>
      </c>
      <c r="C8462" s="56">
        <f t="shared" si="3"/>
        <v>84590</v>
      </c>
      <c r="D8462" s="56">
        <v>3.072</v>
      </c>
    </row>
    <row r="8463" ht="15.75" customHeight="1">
      <c r="B8463" s="370">
        <f t="shared" si="2"/>
        <v>0.9791666667</v>
      </c>
      <c r="C8463" s="56">
        <f t="shared" si="3"/>
        <v>84600</v>
      </c>
      <c r="D8463" s="56">
        <v>2.872</v>
      </c>
    </row>
    <row r="8464" ht="15.75" customHeight="1">
      <c r="B8464" s="370">
        <f t="shared" si="2"/>
        <v>0.9792824074</v>
      </c>
      <c r="C8464" s="56">
        <f t="shared" si="3"/>
        <v>84610</v>
      </c>
      <c r="D8464" s="56">
        <v>2.878</v>
      </c>
    </row>
    <row r="8465" ht="15.75" customHeight="1">
      <c r="B8465" s="370">
        <f t="shared" si="2"/>
        <v>0.9793981481</v>
      </c>
      <c r="C8465" s="56">
        <f t="shared" si="3"/>
        <v>84620</v>
      </c>
      <c r="D8465" s="56">
        <v>2.933</v>
      </c>
    </row>
    <row r="8466" ht="15.75" customHeight="1">
      <c r="B8466" s="370">
        <f t="shared" si="2"/>
        <v>0.9795138889</v>
      </c>
      <c r="C8466" s="56">
        <f t="shared" si="3"/>
        <v>84630</v>
      </c>
      <c r="D8466" s="56">
        <v>3.049</v>
      </c>
    </row>
    <row r="8467" ht="15.75" customHeight="1">
      <c r="B8467" s="370">
        <f t="shared" si="2"/>
        <v>0.9796296296</v>
      </c>
      <c r="C8467" s="56">
        <f t="shared" si="3"/>
        <v>84640</v>
      </c>
      <c r="D8467" s="56">
        <v>2.867</v>
      </c>
    </row>
    <row r="8468" ht="15.75" customHeight="1">
      <c r="B8468" s="370">
        <f t="shared" si="2"/>
        <v>0.9797453704</v>
      </c>
      <c r="C8468" s="56">
        <f t="shared" si="3"/>
        <v>84650</v>
      </c>
      <c r="D8468" s="56">
        <v>2.698</v>
      </c>
    </row>
    <row r="8469" ht="15.75" customHeight="1">
      <c r="B8469" s="370">
        <f t="shared" si="2"/>
        <v>0.9798611111</v>
      </c>
      <c r="C8469" s="56">
        <f t="shared" si="3"/>
        <v>84660</v>
      </c>
      <c r="D8469" s="56">
        <v>2.487</v>
      </c>
    </row>
    <row r="8470" ht="15.75" customHeight="1">
      <c r="B8470" s="370">
        <f t="shared" si="2"/>
        <v>0.9799768519</v>
      </c>
      <c r="C8470" s="56">
        <f t="shared" si="3"/>
        <v>84670</v>
      </c>
      <c r="D8470" s="56">
        <v>2.221</v>
      </c>
    </row>
    <row r="8471" ht="15.75" customHeight="1">
      <c r="B8471" s="370">
        <f t="shared" si="2"/>
        <v>0.9800925926</v>
      </c>
      <c r="C8471" s="56">
        <f t="shared" si="3"/>
        <v>84680</v>
      </c>
      <c r="D8471" s="56">
        <v>2.539</v>
      </c>
    </row>
    <row r="8472" ht="15.75" customHeight="1">
      <c r="B8472" s="370">
        <f t="shared" si="2"/>
        <v>0.9802083333</v>
      </c>
      <c r="C8472" s="56">
        <f t="shared" si="3"/>
        <v>84690</v>
      </c>
      <c r="D8472" s="56">
        <v>3.325</v>
      </c>
    </row>
    <row r="8473" ht="15.75" customHeight="1">
      <c r="B8473" s="370">
        <f t="shared" si="2"/>
        <v>0.9803240741</v>
      </c>
      <c r="C8473" s="56">
        <f t="shared" si="3"/>
        <v>84700</v>
      </c>
      <c r="D8473" s="56">
        <v>3.509</v>
      </c>
    </row>
    <row r="8474" ht="15.75" customHeight="1">
      <c r="B8474" s="370">
        <f t="shared" si="2"/>
        <v>0.9804398148</v>
      </c>
      <c r="C8474" s="56">
        <f t="shared" si="3"/>
        <v>84710</v>
      </c>
      <c r="D8474" s="56">
        <v>3.513</v>
      </c>
    </row>
    <row r="8475" ht="15.75" customHeight="1">
      <c r="B8475" s="370">
        <f t="shared" si="2"/>
        <v>0.9805555556</v>
      </c>
      <c r="C8475" s="56">
        <f t="shared" si="3"/>
        <v>84720</v>
      </c>
      <c r="D8475" s="56">
        <v>3.496</v>
      </c>
    </row>
    <row r="8476" ht="15.75" customHeight="1">
      <c r="B8476" s="370">
        <f t="shared" si="2"/>
        <v>0.9806712963</v>
      </c>
      <c r="C8476" s="56">
        <f t="shared" si="3"/>
        <v>84730</v>
      </c>
      <c r="D8476" s="56">
        <v>3.065</v>
      </c>
    </row>
    <row r="8477" ht="15.75" customHeight="1">
      <c r="B8477" s="370">
        <f t="shared" si="2"/>
        <v>0.980787037</v>
      </c>
      <c r="C8477" s="56">
        <f t="shared" si="3"/>
        <v>84740</v>
      </c>
      <c r="D8477" s="56">
        <v>2.16</v>
      </c>
    </row>
    <row r="8478" ht="15.75" customHeight="1">
      <c r="B8478" s="370">
        <f t="shared" si="2"/>
        <v>0.9809027778</v>
      </c>
      <c r="C8478" s="56">
        <f t="shared" si="3"/>
        <v>84750</v>
      </c>
      <c r="D8478" s="56">
        <v>2.216</v>
      </c>
    </row>
    <row r="8479" ht="15.75" customHeight="1">
      <c r="B8479" s="370">
        <f t="shared" si="2"/>
        <v>0.9810185185</v>
      </c>
      <c r="C8479" s="56">
        <f t="shared" si="3"/>
        <v>84760</v>
      </c>
      <c r="D8479" s="56">
        <v>2.475</v>
      </c>
    </row>
    <row r="8480" ht="15.75" customHeight="1">
      <c r="B8480" s="370">
        <f t="shared" si="2"/>
        <v>0.9811342593</v>
      </c>
      <c r="C8480" s="56">
        <f t="shared" si="3"/>
        <v>84770</v>
      </c>
      <c r="D8480" s="56">
        <v>2.786</v>
      </c>
    </row>
    <row r="8481" ht="15.75" customHeight="1">
      <c r="B8481" s="370">
        <f t="shared" si="2"/>
        <v>0.98125</v>
      </c>
      <c r="C8481" s="56">
        <f t="shared" si="3"/>
        <v>84780</v>
      </c>
      <c r="D8481" s="56">
        <v>3.034</v>
      </c>
    </row>
    <row r="8482" ht="15.75" customHeight="1">
      <c r="B8482" s="370">
        <f t="shared" si="2"/>
        <v>0.9813657407</v>
      </c>
      <c r="C8482" s="56">
        <f t="shared" si="3"/>
        <v>84790</v>
      </c>
      <c r="D8482" s="56">
        <v>3.188</v>
      </c>
    </row>
    <row r="8483" ht="15.75" customHeight="1">
      <c r="B8483" s="370">
        <f t="shared" si="2"/>
        <v>0.9814814815</v>
      </c>
      <c r="C8483" s="56">
        <f t="shared" si="3"/>
        <v>84800</v>
      </c>
      <c r="D8483" s="56">
        <v>3.095</v>
      </c>
    </row>
    <row r="8484" ht="15.75" customHeight="1">
      <c r="B8484" s="370">
        <f t="shared" si="2"/>
        <v>0.9815972222</v>
      </c>
      <c r="C8484" s="56">
        <f t="shared" si="3"/>
        <v>84810</v>
      </c>
      <c r="D8484" s="56">
        <v>2.983</v>
      </c>
    </row>
    <row r="8485" ht="15.75" customHeight="1">
      <c r="B8485" s="370">
        <f t="shared" si="2"/>
        <v>0.981712963</v>
      </c>
      <c r="C8485" s="56">
        <f t="shared" si="3"/>
        <v>84820</v>
      </c>
      <c r="D8485" s="56">
        <v>2.817</v>
      </c>
    </row>
    <row r="8486" ht="15.75" customHeight="1">
      <c r="B8486" s="370">
        <f t="shared" si="2"/>
        <v>0.9818287037</v>
      </c>
      <c r="C8486" s="56">
        <f t="shared" si="3"/>
        <v>84830</v>
      </c>
      <c r="D8486" s="56">
        <v>2.924</v>
      </c>
    </row>
    <row r="8487" ht="15.75" customHeight="1">
      <c r="B8487" s="370">
        <f t="shared" si="2"/>
        <v>0.9819444444</v>
      </c>
      <c r="C8487" s="56">
        <f t="shared" si="3"/>
        <v>84840</v>
      </c>
      <c r="D8487" s="56">
        <v>2.83</v>
      </c>
    </row>
    <row r="8488" ht="15.75" customHeight="1">
      <c r="B8488" s="370">
        <f t="shared" si="2"/>
        <v>0.9820601852</v>
      </c>
      <c r="C8488" s="56">
        <f t="shared" si="3"/>
        <v>84850</v>
      </c>
      <c r="D8488" s="56">
        <v>2.744</v>
      </c>
    </row>
    <row r="8489" ht="15.75" customHeight="1">
      <c r="B8489" s="370">
        <f t="shared" si="2"/>
        <v>0.9821759259</v>
      </c>
      <c r="C8489" s="56">
        <f t="shared" si="3"/>
        <v>84860</v>
      </c>
      <c r="D8489" s="56">
        <v>2.598</v>
      </c>
    </row>
    <row r="8490" ht="15.75" customHeight="1">
      <c r="B8490" s="370">
        <f t="shared" si="2"/>
        <v>0.9822916667</v>
      </c>
      <c r="C8490" s="56">
        <f t="shared" si="3"/>
        <v>84870</v>
      </c>
      <c r="D8490" s="56">
        <v>2.423</v>
      </c>
    </row>
    <row r="8491" ht="15.75" customHeight="1">
      <c r="B8491" s="370">
        <f t="shared" si="2"/>
        <v>0.9824074074</v>
      </c>
      <c r="C8491" s="56">
        <f t="shared" si="3"/>
        <v>84880</v>
      </c>
      <c r="D8491" s="56">
        <v>2.297</v>
      </c>
    </row>
    <row r="8492" ht="15.75" customHeight="1">
      <c r="B8492" s="370">
        <f t="shared" si="2"/>
        <v>0.9825231481</v>
      </c>
      <c r="C8492" s="56">
        <f t="shared" si="3"/>
        <v>84890</v>
      </c>
      <c r="D8492" s="56">
        <v>3.217</v>
      </c>
    </row>
    <row r="8493" ht="15.75" customHeight="1">
      <c r="B8493" s="370">
        <f t="shared" si="2"/>
        <v>0.9826388889</v>
      </c>
      <c r="C8493" s="56">
        <f t="shared" si="3"/>
        <v>84900</v>
      </c>
      <c r="D8493" s="56">
        <v>3.466</v>
      </c>
    </row>
    <row r="8494" ht="15.75" customHeight="1">
      <c r="B8494" s="370">
        <f t="shared" si="2"/>
        <v>0.9827546296</v>
      </c>
      <c r="C8494" s="56">
        <f t="shared" si="3"/>
        <v>84910</v>
      </c>
      <c r="D8494" s="56">
        <v>3.482</v>
      </c>
    </row>
    <row r="8495" ht="15.75" customHeight="1">
      <c r="B8495" s="370">
        <f t="shared" si="2"/>
        <v>0.9828703704</v>
      </c>
      <c r="C8495" s="56">
        <f t="shared" si="3"/>
        <v>84920</v>
      </c>
      <c r="D8495" s="56">
        <v>3.503</v>
      </c>
    </row>
    <row r="8496" ht="15.75" customHeight="1">
      <c r="B8496" s="370">
        <f t="shared" si="2"/>
        <v>0.9829861111</v>
      </c>
      <c r="C8496" s="56">
        <f t="shared" si="3"/>
        <v>84930</v>
      </c>
      <c r="D8496" s="56">
        <v>3.162</v>
      </c>
    </row>
    <row r="8497" ht="15.75" customHeight="1">
      <c r="B8497" s="370">
        <f t="shared" si="2"/>
        <v>0.9831018519</v>
      </c>
      <c r="C8497" s="56">
        <f t="shared" si="3"/>
        <v>84940</v>
      </c>
      <c r="D8497" s="56">
        <v>2.432</v>
      </c>
    </row>
    <row r="8498" ht="15.75" customHeight="1">
      <c r="B8498" s="370">
        <f t="shared" si="2"/>
        <v>0.9832175926</v>
      </c>
      <c r="C8498" s="56">
        <f t="shared" si="3"/>
        <v>84950</v>
      </c>
      <c r="D8498" s="56">
        <v>1.961</v>
      </c>
    </row>
    <row r="8499" ht="15.75" customHeight="1">
      <c r="B8499" s="370">
        <f t="shared" si="2"/>
        <v>0.9833333333</v>
      </c>
      <c r="C8499" s="56">
        <f t="shared" si="3"/>
        <v>84960</v>
      </c>
      <c r="D8499" s="56">
        <v>2.334</v>
      </c>
    </row>
    <row r="8500" ht="15.75" customHeight="1">
      <c r="B8500" s="370">
        <f t="shared" si="2"/>
        <v>0.9834490741</v>
      </c>
      <c r="C8500" s="56">
        <f t="shared" si="3"/>
        <v>84970</v>
      </c>
      <c r="D8500" s="56">
        <v>2.709</v>
      </c>
    </row>
    <row r="8501" ht="15.75" customHeight="1">
      <c r="B8501" s="370">
        <f t="shared" si="2"/>
        <v>0.9835648148</v>
      </c>
      <c r="C8501" s="56">
        <f t="shared" si="3"/>
        <v>84980</v>
      </c>
      <c r="D8501" s="56">
        <v>3.055</v>
      </c>
    </row>
    <row r="8502" ht="15.75" customHeight="1">
      <c r="B8502" s="370">
        <f t="shared" si="2"/>
        <v>0.9836805556</v>
      </c>
      <c r="C8502" s="56">
        <f t="shared" si="3"/>
        <v>84990</v>
      </c>
      <c r="D8502" s="56">
        <v>3.321</v>
      </c>
    </row>
    <row r="8503" ht="15.75" customHeight="1">
      <c r="B8503" s="370">
        <f t="shared" si="2"/>
        <v>0.9837962963</v>
      </c>
      <c r="C8503" s="56">
        <f t="shared" si="3"/>
        <v>85000</v>
      </c>
      <c r="D8503" s="56">
        <v>3.234</v>
      </c>
    </row>
    <row r="8504" ht="15.75" customHeight="1">
      <c r="B8504" s="370">
        <f t="shared" si="2"/>
        <v>0.983912037</v>
      </c>
      <c r="C8504" s="56">
        <f t="shared" si="3"/>
        <v>85010</v>
      </c>
      <c r="D8504" s="56">
        <v>3.161</v>
      </c>
    </row>
    <row r="8505" ht="15.75" customHeight="1">
      <c r="B8505" s="370">
        <f t="shared" si="2"/>
        <v>0.9840277778</v>
      </c>
      <c r="C8505" s="56">
        <f t="shared" si="3"/>
        <v>85020</v>
      </c>
      <c r="D8505" s="56">
        <v>2.832</v>
      </c>
    </row>
    <row r="8506" ht="15.75" customHeight="1">
      <c r="B8506" s="370">
        <f t="shared" si="2"/>
        <v>0.9841435185</v>
      </c>
      <c r="C8506" s="56">
        <f t="shared" si="3"/>
        <v>85030</v>
      </c>
      <c r="D8506" s="56">
        <v>2.757</v>
      </c>
    </row>
    <row r="8507" ht="15.75" customHeight="1">
      <c r="B8507" s="370">
        <f t="shared" si="2"/>
        <v>0.9842592593</v>
      </c>
      <c r="C8507" s="56">
        <f t="shared" si="3"/>
        <v>85040</v>
      </c>
      <c r="D8507" s="56">
        <v>2.757</v>
      </c>
    </row>
    <row r="8508" ht="15.75" customHeight="1">
      <c r="B8508" s="370">
        <f t="shared" si="2"/>
        <v>0.984375</v>
      </c>
      <c r="C8508" s="56">
        <f t="shared" si="3"/>
        <v>85050</v>
      </c>
      <c r="D8508" s="56">
        <v>2.756</v>
      </c>
    </row>
    <row r="8509" ht="15.75" customHeight="1">
      <c r="B8509" s="370">
        <f t="shared" si="2"/>
        <v>0.9844907407</v>
      </c>
      <c r="C8509" s="56">
        <f t="shared" si="3"/>
        <v>85060</v>
      </c>
      <c r="D8509" s="56">
        <v>2.67</v>
      </c>
    </row>
    <row r="8510" ht="15.75" customHeight="1">
      <c r="B8510" s="370">
        <f t="shared" si="2"/>
        <v>0.9846064815</v>
      </c>
      <c r="C8510" s="56">
        <f t="shared" si="3"/>
        <v>85070</v>
      </c>
      <c r="D8510" s="56">
        <v>2.54</v>
      </c>
    </row>
    <row r="8511" ht="15.75" customHeight="1">
      <c r="B8511" s="370">
        <f t="shared" si="2"/>
        <v>0.9847222222</v>
      </c>
      <c r="C8511" s="56">
        <f t="shared" si="3"/>
        <v>85080</v>
      </c>
      <c r="D8511" s="56">
        <v>2.32</v>
      </c>
    </row>
    <row r="8512" ht="15.75" customHeight="1">
      <c r="B8512" s="370">
        <f t="shared" si="2"/>
        <v>0.984837963</v>
      </c>
      <c r="C8512" s="56">
        <f t="shared" si="3"/>
        <v>85090</v>
      </c>
      <c r="D8512" s="56">
        <v>3.046</v>
      </c>
    </row>
    <row r="8513" ht="15.75" customHeight="1">
      <c r="B8513" s="370">
        <f t="shared" si="2"/>
        <v>0.9849537037</v>
      </c>
      <c r="C8513" s="56">
        <f t="shared" si="3"/>
        <v>85100</v>
      </c>
      <c r="D8513" s="56">
        <v>3.386</v>
      </c>
    </row>
    <row r="8514" ht="15.75" customHeight="1">
      <c r="B8514" s="370">
        <f t="shared" si="2"/>
        <v>0.9850694444</v>
      </c>
      <c r="C8514" s="56">
        <f t="shared" si="3"/>
        <v>85110</v>
      </c>
      <c r="D8514" s="56">
        <v>3.433</v>
      </c>
    </row>
    <row r="8515" ht="15.75" customHeight="1">
      <c r="B8515" s="370">
        <f t="shared" si="2"/>
        <v>0.9851851852</v>
      </c>
      <c r="C8515" s="56">
        <f t="shared" si="3"/>
        <v>85120</v>
      </c>
      <c r="D8515" s="56">
        <v>3.481</v>
      </c>
    </row>
    <row r="8516" ht="15.75" customHeight="1">
      <c r="B8516" s="370">
        <f t="shared" si="2"/>
        <v>0.9853009259</v>
      </c>
      <c r="C8516" s="56">
        <f t="shared" si="3"/>
        <v>85130</v>
      </c>
      <c r="D8516" s="56">
        <v>3.22</v>
      </c>
    </row>
    <row r="8517" ht="15.75" customHeight="1">
      <c r="B8517" s="370">
        <f t="shared" si="2"/>
        <v>0.9854166667</v>
      </c>
      <c r="C8517" s="56">
        <f t="shared" si="3"/>
        <v>85140</v>
      </c>
      <c r="D8517" s="56">
        <v>2.589</v>
      </c>
    </row>
    <row r="8518" ht="15.75" customHeight="1">
      <c r="B8518" s="370">
        <f t="shared" si="2"/>
        <v>0.9855324074</v>
      </c>
      <c r="C8518" s="56">
        <f t="shared" si="3"/>
        <v>85150</v>
      </c>
      <c r="D8518" s="56">
        <v>2.078</v>
      </c>
    </row>
    <row r="8519" ht="15.75" customHeight="1">
      <c r="B8519" s="370">
        <f t="shared" si="2"/>
        <v>0.9856481481</v>
      </c>
      <c r="C8519" s="56">
        <f t="shared" si="3"/>
        <v>85160</v>
      </c>
      <c r="D8519" s="56">
        <v>2.135</v>
      </c>
    </row>
    <row r="8520" ht="15.75" customHeight="1">
      <c r="B8520" s="370">
        <f t="shared" si="2"/>
        <v>0.9857638889</v>
      </c>
      <c r="C8520" s="56">
        <f t="shared" si="3"/>
        <v>85170</v>
      </c>
      <c r="D8520" s="56">
        <v>2.599</v>
      </c>
    </row>
    <row r="8521" ht="15.75" customHeight="1">
      <c r="B8521" s="370">
        <f t="shared" si="2"/>
        <v>0.9858796296</v>
      </c>
      <c r="C8521" s="56">
        <f t="shared" si="3"/>
        <v>85180</v>
      </c>
      <c r="D8521" s="56">
        <v>3.039</v>
      </c>
    </row>
    <row r="8522" ht="15.75" customHeight="1">
      <c r="B8522" s="370">
        <f t="shared" si="2"/>
        <v>0.9859953704</v>
      </c>
      <c r="C8522" s="56">
        <f t="shared" si="3"/>
        <v>85190</v>
      </c>
      <c r="D8522" s="56">
        <v>3.396</v>
      </c>
    </row>
    <row r="8523" ht="15.75" customHeight="1">
      <c r="B8523" s="370">
        <f t="shared" si="2"/>
        <v>0.9861111111</v>
      </c>
      <c r="C8523" s="56">
        <f t="shared" si="3"/>
        <v>85200</v>
      </c>
      <c r="D8523" s="56">
        <v>3.346</v>
      </c>
    </row>
    <row r="8524" ht="15.75" customHeight="1">
      <c r="B8524" s="370">
        <f t="shared" si="2"/>
        <v>0.9862268519</v>
      </c>
      <c r="C8524" s="56">
        <f t="shared" si="3"/>
        <v>85210</v>
      </c>
      <c r="D8524" s="56">
        <v>3.261</v>
      </c>
    </row>
    <row r="8525" ht="15.75" customHeight="1">
      <c r="B8525" s="370">
        <f t="shared" si="2"/>
        <v>0.9863425926</v>
      </c>
      <c r="C8525" s="56">
        <f t="shared" si="3"/>
        <v>85220</v>
      </c>
      <c r="D8525" s="56">
        <v>3.082</v>
      </c>
    </row>
    <row r="8526" ht="15.75" customHeight="1">
      <c r="B8526" s="370">
        <f t="shared" si="2"/>
        <v>0.9864583333</v>
      </c>
      <c r="C8526" s="56">
        <f t="shared" si="3"/>
        <v>85230</v>
      </c>
      <c r="D8526" s="56">
        <v>2.484</v>
      </c>
    </row>
    <row r="8527" ht="15.75" customHeight="1">
      <c r="B8527" s="370">
        <f t="shared" si="2"/>
        <v>0.9865740741</v>
      </c>
      <c r="C8527" s="56">
        <f t="shared" si="3"/>
        <v>85240</v>
      </c>
      <c r="D8527" s="56">
        <v>2.65</v>
      </c>
    </row>
    <row r="8528" ht="15.75" customHeight="1">
      <c r="B8528" s="370">
        <f t="shared" si="2"/>
        <v>0.9866898148</v>
      </c>
      <c r="C8528" s="56">
        <f t="shared" si="3"/>
        <v>85250</v>
      </c>
      <c r="D8528" s="56">
        <v>2.736</v>
      </c>
    </row>
    <row r="8529" ht="15.75" customHeight="1">
      <c r="B8529" s="370">
        <f t="shared" si="2"/>
        <v>0.9868055556</v>
      </c>
      <c r="C8529" s="56">
        <f t="shared" si="3"/>
        <v>85260</v>
      </c>
      <c r="D8529" s="56">
        <v>2.715</v>
      </c>
    </row>
    <row r="8530" ht="15.75" customHeight="1">
      <c r="B8530" s="370">
        <f t="shared" si="2"/>
        <v>0.9869212963</v>
      </c>
      <c r="C8530" s="56">
        <f t="shared" si="3"/>
        <v>85270</v>
      </c>
      <c r="D8530" s="56">
        <v>2.692</v>
      </c>
    </row>
    <row r="8531" ht="15.75" customHeight="1">
      <c r="B8531" s="370">
        <f t="shared" si="2"/>
        <v>0.987037037</v>
      </c>
      <c r="C8531" s="56">
        <f t="shared" si="3"/>
        <v>85280</v>
      </c>
      <c r="D8531" s="56">
        <v>2.505</v>
      </c>
    </row>
    <row r="8532" ht="15.75" customHeight="1">
      <c r="B8532" s="370">
        <f t="shared" si="2"/>
        <v>0.9871527778</v>
      </c>
      <c r="C8532" s="56">
        <f t="shared" si="3"/>
        <v>85290</v>
      </c>
      <c r="D8532" s="56">
        <v>2.908</v>
      </c>
    </row>
    <row r="8533" ht="15.75" customHeight="1">
      <c r="B8533" s="370">
        <f t="shared" si="2"/>
        <v>0.9872685185</v>
      </c>
      <c r="C8533" s="56">
        <f t="shared" si="3"/>
        <v>85300</v>
      </c>
      <c r="D8533" s="56">
        <v>3.29</v>
      </c>
    </row>
    <row r="8534" ht="15.75" customHeight="1">
      <c r="B8534" s="370">
        <f t="shared" si="2"/>
        <v>0.9873842593</v>
      </c>
      <c r="C8534" s="56">
        <f t="shared" si="3"/>
        <v>85310</v>
      </c>
      <c r="D8534" s="56">
        <v>3.347</v>
      </c>
    </row>
    <row r="8535" ht="15.75" customHeight="1">
      <c r="B8535" s="370">
        <f t="shared" si="2"/>
        <v>0.9875</v>
      </c>
      <c r="C8535" s="56">
        <f t="shared" si="3"/>
        <v>85320</v>
      </c>
      <c r="D8535" s="56">
        <v>3.427</v>
      </c>
    </row>
    <row r="8536" ht="15.75" customHeight="1">
      <c r="B8536" s="370">
        <f t="shared" si="2"/>
        <v>0.9876157407</v>
      </c>
      <c r="C8536" s="56">
        <f t="shared" si="3"/>
        <v>85330</v>
      </c>
      <c r="D8536" s="56">
        <v>3.242</v>
      </c>
    </row>
    <row r="8537" ht="15.75" customHeight="1">
      <c r="B8537" s="370">
        <f t="shared" si="2"/>
        <v>0.9877314815</v>
      </c>
      <c r="C8537" s="56">
        <f t="shared" si="3"/>
        <v>85340</v>
      </c>
      <c r="D8537" s="56">
        <v>2.714</v>
      </c>
    </row>
    <row r="8538" ht="15.75" customHeight="1">
      <c r="B8538" s="370">
        <f t="shared" si="2"/>
        <v>0.9878472222</v>
      </c>
      <c r="C8538" s="56">
        <f t="shared" si="3"/>
        <v>85350</v>
      </c>
      <c r="D8538" s="56">
        <v>2.209</v>
      </c>
    </row>
    <row r="8539" ht="15.75" customHeight="1">
      <c r="B8539" s="370">
        <f t="shared" si="2"/>
        <v>0.987962963</v>
      </c>
      <c r="C8539" s="56">
        <f t="shared" si="3"/>
        <v>85360</v>
      </c>
      <c r="D8539" s="56">
        <v>0.0</v>
      </c>
    </row>
    <row r="8540" ht="15.75" customHeight="1">
      <c r="B8540" s="370">
        <f t="shared" si="2"/>
        <v>0.9880787037</v>
      </c>
      <c r="C8540" s="56">
        <f t="shared" si="3"/>
        <v>85370</v>
      </c>
      <c r="D8540" s="56">
        <v>0.0</v>
      </c>
    </row>
    <row r="8541" ht="15.75" customHeight="1">
      <c r="B8541" s="370">
        <f t="shared" si="2"/>
        <v>0.9881944444</v>
      </c>
      <c r="C8541" s="56">
        <f t="shared" si="3"/>
        <v>85380</v>
      </c>
      <c r="D8541" s="56">
        <v>0.0</v>
      </c>
    </row>
    <row r="8542" ht="15.75" customHeight="1">
      <c r="B8542" s="370">
        <f t="shared" si="2"/>
        <v>0.9883101852</v>
      </c>
      <c r="C8542" s="56">
        <f t="shared" si="3"/>
        <v>85390</v>
      </c>
      <c r="D8542" s="56">
        <v>0.0</v>
      </c>
    </row>
    <row r="8543" ht="15.75" customHeight="1">
      <c r="B8543" s="370">
        <f t="shared" si="2"/>
        <v>0.9884259259</v>
      </c>
      <c r="C8543" s="56">
        <f t="shared" si="3"/>
        <v>85400</v>
      </c>
      <c r="D8543" s="56">
        <v>0.0</v>
      </c>
    </row>
    <row r="8544" ht="15.75" customHeight="1">
      <c r="B8544" s="370">
        <f t="shared" si="2"/>
        <v>0.9885416667</v>
      </c>
      <c r="C8544" s="56">
        <f t="shared" si="3"/>
        <v>85410</v>
      </c>
      <c r="D8544" s="56">
        <v>0.0</v>
      </c>
    </row>
    <row r="8545" ht="15.75" customHeight="1">
      <c r="B8545" s="370">
        <f t="shared" si="2"/>
        <v>0.9886574074</v>
      </c>
      <c r="C8545" s="56">
        <f t="shared" si="3"/>
        <v>85420</v>
      </c>
      <c r="D8545" s="56">
        <v>0.0</v>
      </c>
    </row>
    <row r="8546" ht="15.75" customHeight="1">
      <c r="B8546" s="370">
        <f t="shared" si="2"/>
        <v>0.9887731481</v>
      </c>
      <c r="C8546" s="56">
        <f t="shared" si="3"/>
        <v>85430</v>
      </c>
      <c r="D8546" s="56">
        <v>0.0</v>
      </c>
    </row>
    <row r="8547" ht="15.75" customHeight="1">
      <c r="B8547" s="370">
        <f t="shared" si="2"/>
        <v>0.9888888889</v>
      </c>
      <c r="C8547" s="56">
        <f t="shared" si="3"/>
        <v>85440</v>
      </c>
      <c r="D8547" s="56">
        <v>0.0</v>
      </c>
    </row>
    <row r="8548" ht="15.75" customHeight="1">
      <c r="B8548" s="370">
        <f t="shared" si="2"/>
        <v>0.9890046296</v>
      </c>
      <c r="C8548" s="56">
        <f t="shared" si="3"/>
        <v>85450</v>
      </c>
      <c r="D8548" s="56">
        <v>0.0</v>
      </c>
    </row>
    <row r="8549" ht="15.75" customHeight="1">
      <c r="B8549" s="370">
        <f t="shared" si="2"/>
        <v>0.9891203704</v>
      </c>
      <c r="C8549" s="56">
        <f t="shared" si="3"/>
        <v>85460</v>
      </c>
      <c r="D8549" s="56">
        <v>0.0</v>
      </c>
    </row>
    <row r="8550" ht="15.75" customHeight="1">
      <c r="B8550" s="370">
        <f t="shared" si="2"/>
        <v>0.9892361111</v>
      </c>
      <c r="C8550" s="56">
        <f t="shared" si="3"/>
        <v>85470</v>
      </c>
      <c r="D8550" s="56">
        <v>0.0</v>
      </c>
    </row>
    <row r="8551" ht="15.75" customHeight="1">
      <c r="B8551" s="370">
        <f t="shared" si="2"/>
        <v>0.9893518519</v>
      </c>
      <c r="C8551" s="56">
        <f t="shared" si="3"/>
        <v>85480</v>
      </c>
      <c r="D8551" s="56">
        <v>0.0</v>
      </c>
    </row>
    <row r="8552" ht="15.75" customHeight="1">
      <c r="B8552" s="370">
        <f t="shared" si="2"/>
        <v>0.9894675926</v>
      </c>
      <c r="C8552" s="56">
        <f t="shared" si="3"/>
        <v>85490</v>
      </c>
      <c r="D8552" s="56">
        <v>0.0</v>
      </c>
    </row>
    <row r="8553" ht="15.75" customHeight="1">
      <c r="B8553" s="370">
        <f t="shared" si="2"/>
        <v>0.9895833333</v>
      </c>
      <c r="C8553" s="56">
        <f t="shared" si="3"/>
        <v>85500</v>
      </c>
      <c r="D8553" s="56">
        <v>0.0</v>
      </c>
    </row>
    <row r="8554" ht="15.75" customHeight="1">
      <c r="B8554" s="370">
        <f t="shared" si="2"/>
        <v>0.9896990741</v>
      </c>
      <c r="C8554" s="56">
        <f t="shared" si="3"/>
        <v>85510</v>
      </c>
      <c r="D8554" s="56">
        <v>0.0</v>
      </c>
    </row>
    <row r="8555" ht="15.75" customHeight="1">
      <c r="B8555" s="370">
        <f t="shared" si="2"/>
        <v>0.9898148148</v>
      </c>
      <c r="C8555" s="56">
        <f t="shared" si="3"/>
        <v>85520</v>
      </c>
      <c r="D8555" s="56">
        <v>0.0</v>
      </c>
    </row>
    <row r="8556" ht="15.75" customHeight="1">
      <c r="B8556" s="370">
        <f t="shared" si="2"/>
        <v>0.9899305556</v>
      </c>
      <c r="C8556" s="56">
        <f t="shared" si="3"/>
        <v>85530</v>
      </c>
      <c r="D8556" s="56">
        <v>0.0</v>
      </c>
    </row>
    <row r="8557" ht="15.75" customHeight="1">
      <c r="B8557" s="370">
        <f t="shared" si="2"/>
        <v>0.9900462963</v>
      </c>
      <c r="C8557" s="56">
        <f t="shared" si="3"/>
        <v>85540</v>
      </c>
      <c r="D8557" s="56">
        <v>0.0</v>
      </c>
    </row>
    <row r="8558" ht="15.75" customHeight="1">
      <c r="B8558" s="370">
        <f t="shared" si="2"/>
        <v>0.990162037</v>
      </c>
      <c r="C8558" s="56">
        <f t="shared" si="3"/>
        <v>85550</v>
      </c>
      <c r="D8558" s="56">
        <v>0.0</v>
      </c>
    </row>
    <row r="8559" ht="15.75" customHeight="1">
      <c r="B8559" s="370">
        <f t="shared" si="2"/>
        <v>0.9902777778</v>
      </c>
      <c r="C8559" s="56">
        <f t="shared" si="3"/>
        <v>85560</v>
      </c>
      <c r="D8559" s="56">
        <v>0.0</v>
      </c>
    </row>
    <row r="8560" ht="15.75" customHeight="1">
      <c r="B8560" s="370">
        <f t="shared" si="2"/>
        <v>0.9903935185</v>
      </c>
      <c r="C8560" s="56">
        <f t="shared" si="3"/>
        <v>85570</v>
      </c>
      <c r="D8560" s="56">
        <v>0.0</v>
      </c>
    </row>
    <row r="8561" ht="15.75" customHeight="1">
      <c r="B8561" s="370">
        <f t="shared" si="2"/>
        <v>0.9905092593</v>
      </c>
      <c r="C8561" s="56">
        <f t="shared" si="3"/>
        <v>85580</v>
      </c>
      <c r="D8561" s="56">
        <v>0.0</v>
      </c>
    </row>
    <row r="8562" ht="15.75" customHeight="1">
      <c r="B8562" s="370">
        <f t="shared" si="2"/>
        <v>0.990625</v>
      </c>
      <c r="C8562" s="56">
        <f t="shared" si="3"/>
        <v>85590</v>
      </c>
      <c r="D8562" s="56">
        <v>0.0</v>
      </c>
    </row>
    <row r="8563" ht="15.75" customHeight="1">
      <c r="B8563" s="370">
        <f t="shared" si="2"/>
        <v>0.9907407407</v>
      </c>
      <c r="C8563" s="56">
        <f t="shared" si="3"/>
        <v>85600</v>
      </c>
      <c r="D8563" s="56">
        <v>0.0</v>
      </c>
    </row>
    <row r="8564" ht="15.75" customHeight="1">
      <c r="B8564" s="370">
        <f t="shared" si="2"/>
        <v>0.9908564815</v>
      </c>
      <c r="C8564" s="56">
        <f t="shared" si="3"/>
        <v>85610</v>
      </c>
      <c r="D8564" s="56">
        <v>0.0</v>
      </c>
    </row>
    <row r="8565" ht="15.75" customHeight="1">
      <c r="B8565" s="370">
        <f t="shared" si="2"/>
        <v>0.9909722222</v>
      </c>
      <c r="C8565" s="56">
        <f t="shared" si="3"/>
        <v>85620</v>
      </c>
      <c r="D8565" s="56">
        <v>0.0</v>
      </c>
    </row>
    <row r="8566" ht="15.75" customHeight="1">
      <c r="B8566" s="370">
        <f t="shared" si="2"/>
        <v>0.991087963</v>
      </c>
      <c r="C8566" s="56">
        <f t="shared" si="3"/>
        <v>85630</v>
      </c>
      <c r="D8566" s="56">
        <v>0.0</v>
      </c>
    </row>
    <row r="8567" ht="15.75" customHeight="1">
      <c r="B8567" s="370">
        <f t="shared" si="2"/>
        <v>0.9912037037</v>
      </c>
      <c r="C8567" s="56">
        <f t="shared" si="3"/>
        <v>85640</v>
      </c>
      <c r="D8567" s="56">
        <v>0.0</v>
      </c>
    </row>
    <row r="8568" ht="15.75" customHeight="1">
      <c r="B8568" s="370">
        <f t="shared" si="2"/>
        <v>0.9913194444</v>
      </c>
      <c r="C8568" s="56">
        <f t="shared" si="3"/>
        <v>85650</v>
      </c>
      <c r="D8568" s="56">
        <v>0.0</v>
      </c>
    </row>
    <row r="8569" ht="15.75" customHeight="1">
      <c r="B8569" s="370">
        <f t="shared" si="2"/>
        <v>0.9914351852</v>
      </c>
      <c r="C8569" s="56">
        <f t="shared" si="3"/>
        <v>85660</v>
      </c>
      <c r="D8569" s="56">
        <v>0.0</v>
      </c>
    </row>
    <row r="8570" ht="15.75" customHeight="1">
      <c r="B8570" s="370">
        <f t="shared" si="2"/>
        <v>0.9915509259</v>
      </c>
      <c r="C8570" s="56">
        <f t="shared" si="3"/>
        <v>85670</v>
      </c>
      <c r="D8570" s="56">
        <v>0.0</v>
      </c>
    </row>
    <row r="8571" ht="15.75" customHeight="1">
      <c r="B8571" s="370">
        <f t="shared" si="2"/>
        <v>0.9916666667</v>
      </c>
      <c r="C8571" s="56">
        <f t="shared" si="3"/>
        <v>85680</v>
      </c>
      <c r="D8571" s="56">
        <v>0.0</v>
      </c>
    </row>
    <row r="8572" ht="15.75" customHeight="1">
      <c r="B8572" s="370">
        <f t="shared" si="2"/>
        <v>0.9917824074</v>
      </c>
      <c r="C8572" s="56">
        <f t="shared" si="3"/>
        <v>85690</v>
      </c>
      <c r="D8572" s="56">
        <v>0.0</v>
      </c>
    </row>
    <row r="8573" ht="15.75" customHeight="1">
      <c r="B8573" s="370">
        <f t="shared" si="2"/>
        <v>0.9918981481</v>
      </c>
      <c r="C8573" s="56">
        <f t="shared" si="3"/>
        <v>85700</v>
      </c>
      <c r="D8573" s="56">
        <v>0.0</v>
      </c>
    </row>
    <row r="8574" ht="15.75" customHeight="1">
      <c r="B8574" s="370">
        <f t="shared" si="2"/>
        <v>0.9920138889</v>
      </c>
      <c r="C8574" s="56">
        <f t="shared" si="3"/>
        <v>85710</v>
      </c>
      <c r="D8574" s="56">
        <v>0.0</v>
      </c>
    </row>
    <row r="8575" ht="15.75" customHeight="1">
      <c r="B8575" s="370">
        <f t="shared" si="2"/>
        <v>0.9921296296</v>
      </c>
      <c r="C8575" s="56">
        <f t="shared" si="3"/>
        <v>85720</v>
      </c>
      <c r="D8575" s="56">
        <v>0.0</v>
      </c>
    </row>
    <row r="8576" ht="15.75" customHeight="1">
      <c r="B8576" s="370">
        <f t="shared" si="2"/>
        <v>0.9922453704</v>
      </c>
      <c r="C8576" s="56">
        <f t="shared" si="3"/>
        <v>85730</v>
      </c>
      <c r="D8576" s="56">
        <v>0.0</v>
      </c>
    </row>
    <row r="8577" ht="15.75" customHeight="1">
      <c r="B8577" s="370">
        <f t="shared" si="2"/>
        <v>0.9923611111</v>
      </c>
      <c r="C8577" s="56">
        <f t="shared" si="3"/>
        <v>85740</v>
      </c>
      <c r="D8577" s="56">
        <v>0.0</v>
      </c>
    </row>
    <row r="8578" ht="15.75" customHeight="1">
      <c r="B8578" s="370">
        <f t="shared" si="2"/>
        <v>0.9924768519</v>
      </c>
      <c r="C8578" s="56">
        <f t="shared" si="3"/>
        <v>85750</v>
      </c>
      <c r="D8578" s="56">
        <v>0.0</v>
      </c>
    </row>
    <row r="8579" ht="15.75" customHeight="1">
      <c r="B8579" s="370">
        <f t="shared" si="2"/>
        <v>0.9925925926</v>
      </c>
      <c r="C8579" s="56">
        <f t="shared" si="3"/>
        <v>85760</v>
      </c>
      <c r="D8579" s="56">
        <v>0.0</v>
      </c>
    </row>
    <row r="8580" ht="15.75" customHeight="1">
      <c r="B8580" s="370">
        <f t="shared" si="2"/>
        <v>0.9927083333</v>
      </c>
      <c r="C8580" s="56">
        <f t="shared" si="3"/>
        <v>85770</v>
      </c>
      <c r="D8580" s="56">
        <v>0.0</v>
      </c>
    </row>
    <row r="8581" ht="15.75" customHeight="1">
      <c r="B8581" s="370">
        <f t="shared" si="2"/>
        <v>0.9928240741</v>
      </c>
      <c r="C8581" s="56">
        <f t="shared" si="3"/>
        <v>85780</v>
      </c>
      <c r="D8581" s="56">
        <v>0.0</v>
      </c>
    </row>
    <row r="8582" ht="15.75" customHeight="1">
      <c r="B8582" s="370">
        <f t="shared" si="2"/>
        <v>0.9929398148</v>
      </c>
      <c r="C8582" s="56">
        <f t="shared" si="3"/>
        <v>85790</v>
      </c>
      <c r="D8582" s="56">
        <v>0.0</v>
      </c>
    </row>
    <row r="8583" ht="15.75" customHeight="1">
      <c r="B8583" s="370">
        <f t="shared" si="2"/>
        <v>0.9930555556</v>
      </c>
      <c r="C8583" s="56">
        <f t="shared" si="3"/>
        <v>85800</v>
      </c>
      <c r="D8583" s="56">
        <v>0.0</v>
      </c>
    </row>
    <row r="8584" ht="15.75" customHeight="1">
      <c r="B8584" s="370">
        <f t="shared" si="2"/>
        <v>0.9931712963</v>
      </c>
      <c r="C8584" s="56">
        <f t="shared" si="3"/>
        <v>85810</v>
      </c>
      <c r="D8584" s="56">
        <v>0.0</v>
      </c>
    </row>
    <row r="8585" ht="15.75" customHeight="1">
      <c r="B8585" s="370">
        <f t="shared" si="2"/>
        <v>0.993287037</v>
      </c>
      <c r="C8585" s="56">
        <f t="shared" si="3"/>
        <v>85820</v>
      </c>
      <c r="D8585" s="56">
        <v>0.0</v>
      </c>
    </row>
    <row r="8586" ht="15.75" customHeight="1">
      <c r="B8586" s="370">
        <f t="shared" si="2"/>
        <v>0.9934027778</v>
      </c>
      <c r="C8586" s="56">
        <f t="shared" si="3"/>
        <v>85830</v>
      </c>
      <c r="D8586" s="56">
        <v>0.0</v>
      </c>
    </row>
    <row r="8587" ht="15.75" customHeight="1">
      <c r="B8587" s="370">
        <f t="shared" si="2"/>
        <v>0.9935185185</v>
      </c>
      <c r="C8587" s="56">
        <f t="shared" si="3"/>
        <v>85840</v>
      </c>
      <c r="D8587" s="56">
        <v>0.0</v>
      </c>
    </row>
    <row r="8588" ht="15.75" customHeight="1">
      <c r="B8588" s="370">
        <f t="shared" si="2"/>
        <v>0.9936342593</v>
      </c>
      <c r="C8588" s="56">
        <f t="shared" si="3"/>
        <v>85850</v>
      </c>
      <c r="D8588" s="56">
        <v>0.0</v>
      </c>
    </row>
    <row r="8589" ht="15.75" customHeight="1">
      <c r="B8589" s="370">
        <f t="shared" si="2"/>
        <v>0.99375</v>
      </c>
      <c r="C8589" s="56">
        <f t="shared" si="3"/>
        <v>85860</v>
      </c>
      <c r="D8589" s="56">
        <v>0.0</v>
      </c>
    </row>
    <row r="8590" ht="15.75" customHeight="1">
      <c r="B8590" s="370">
        <f t="shared" si="2"/>
        <v>0.9938657407</v>
      </c>
      <c r="C8590" s="56">
        <f t="shared" si="3"/>
        <v>85870</v>
      </c>
      <c r="D8590" s="56">
        <v>0.0</v>
      </c>
    </row>
    <row r="8591" ht="15.75" customHeight="1">
      <c r="B8591" s="370">
        <f t="shared" si="2"/>
        <v>0.9939814815</v>
      </c>
      <c r="C8591" s="56">
        <f t="shared" si="3"/>
        <v>85880</v>
      </c>
      <c r="D8591" s="56">
        <v>0.0</v>
      </c>
    </row>
    <row r="8592" ht="15.75" customHeight="1">
      <c r="B8592" s="370">
        <f t="shared" si="2"/>
        <v>0.9940972222</v>
      </c>
      <c r="C8592" s="56">
        <f t="shared" si="3"/>
        <v>85890</v>
      </c>
      <c r="D8592" s="56">
        <v>0.0</v>
      </c>
    </row>
    <row r="8593" ht="15.75" customHeight="1">
      <c r="B8593" s="370">
        <f t="shared" si="2"/>
        <v>0.994212963</v>
      </c>
      <c r="C8593" s="56">
        <f t="shared" si="3"/>
        <v>85900</v>
      </c>
      <c r="D8593" s="56">
        <v>0.0</v>
      </c>
    </row>
    <row r="8594" ht="15.75" customHeight="1">
      <c r="B8594" s="370">
        <f t="shared" si="2"/>
        <v>0.9943287037</v>
      </c>
      <c r="C8594" s="56">
        <f t="shared" si="3"/>
        <v>85910</v>
      </c>
      <c r="D8594" s="56">
        <v>0.0</v>
      </c>
    </row>
    <row r="8595" ht="15.75" customHeight="1">
      <c r="B8595" s="370">
        <f t="shared" si="2"/>
        <v>0.9944444444</v>
      </c>
      <c r="C8595" s="56">
        <f t="shared" si="3"/>
        <v>85920</v>
      </c>
      <c r="D8595" s="56">
        <v>0.0</v>
      </c>
    </row>
    <row r="8596" ht="15.75" customHeight="1">
      <c r="B8596" s="370">
        <f t="shared" si="2"/>
        <v>0.9945601852</v>
      </c>
      <c r="C8596" s="56">
        <f t="shared" si="3"/>
        <v>85930</v>
      </c>
      <c r="D8596" s="56">
        <v>0.0</v>
      </c>
    </row>
    <row r="8597" ht="15.75" customHeight="1">
      <c r="B8597" s="370">
        <f t="shared" si="2"/>
        <v>0.9946759259</v>
      </c>
      <c r="C8597" s="56">
        <f t="shared" si="3"/>
        <v>85940</v>
      </c>
      <c r="D8597" s="56">
        <v>0.0</v>
      </c>
    </row>
    <row r="8598" ht="15.75" customHeight="1">
      <c r="B8598" s="370">
        <f t="shared" si="2"/>
        <v>0.9947916667</v>
      </c>
      <c r="C8598" s="56">
        <f t="shared" si="3"/>
        <v>85950</v>
      </c>
      <c r="D8598" s="56">
        <v>0.0</v>
      </c>
    </row>
    <row r="8599" ht="15.75" customHeight="1">
      <c r="B8599" s="370">
        <f t="shared" si="2"/>
        <v>0.9949074074</v>
      </c>
      <c r="C8599" s="56">
        <f t="shared" si="3"/>
        <v>85960</v>
      </c>
      <c r="D8599" s="56">
        <v>0.0</v>
      </c>
    </row>
    <row r="8600" ht="15.75" customHeight="1">
      <c r="B8600" s="370">
        <f t="shared" si="2"/>
        <v>0.9950231481</v>
      </c>
      <c r="C8600" s="56">
        <f t="shared" si="3"/>
        <v>85970</v>
      </c>
      <c r="D8600" s="56">
        <v>0.0</v>
      </c>
    </row>
    <row r="8601" ht="15.75" customHeight="1">
      <c r="B8601" s="370">
        <f t="shared" si="2"/>
        <v>0.9951388889</v>
      </c>
      <c r="C8601" s="56">
        <f t="shared" si="3"/>
        <v>85980</v>
      </c>
      <c r="D8601" s="56">
        <v>0.0</v>
      </c>
    </row>
    <row r="8602" ht="15.75" customHeight="1">
      <c r="B8602" s="370">
        <f t="shared" si="2"/>
        <v>0.9952546296</v>
      </c>
      <c r="C8602" s="56">
        <f t="shared" si="3"/>
        <v>85990</v>
      </c>
      <c r="D8602" s="56">
        <v>0.0</v>
      </c>
    </row>
    <row r="8603" ht="15.75" customHeight="1">
      <c r="B8603" s="370">
        <f t="shared" si="2"/>
        <v>0.9953703704</v>
      </c>
      <c r="C8603" s="56">
        <f t="shared" si="3"/>
        <v>86000</v>
      </c>
      <c r="D8603" s="56">
        <v>0.0</v>
      </c>
    </row>
    <row r="8604" ht="15.75" customHeight="1">
      <c r="B8604" s="370">
        <f t="shared" si="2"/>
        <v>0.9954861111</v>
      </c>
      <c r="C8604" s="56">
        <f t="shared" si="3"/>
        <v>86010</v>
      </c>
      <c r="D8604" s="56">
        <v>0.0</v>
      </c>
    </row>
    <row r="8605" ht="15.75" customHeight="1">
      <c r="B8605" s="370">
        <f t="shared" si="2"/>
        <v>0.9956018519</v>
      </c>
      <c r="C8605" s="56">
        <f t="shared" si="3"/>
        <v>86020</v>
      </c>
      <c r="D8605" s="56">
        <v>0.0</v>
      </c>
    </row>
    <row r="8606" ht="15.75" customHeight="1">
      <c r="B8606" s="370">
        <f t="shared" si="2"/>
        <v>0.9957175926</v>
      </c>
      <c r="C8606" s="56">
        <f t="shared" si="3"/>
        <v>86030</v>
      </c>
      <c r="D8606" s="56">
        <v>0.0</v>
      </c>
    </row>
    <row r="8607" ht="15.75" customHeight="1">
      <c r="B8607" s="370">
        <f t="shared" si="2"/>
        <v>0.9958333333</v>
      </c>
      <c r="C8607" s="56">
        <f t="shared" si="3"/>
        <v>86040</v>
      </c>
      <c r="D8607" s="56">
        <v>0.0</v>
      </c>
    </row>
    <row r="8608" ht="15.75" customHeight="1">
      <c r="B8608" s="370">
        <f t="shared" si="2"/>
        <v>0.9959490741</v>
      </c>
      <c r="C8608" s="56">
        <f t="shared" si="3"/>
        <v>86050</v>
      </c>
      <c r="D8608" s="56">
        <v>0.0</v>
      </c>
    </row>
    <row r="8609" ht="15.75" customHeight="1">
      <c r="B8609" s="370">
        <f t="shared" si="2"/>
        <v>0.9960648148</v>
      </c>
      <c r="C8609" s="56">
        <f t="shared" si="3"/>
        <v>86060</v>
      </c>
      <c r="D8609" s="56">
        <v>0.0</v>
      </c>
    </row>
    <row r="8610" ht="15.75" customHeight="1">
      <c r="B8610" s="370">
        <f t="shared" si="2"/>
        <v>0.9961805556</v>
      </c>
      <c r="C8610" s="56">
        <f t="shared" si="3"/>
        <v>86070</v>
      </c>
      <c r="D8610" s="56">
        <v>0.0</v>
      </c>
    </row>
    <row r="8611" ht="15.75" customHeight="1">
      <c r="B8611" s="370">
        <f t="shared" si="2"/>
        <v>0.9962962963</v>
      </c>
      <c r="C8611" s="56">
        <f t="shared" si="3"/>
        <v>86080</v>
      </c>
      <c r="D8611" s="56">
        <v>0.0</v>
      </c>
    </row>
    <row r="8612" ht="15.75" customHeight="1">
      <c r="B8612" s="370">
        <f t="shared" si="2"/>
        <v>0.996412037</v>
      </c>
      <c r="C8612" s="56">
        <f t="shared" si="3"/>
        <v>86090</v>
      </c>
      <c r="D8612" s="56">
        <v>0.0</v>
      </c>
    </row>
    <row r="8613" ht="15.75" customHeight="1">
      <c r="B8613" s="370">
        <f t="shared" si="2"/>
        <v>0.9965277778</v>
      </c>
      <c r="C8613" s="56">
        <f t="shared" si="3"/>
        <v>86100</v>
      </c>
      <c r="D8613" s="56">
        <v>0.0</v>
      </c>
    </row>
    <row r="8614" ht="15.75" customHeight="1">
      <c r="B8614" s="370">
        <f t="shared" si="2"/>
        <v>0.9966435185</v>
      </c>
      <c r="C8614" s="56">
        <f t="shared" si="3"/>
        <v>86110</v>
      </c>
      <c r="D8614" s="56">
        <v>0.0</v>
      </c>
    </row>
    <row r="8615" ht="15.75" customHeight="1">
      <c r="B8615" s="370">
        <f t="shared" si="2"/>
        <v>0.9967592593</v>
      </c>
      <c r="C8615" s="56">
        <f t="shared" si="3"/>
        <v>86120</v>
      </c>
      <c r="D8615" s="56">
        <v>0.0</v>
      </c>
    </row>
    <row r="8616" ht="15.75" customHeight="1">
      <c r="B8616" s="370">
        <f t="shared" si="2"/>
        <v>0.996875</v>
      </c>
      <c r="C8616" s="56">
        <f t="shared" si="3"/>
        <v>86130</v>
      </c>
      <c r="D8616" s="56">
        <v>0.0</v>
      </c>
    </row>
    <row r="8617" ht="15.75" customHeight="1">
      <c r="B8617" s="370">
        <f t="shared" si="2"/>
        <v>0.9969907407</v>
      </c>
      <c r="C8617" s="56">
        <f t="shared" si="3"/>
        <v>86140</v>
      </c>
      <c r="D8617" s="56">
        <v>0.0</v>
      </c>
    </row>
    <row r="8618" ht="15.75" customHeight="1">
      <c r="B8618" s="370">
        <f t="shared" si="2"/>
        <v>0.9971064815</v>
      </c>
      <c r="C8618" s="56">
        <f t="shared" si="3"/>
        <v>86150</v>
      </c>
      <c r="D8618" s="56">
        <v>0.0</v>
      </c>
    </row>
    <row r="8619" ht="15.75" customHeight="1">
      <c r="B8619" s="370">
        <f t="shared" si="2"/>
        <v>0.9972222222</v>
      </c>
      <c r="C8619" s="56">
        <f t="shared" si="3"/>
        <v>86160</v>
      </c>
      <c r="D8619" s="56">
        <v>0.0</v>
      </c>
    </row>
    <row r="8620" ht="15.75" customHeight="1">
      <c r="B8620" s="370">
        <f t="shared" si="2"/>
        <v>0.997337963</v>
      </c>
      <c r="C8620" s="56">
        <f t="shared" si="3"/>
        <v>86170</v>
      </c>
      <c r="D8620" s="56">
        <v>0.0</v>
      </c>
    </row>
    <row r="8621" ht="15.75" customHeight="1">
      <c r="B8621" s="370">
        <f t="shared" si="2"/>
        <v>0.9974537037</v>
      </c>
      <c r="C8621" s="56">
        <f t="shared" si="3"/>
        <v>86180</v>
      </c>
      <c r="D8621" s="56">
        <v>0.0</v>
      </c>
    </row>
    <row r="8622" ht="15.75" customHeight="1">
      <c r="B8622" s="370">
        <f t="shared" si="2"/>
        <v>0.9975694444</v>
      </c>
      <c r="C8622" s="56">
        <f t="shared" si="3"/>
        <v>86190</v>
      </c>
      <c r="D8622" s="56">
        <v>0.0</v>
      </c>
    </row>
    <row r="8623" ht="15.75" customHeight="1">
      <c r="B8623" s="370">
        <f t="shared" si="2"/>
        <v>0.9976851852</v>
      </c>
      <c r="C8623" s="56">
        <f t="shared" si="3"/>
        <v>86200</v>
      </c>
      <c r="D8623" s="56">
        <v>0.0</v>
      </c>
    </row>
    <row r="8624" ht="15.75" customHeight="1">
      <c r="B8624" s="370">
        <f t="shared" si="2"/>
        <v>0.9978009259</v>
      </c>
      <c r="C8624" s="56">
        <f t="shared" si="3"/>
        <v>86210</v>
      </c>
      <c r="D8624" s="56">
        <v>0.0</v>
      </c>
    </row>
    <row r="8625" ht="15.75" customHeight="1">
      <c r="B8625" s="370">
        <f t="shared" si="2"/>
        <v>0.9979166667</v>
      </c>
      <c r="C8625" s="56">
        <f t="shared" si="3"/>
        <v>86220</v>
      </c>
      <c r="D8625" s="56">
        <v>0.0</v>
      </c>
    </row>
    <row r="8626" ht="15.75" customHeight="1">
      <c r="B8626" s="370">
        <f t="shared" si="2"/>
        <v>0.9980324074</v>
      </c>
      <c r="C8626" s="56">
        <f t="shared" si="3"/>
        <v>86230</v>
      </c>
      <c r="D8626" s="56">
        <v>0.0</v>
      </c>
    </row>
    <row r="8627" ht="15.75" customHeight="1">
      <c r="B8627" s="370">
        <f t="shared" si="2"/>
        <v>0.9981481481</v>
      </c>
      <c r="C8627" s="56">
        <f t="shared" si="3"/>
        <v>86240</v>
      </c>
      <c r="D8627" s="56">
        <v>0.0</v>
      </c>
    </row>
    <row r="8628" ht="15.75" customHeight="1">
      <c r="B8628" s="370">
        <f t="shared" si="2"/>
        <v>0.9982638889</v>
      </c>
      <c r="C8628" s="56">
        <f t="shared" si="3"/>
        <v>86250</v>
      </c>
      <c r="D8628" s="56">
        <v>0.0</v>
      </c>
    </row>
    <row r="8629" ht="15.75" customHeight="1">
      <c r="B8629" s="370">
        <f t="shared" si="2"/>
        <v>0.9983796296</v>
      </c>
      <c r="C8629" s="56">
        <f t="shared" si="3"/>
        <v>86260</v>
      </c>
      <c r="D8629" s="56">
        <v>0.0</v>
      </c>
    </row>
    <row r="8630" ht="15.75" customHeight="1">
      <c r="B8630" s="370">
        <f t="shared" si="2"/>
        <v>0.9984953704</v>
      </c>
      <c r="C8630" s="56">
        <f t="shared" si="3"/>
        <v>86270</v>
      </c>
      <c r="D8630" s="56">
        <v>0.0</v>
      </c>
    </row>
    <row r="8631" ht="15.75" customHeight="1">
      <c r="B8631" s="370">
        <f t="shared" si="2"/>
        <v>0.9986111111</v>
      </c>
      <c r="C8631" s="56">
        <f t="shared" si="3"/>
        <v>86280</v>
      </c>
      <c r="D8631" s="56">
        <v>0.0</v>
      </c>
    </row>
    <row r="8632" ht="15.75" customHeight="1">
      <c r="B8632" s="370">
        <f t="shared" si="2"/>
        <v>0.9987268519</v>
      </c>
      <c r="C8632" s="56">
        <f t="shared" si="3"/>
        <v>86290</v>
      </c>
      <c r="D8632" s="56">
        <v>0.0</v>
      </c>
    </row>
    <row r="8633" ht="15.75" customHeight="1">
      <c r="B8633" s="370">
        <f t="shared" si="2"/>
        <v>0.9988425926</v>
      </c>
      <c r="C8633" s="56">
        <f t="shared" si="3"/>
        <v>86300</v>
      </c>
      <c r="D8633" s="56">
        <v>0.0</v>
      </c>
    </row>
    <row r="8634" ht="15.75" customHeight="1">
      <c r="B8634" s="370">
        <f t="shared" si="2"/>
        <v>0.9989583333</v>
      </c>
      <c r="C8634" s="56">
        <f t="shared" si="3"/>
        <v>86310</v>
      </c>
      <c r="D8634" s="56">
        <v>0.0</v>
      </c>
    </row>
    <row r="8635" ht="15.75" customHeight="1">
      <c r="B8635" s="370">
        <f t="shared" si="2"/>
        <v>0.9990740741</v>
      </c>
      <c r="C8635" s="56">
        <f t="shared" si="3"/>
        <v>86320</v>
      </c>
      <c r="D8635" s="56">
        <v>0.0</v>
      </c>
    </row>
    <row r="8636" ht="15.75" customHeight="1">
      <c r="B8636" s="370">
        <f t="shared" si="2"/>
        <v>0.9991898148</v>
      </c>
      <c r="C8636" s="56">
        <f t="shared" si="3"/>
        <v>86330</v>
      </c>
      <c r="D8636" s="56">
        <v>0.0</v>
      </c>
    </row>
    <row r="8637" ht="15.75" customHeight="1">
      <c r="B8637" s="370">
        <f t="shared" si="2"/>
        <v>0.9993055556</v>
      </c>
      <c r="C8637" s="56">
        <f t="shared" si="3"/>
        <v>86340</v>
      </c>
      <c r="D8637" s="56">
        <v>0.0</v>
      </c>
    </row>
    <row r="8638" ht="15.75" customHeight="1">
      <c r="B8638" s="370">
        <f t="shared" si="2"/>
        <v>0.9994212963</v>
      </c>
      <c r="C8638" s="56">
        <f t="shared" si="3"/>
        <v>86350</v>
      </c>
      <c r="D8638" s="56">
        <v>0.0</v>
      </c>
    </row>
    <row r="8639" ht="15.75" customHeight="1">
      <c r="B8639" s="370">
        <f t="shared" si="2"/>
        <v>0.999537037</v>
      </c>
      <c r="C8639" s="56">
        <f t="shared" si="3"/>
        <v>86360</v>
      </c>
      <c r="D8639" s="56">
        <v>0.0</v>
      </c>
    </row>
    <row r="8640" ht="15.75" customHeight="1">
      <c r="B8640" s="370">
        <f t="shared" si="2"/>
        <v>0.9996527778</v>
      </c>
      <c r="C8640" s="56">
        <f t="shared" si="3"/>
        <v>86370</v>
      </c>
      <c r="D8640" s="56">
        <v>0.0</v>
      </c>
    </row>
    <row r="8641" ht="15.75" customHeight="1">
      <c r="B8641" s="370">
        <f t="shared" si="2"/>
        <v>0.9997685185</v>
      </c>
      <c r="C8641" s="56">
        <f t="shared" si="3"/>
        <v>86380</v>
      </c>
      <c r="D8641" s="56">
        <v>0.0</v>
      </c>
    </row>
    <row r="8642" ht="15.75" customHeight="1">
      <c r="B8642" s="544">
        <f t="shared" si="2"/>
        <v>0.9998842593</v>
      </c>
      <c r="C8642" s="408">
        <f t="shared" si="3"/>
        <v>86390</v>
      </c>
      <c r="D8642" s="408">
        <v>0.0</v>
      </c>
    </row>
    <row r="8643" ht="15.75" customHeight="1">
      <c r="B8643" s="545"/>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11" t="s">
        <v>837</v>
      </c>
      <c r="C2" s="394"/>
      <c r="D2" s="394"/>
      <c r="E2" s="242"/>
      <c r="F2" s="412" t="s">
        <v>955</v>
      </c>
      <c r="G2" s="394"/>
      <c r="H2" s="242"/>
    </row>
    <row r="3" ht="15.75" customHeight="1">
      <c r="B3" s="413" t="s">
        <v>414</v>
      </c>
      <c r="C3" s="414" t="s">
        <v>419</v>
      </c>
      <c r="D3" s="414" t="s">
        <v>786</v>
      </c>
      <c r="E3" s="415" t="s">
        <v>77</v>
      </c>
      <c r="F3" s="416" t="s">
        <v>956</v>
      </c>
      <c r="G3" s="414" t="s">
        <v>957</v>
      </c>
      <c r="H3" s="415" t="s">
        <v>958</v>
      </c>
      <c r="J3" s="417" t="s">
        <v>959</v>
      </c>
    </row>
    <row r="4" ht="15.75" customHeight="1">
      <c r="B4" s="418" t="s">
        <v>36</v>
      </c>
      <c r="C4" s="419" t="s">
        <v>960</v>
      </c>
      <c r="D4" s="420" t="str">
        <f>HYPERLINK("https://www.onsemi.com/pub/Collateral/MT9V032-D.PDF","MT9V032")</f>
        <v>MT9V032</v>
      </c>
      <c r="E4" s="421"/>
      <c r="F4" s="422">
        <f>3/(90*60)*100</f>
        <v>0.05555555556</v>
      </c>
      <c r="G4" s="423">
        <f t="shared" ref="G4:G19" si="1">IF(NOT(ISBLANK(F4)), F4*90/100,"")</f>
        <v>0.05</v>
      </c>
      <c r="H4" s="424">
        <v>0.32</v>
      </c>
      <c r="J4" s="425" t="s">
        <v>961</v>
      </c>
    </row>
    <row r="5" ht="15.75" customHeight="1">
      <c r="B5" s="351" t="s">
        <v>962</v>
      </c>
      <c r="C5" s="426" t="s">
        <v>963</v>
      </c>
      <c r="D5" s="427" t="str">
        <f t="shared" ref="D5:D6" si="2">HYPERLINK("https://pacificcrest.com/library/DS_XDL_Micro_English.pdf","XDL Micro")</f>
        <v>XDL Micro</v>
      </c>
      <c r="E5" s="428" t="s">
        <v>964</v>
      </c>
      <c r="F5" s="429">
        <f t="shared" ref="F5:F6" si="3">7*10/9/2</f>
        <v>3.888888889</v>
      </c>
      <c r="G5" s="429">
        <f t="shared" si="1"/>
        <v>3.5</v>
      </c>
      <c r="H5" s="430">
        <v>6.5</v>
      </c>
      <c r="J5" s="431" t="s">
        <v>965</v>
      </c>
    </row>
    <row r="6" ht="15.75" customHeight="1">
      <c r="B6" s="432"/>
      <c r="C6" s="428" t="s">
        <v>966</v>
      </c>
      <c r="D6" s="433" t="str">
        <f t="shared" si="2"/>
        <v>XDL Micro</v>
      </c>
      <c r="E6" s="434"/>
      <c r="F6" s="429">
        <f t="shared" si="3"/>
        <v>3.888888889</v>
      </c>
      <c r="G6" s="429">
        <f t="shared" si="1"/>
        <v>3.5</v>
      </c>
      <c r="H6" s="430">
        <v>0.45</v>
      </c>
      <c r="J6" s="435" t="s">
        <v>967</v>
      </c>
    </row>
    <row r="7" ht="15.75" customHeight="1">
      <c r="B7" s="247"/>
      <c r="C7" s="419" t="s">
        <v>968</v>
      </c>
      <c r="D7" s="419"/>
      <c r="E7" s="419" t="s">
        <v>969</v>
      </c>
      <c r="F7" s="429">
        <v>0.0</v>
      </c>
      <c r="G7" s="423">
        <f t="shared" si="1"/>
        <v>0</v>
      </c>
      <c r="H7" s="430"/>
    </row>
    <row r="8" ht="15.75" customHeight="1">
      <c r="B8" s="351" t="s">
        <v>970</v>
      </c>
      <c r="C8" s="426" t="s">
        <v>970</v>
      </c>
      <c r="D8" s="436" t="str">
        <f>HYPERLINK("http://media.gumstix.com/docs/gs3703fy.pdf","Overo FireSTORM")</f>
        <v>Overo FireSTORM</v>
      </c>
      <c r="E8" s="428"/>
      <c r="F8" s="437">
        <v>10.0</v>
      </c>
      <c r="G8" s="429">
        <f t="shared" si="1"/>
        <v>9</v>
      </c>
      <c r="H8" s="438">
        <v>1.5</v>
      </c>
    </row>
    <row r="9" ht="15.75" customHeight="1">
      <c r="B9" s="432"/>
      <c r="C9" s="428" t="s">
        <v>971</v>
      </c>
      <c r="D9" s="439" t="str">
        <f>HYPERLINK("https://www.pjrc.com/teensy/K20P64M72SF1.pdf","Teensy 3.2")</f>
        <v>Teensy 3.2</v>
      </c>
      <c r="E9" s="428"/>
      <c r="F9" s="440">
        <v>100.0</v>
      </c>
      <c r="G9" s="429">
        <f t="shared" si="1"/>
        <v>90</v>
      </c>
      <c r="H9" s="430">
        <v>0.033</v>
      </c>
    </row>
    <row r="10" ht="15.75" customHeight="1">
      <c r="B10" s="432"/>
      <c r="C10" s="428" t="s">
        <v>972</v>
      </c>
      <c r="D10" s="439" t="str">
        <f>HYPERLINK("http://ww1.microchip.com/downloads/en/DeviceDoc/00002416A.pdf","LAN9221")</f>
        <v>LAN9221</v>
      </c>
      <c r="E10" s="428"/>
      <c r="F10" s="440">
        <v>10.0</v>
      </c>
      <c r="G10" s="429">
        <f t="shared" si="1"/>
        <v>9</v>
      </c>
      <c r="H10" s="430">
        <v>0.2805</v>
      </c>
      <c r="J10" s="312" t="s">
        <v>973</v>
      </c>
      <c r="K10" s="242"/>
    </row>
    <row r="11" ht="15.75" customHeight="1">
      <c r="B11" s="247"/>
      <c r="C11" s="34"/>
      <c r="D11" s="441" t="s">
        <v>974</v>
      </c>
      <c r="E11" s="419"/>
      <c r="F11" s="442">
        <v>10.0</v>
      </c>
      <c r="G11" s="429">
        <f t="shared" si="1"/>
        <v>9</v>
      </c>
      <c r="H11" s="424">
        <v>0.3</v>
      </c>
      <c r="J11" s="382" t="s">
        <v>921</v>
      </c>
      <c r="K11" s="383" t="s">
        <v>859</v>
      </c>
    </row>
    <row r="12" ht="15.75" customHeight="1">
      <c r="B12" s="351" t="s">
        <v>975</v>
      </c>
      <c r="C12" s="428" t="s">
        <v>976</v>
      </c>
      <c r="D12" s="443" t="str">
        <f>HYPERLINK("https://drive.google.com/open?id=1DGZnvjxlbdPq56eMM77iI4972W-GGAam","CubeTorquer")</f>
        <v>CubeTorquer</v>
      </c>
      <c r="E12" s="428"/>
      <c r="F12" s="429">
        <v>1.0</v>
      </c>
      <c r="G12" s="444">
        <f t="shared" si="1"/>
        <v>0.9</v>
      </c>
      <c r="H12" s="430">
        <v>0.201</v>
      </c>
      <c r="J12" s="371" t="s">
        <v>977</v>
      </c>
      <c r="K12" s="372">
        <v>2.5</v>
      </c>
    </row>
    <row r="13" ht="15.75" customHeight="1">
      <c r="B13" s="432"/>
      <c r="C13" s="428" t="s">
        <v>978</v>
      </c>
      <c r="D13" s="445"/>
      <c r="E13" s="428"/>
      <c r="F13" s="429"/>
      <c r="G13" s="429" t="str">
        <f t="shared" si="1"/>
        <v/>
      </c>
      <c r="H13" s="430">
        <v>0.007</v>
      </c>
      <c r="J13" s="364" t="s">
        <v>979</v>
      </c>
      <c r="K13" s="373">
        <v>20.0</v>
      </c>
    </row>
    <row r="14" ht="15.75" customHeight="1">
      <c r="B14" s="432"/>
      <c r="C14" s="428" t="s">
        <v>980</v>
      </c>
      <c r="D14" s="443" t="str">
        <f>HYPERLINK("https://www.cubesatshop.com/product/nss-magnetometer/","NSS Magnetometer")</f>
        <v>NSS Magnetometer</v>
      </c>
      <c r="E14" s="428" t="s">
        <v>981</v>
      </c>
      <c r="F14" s="429"/>
      <c r="G14" s="429" t="str">
        <f t="shared" si="1"/>
        <v/>
      </c>
      <c r="H14" s="430">
        <v>0.75</v>
      </c>
    </row>
    <row r="15" ht="15.75" customHeight="1">
      <c r="B15" s="247"/>
      <c r="C15" s="419" t="s">
        <v>982</v>
      </c>
      <c r="D15" s="446" t="str">
        <f>HYPERLINK("https://drive.google.com/open?id=1dOzVd2GYutxrHuSuyUqQcI3RAh2kFL-w","nanoSSOC-A60")</f>
        <v>nanoSSOC-A60</v>
      </c>
      <c r="E15" s="34"/>
      <c r="F15" s="423"/>
      <c r="G15" s="423" t="str">
        <f t="shared" si="1"/>
        <v/>
      </c>
      <c r="H15" s="430"/>
    </row>
    <row r="16" ht="15.75" customHeight="1">
      <c r="B16" s="343" t="s">
        <v>500</v>
      </c>
      <c r="C16" s="428" t="s">
        <v>648</v>
      </c>
      <c r="D16" s="443" t="str">
        <f>HYPERLINK("https://www.amazon.com/12V-Polyimide-Heater-Film-25mmx50mm/dp/B07G2DDZW6/ref=sr_1_5?hvadid=78340244490098&amp;hvbmt=be&amp;hvdev=c&amp;hvqmt=e&amp;keywords=kapton+heater&amp;qid=1576190689&amp;sr=8-5#detail-bullets","Kapton Heater")</f>
        <v>Kapton Heater</v>
      </c>
      <c r="E16" s="428"/>
      <c r="F16" s="429">
        <v>0.0</v>
      </c>
      <c r="G16" s="429">
        <f t="shared" si="1"/>
        <v>0</v>
      </c>
      <c r="H16" s="438">
        <v>7.0</v>
      </c>
    </row>
    <row r="17" ht="15.75" customHeight="1">
      <c r="B17" s="432"/>
      <c r="C17" s="428" t="s">
        <v>848</v>
      </c>
      <c r="D17" s="447"/>
      <c r="E17" s="419" t="s">
        <v>983</v>
      </c>
      <c r="F17" s="423">
        <v>100.0</v>
      </c>
      <c r="G17" s="423">
        <f t="shared" si="1"/>
        <v>90</v>
      </c>
      <c r="H17" s="424">
        <f>0.03*3</f>
        <v>0.09</v>
      </c>
    </row>
    <row r="18" ht="15.75" customHeight="1">
      <c r="B18" s="351" t="s">
        <v>800</v>
      </c>
      <c r="C18" s="426" t="s">
        <v>984</v>
      </c>
      <c r="D18" s="448"/>
      <c r="E18" s="428" t="s">
        <v>969</v>
      </c>
      <c r="F18" s="429">
        <v>0.0</v>
      </c>
      <c r="G18" s="429">
        <f t="shared" si="1"/>
        <v>0</v>
      </c>
      <c r="H18" s="430"/>
    </row>
    <row r="19" ht="15.75" customHeight="1">
      <c r="B19" s="247"/>
      <c r="C19" s="419" t="s">
        <v>985</v>
      </c>
      <c r="D19" s="449" t="s">
        <v>986</v>
      </c>
      <c r="E19" s="419"/>
      <c r="F19" s="423">
        <v>100.0</v>
      </c>
      <c r="G19" s="429">
        <f t="shared" si="1"/>
        <v>90</v>
      </c>
      <c r="H19" s="424"/>
    </row>
    <row r="20" ht="15.75" customHeight="1">
      <c r="B20" s="450" t="s">
        <v>987</v>
      </c>
      <c r="C20" s="245"/>
      <c r="D20" s="245"/>
      <c r="E20" s="97"/>
      <c r="F20" s="422"/>
      <c r="G20" s="422"/>
      <c r="H20" s="451">
        <f>SUMPRODUCT(F4:F19,H4:H19)/100</f>
        <v>0.6035155556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11" t="s">
        <v>837</v>
      </c>
      <c r="C2" s="394"/>
      <c r="D2" s="394"/>
      <c r="E2" s="242"/>
      <c r="F2" s="412" t="s">
        <v>955</v>
      </c>
      <c r="G2" s="394"/>
      <c r="H2" s="242"/>
    </row>
    <row r="3" ht="15.75" customHeight="1">
      <c r="B3" s="413" t="s">
        <v>414</v>
      </c>
      <c r="C3" s="414" t="s">
        <v>419</v>
      </c>
      <c r="D3" s="414" t="s">
        <v>786</v>
      </c>
      <c r="E3" s="415" t="s">
        <v>77</v>
      </c>
      <c r="F3" s="416" t="s">
        <v>956</v>
      </c>
      <c r="G3" s="414" t="s">
        <v>957</v>
      </c>
      <c r="H3" s="415" t="s">
        <v>958</v>
      </c>
      <c r="J3" s="417" t="s">
        <v>959</v>
      </c>
    </row>
    <row r="4" ht="15.75" customHeight="1">
      <c r="B4" s="418" t="s">
        <v>36</v>
      </c>
      <c r="C4" s="419" t="s">
        <v>960</v>
      </c>
      <c r="D4" s="420" t="str">
        <f>HYPERLINK("https://www.onsemi.com/pub/Collateral/MT9V032-D.PDF","MT9V032")</f>
        <v>MT9V032</v>
      </c>
      <c r="E4" s="421"/>
      <c r="F4" s="452">
        <v>0.0</v>
      </c>
      <c r="G4" s="80">
        <f t="shared" ref="G4:G19" si="1">IF(NOT(ISBLANK(F4)), F4*90/100,"")</f>
        <v>0</v>
      </c>
      <c r="H4" s="449">
        <v>0.32</v>
      </c>
      <c r="J4" s="425" t="s">
        <v>961</v>
      </c>
    </row>
    <row r="5" ht="15.75" customHeight="1">
      <c r="B5" s="351" t="s">
        <v>962</v>
      </c>
      <c r="C5" s="426" t="s">
        <v>963</v>
      </c>
      <c r="D5" s="427" t="str">
        <f t="shared" ref="D5:D6" si="2">HYPERLINK("https://pacificcrest.com/library/DS_XDL_Micro_English.pdf","XDL Micro")</f>
        <v>XDL Micro</v>
      </c>
      <c r="E5" s="428" t="s">
        <v>964</v>
      </c>
      <c r="F5" s="80">
        <v>0.0</v>
      </c>
      <c r="G5" s="453">
        <f t="shared" si="1"/>
        <v>0</v>
      </c>
      <c r="H5" s="445">
        <v>6.5</v>
      </c>
      <c r="J5" s="431" t="s">
        <v>965</v>
      </c>
    </row>
    <row r="6" ht="15.75" customHeight="1">
      <c r="B6" s="432"/>
      <c r="C6" s="428" t="s">
        <v>966</v>
      </c>
      <c r="D6" s="433" t="str">
        <f t="shared" si="2"/>
        <v>XDL Micro</v>
      </c>
      <c r="E6" s="434"/>
      <c r="F6" s="80">
        <v>0.0</v>
      </c>
      <c r="G6" s="80">
        <f t="shared" si="1"/>
        <v>0</v>
      </c>
      <c r="H6" s="445">
        <v>0.45</v>
      </c>
      <c r="J6" s="435" t="s">
        <v>967</v>
      </c>
    </row>
    <row r="7" ht="15.75" customHeight="1">
      <c r="B7" s="247"/>
      <c r="C7" s="419" t="s">
        <v>968</v>
      </c>
      <c r="D7" s="419"/>
      <c r="E7" s="419" t="s">
        <v>969</v>
      </c>
      <c r="F7" s="80">
        <v>0.0</v>
      </c>
      <c r="G7" s="441">
        <f t="shared" si="1"/>
        <v>0</v>
      </c>
      <c r="H7" s="445"/>
    </row>
    <row r="8" ht="15.75" customHeight="1">
      <c r="B8" s="351" t="s">
        <v>970</v>
      </c>
      <c r="C8" s="426" t="s">
        <v>970</v>
      </c>
      <c r="D8" s="436" t="str">
        <f>HYPERLINK("http://media.gumstix.com/docs/gs3703fy.pdf","Overo FireSTORM")</f>
        <v>Overo FireSTORM</v>
      </c>
      <c r="E8" s="428"/>
      <c r="F8" s="454">
        <v>10.0</v>
      </c>
      <c r="G8" s="80">
        <f t="shared" si="1"/>
        <v>9</v>
      </c>
      <c r="H8" s="448">
        <v>1.5</v>
      </c>
    </row>
    <row r="9" ht="15.75" customHeight="1">
      <c r="B9" s="432"/>
      <c r="C9" s="428" t="s">
        <v>971</v>
      </c>
      <c r="D9" s="439" t="str">
        <f>HYPERLINK("https://www.pjrc.com/teensy/K20P64M72SF1.pdf","Teensy 3.2")</f>
        <v>Teensy 3.2</v>
      </c>
      <c r="E9" s="428"/>
      <c r="F9" s="455">
        <v>100.0</v>
      </c>
      <c r="G9" s="80">
        <f t="shared" si="1"/>
        <v>90</v>
      </c>
      <c r="H9" s="445">
        <v>0.033</v>
      </c>
    </row>
    <row r="10" ht="15.75" customHeight="1">
      <c r="B10" s="432"/>
      <c r="C10" s="428" t="s">
        <v>972</v>
      </c>
      <c r="D10" s="439" t="str">
        <f>HYPERLINK("http://ww1.microchip.com/downloads/en/DeviceDoc/00002416A.pdf","LAN9221")</f>
        <v>LAN9221</v>
      </c>
      <c r="E10" s="428"/>
      <c r="F10" s="455">
        <v>10.0</v>
      </c>
      <c r="G10" s="80">
        <f t="shared" si="1"/>
        <v>9</v>
      </c>
      <c r="H10" s="445">
        <v>0.2805</v>
      </c>
      <c r="J10" s="312" t="s">
        <v>973</v>
      </c>
      <c r="K10" s="242"/>
    </row>
    <row r="11" ht="15.75" customHeight="1">
      <c r="B11" s="247"/>
      <c r="C11" s="34"/>
      <c r="D11" s="441" t="s">
        <v>974</v>
      </c>
      <c r="E11" s="419"/>
      <c r="F11" s="418">
        <v>10.0</v>
      </c>
      <c r="G11" s="80">
        <f t="shared" si="1"/>
        <v>9</v>
      </c>
      <c r="H11" s="449">
        <v>0.3</v>
      </c>
      <c r="J11" s="382" t="s">
        <v>921</v>
      </c>
      <c r="K11" s="383" t="s">
        <v>859</v>
      </c>
    </row>
    <row r="12" ht="15.75" customHeight="1">
      <c r="B12" s="351" t="s">
        <v>975</v>
      </c>
      <c r="C12" s="428" t="s">
        <v>976</v>
      </c>
      <c r="D12" s="443" t="str">
        <f>HYPERLINK("https://drive.google.com/open?id=1DGZnvjxlbdPq56eMM77iI4972W-GGAam","CubeTorquer")</f>
        <v>CubeTorquer</v>
      </c>
      <c r="E12" s="428"/>
      <c r="F12" s="80">
        <v>0.0</v>
      </c>
      <c r="G12" s="453">
        <f t="shared" si="1"/>
        <v>0</v>
      </c>
      <c r="H12" s="445">
        <v>0.201</v>
      </c>
      <c r="J12" s="371" t="s">
        <v>977</v>
      </c>
      <c r="K12" s="372">
        <v>2.5</v>
      </c>
    </row>
    <row r="13" ht="15.75" customHeight="1">
      <c r="B13" s="432"/>
      <c r="C13" s="428" t="s">
        <v>978</v>
      </c>
      <c r="D13" s="445"/>
      <c r="E13" s="428"/>
      <c r="F13" s="80"/>
      <c r="G13" s="80" t="str">
        <f t="shared" si="1"/>
        <v/>
      </c>
      <c r="H13" s="445">
        <v>0.007</v>
      </c>
      <c r="J13" s="364" t="s">
        <v>979</v>
      </c>
      <c r="K13" s="373">
        <v>20.0</v>
      </c>
    </row>
    <row r="14" ht="15.75" customHeight="1">
      <c r="B14" s="432"/>
      <c r="C14" s="428" t="s">
        <v>980</v>
      </c>
      <c r="D14" s="443" t="str">
        <f>HYPERLINK("https://www.cubesatshop.com/product/nss-magnetometer/","NSS Magnetometer")</f>
        <v>NSS Magnetometer</v>
      </c>
      <c r="E14" s="428" t="s">
        <v>981</v>
      </c>
      <c r="F14" s="80"/>
      <c r="G14" s="80" t="str">
        <f t="shared" si="1"/>
        <v/>
      </c>
      <c r="H14" s="445">
        <v>0.75</v>
      </c>
    </row>
    <row r="15" ht="15.75" customHeight="1">
      <c r="B15" s="247"/>
      <c r="C15" s="419" t="s">
        <v>982</v>
      </c>
      <c r="D15" s="446" t="str">
        <f>HYPERLINK("https://drive.google.com/open?id=1dOzVd2GYutxrHuSuyUqQcI3RAh2kFL-w","nanoSSOC-A60")</f>
        <v>nanoSSOC-A60</v>
      </c>
      <c r="E15" s="34"/>
      <c r="F15" s="441"/>
      <c r="G15" s="441" t="str">
        <f t="shared" si="1"/>
        <v/>
      </c>
      <c r="H15" s="445"/>
    </row>
    <row r="16" ht="15.75" customHeight="1">
      <c r="B16" s="343" t="s">
        <v>500</v>
      </c>
      <c r="C16" s="428" t="s">
        <v>648</v>
      </c>
      <c r="D16" s="443" t="str">
        <f>HYPERLINK("https://www.amazon.com/12V-Polyimide-Heater-Film-25mmx50mm/dp/B07G2DDZW6/ref=sr_1_5?hvadid=78340244490098&amp;hvbmt=be&amp;hvdev=c&amp;hvqmt=e&amp;keywords=kapton+heater&amp;qid=1576190689&amp;sr=8-5#detail-bullets","Kapton Heater")</f>
        <v>Kapton Heater</v>
      </c>
      <c r="E16" s="428"/>
      <c r="F16" s="80">
        <v>0.0</v>
      </c>
      <c r="G16" s="80">
        <f t="shared" si="1"/>
        <v>0</v>
      </c>
      <c r="H16" s="448">
        <v>7.0</v>
      </c>
    </row>
    <row r="17" ht="15.75" customHeight="1">
      <c r="B17" s="432"/>
      <c r="C17" s="428" t="s">
        <v>848</v>
      </c>
      <c r="D17" s="447"/>
      <c r="E17" s="419" t="s">
        <v>983</v>
      </c>
      <c r="F17" s="441">
        <v>100.0</v>
      </c>
      <c r="G17" s="80">
        <f t="shared" si="1"/>
        <v>90</v>
      </c>
      <c r="H17" s="449">
        <f>0.03*3</f>
        <v>0.09</v>
      </c>
    </row>
    <row r="18" ht="15.75" customHeight="1">
      <c r="B18" s="351" t="s">
        <v>800</v>
      </c>
      <c r="C18" s="426" t="s">
        <v>984</v>
      </c>
      <c r="D18" s="448"/>
      <c r="E18" s="428" t="s">
        <v>969</v>
      </c>
      <c r="F18" s="80">
        <v>0.0</v>
      </c>
      <c r="G18" s="453">
        <f t="shared" si="1"/>
        <v>0</v>
      </c>
      <c r="H18" s="445"/>
    </row>
    <row r="19" ht="15.75" customHeight="1">
      <c r="B19" s="247"/>
      <c r="C19" s="419" t="s">
        <v>985</v>
      </c>
      <c r="D19" s="449" t="s">
        <v>986</v>
      </c>
      <c r="E19" s="419"/>
      <c r="F19" s="441">
        <v>100.0</v>
      </c>
      <c r="G19" s="80">
        <f t="shared" si="1"/>
        <v>90</v>
      </c>
      <c r="H19" s="449"/>
    </row>
    <row r="20" ht="15.75" customHeight="1">
      <c r="B20" s="450" t="s">
        <v>987</v>
      </c>
      <c r="C20" s="245"/>
      <c r="D20" s="245"/>
      <c r="E20" s="97"/>
      <c r="F20" s="456"/>
      <c r="G20" s="456"/>
      <c r="H20" s="457">
        <f>SUMPRODUCT(F4:F19,H4:H19)/100</f>
        <v>0.33105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13"/>
    <col customWidth="1" min="2" max="2" width="18.13"/>
    <col customWidth="1" min="3" max="3" width="25.38"/>
    <col customWidth="1" min="4" max="4" width="12.5"/>
    <col customWidth="1" min="5" max="5" width="12.38"/>
    <col customWidth="1" min="6" max="6" width="13.88"/>
    <col customWidth="1" min="7" max="10" width="11.0"/>
    <col customWidth="1" min="11" max="11" width="14.38"/>
  </cols>
  <sheetData>
    <row r="1">
      <c r="A1" s="458" t="s">
        <v>988</v>
      </c>
      <c r="B1" s="459" t="s">
        <v>419</v>
      </c>
      <c r="C1" s="459" t="s">
        <v>989</v>
      </c>
      <c r="D1" s="459" t="s">
        <v>990</v>
      </c>
      <c r="E1" s="460" t="s">
        <v>991</v>
      </c>
      <c r="F1" s="461" t="s">
        <v>992</v>
      </c>
      <c r="G1" s="459" t="s">
        <v>993</v>
      </c>
      <c r="H1" s="459" t="s">
        <v>994</v>
      </c>
      <c r="I1" s="459" t="s">
        <v>995</v>
      </c>
      <c r="J1" s="459" t="s">
        <v>996</v>
      </c>
    </row>
    <row r="2">
      <c r="A2" s="462" t="s">
        <v>36</v>
      </c>
      <c r="B2" s="463" t="s">
        <v>794</v>
      </c>
      <c r="C2" s="463" t="s">
        <v>795</v>
      </c>
      <c r="D2" s="463">
        <v>45.0</v>
      </c>
      <c r="E2" s="464">
        <v>0.95</v>
      </c>
      <c r="F2" s="465">
        <v>2.25</v>
      </c>
      <c r="G2" s="463">
        <v>-40.0</v>
      </c>
      <c r="H2" s="463">
        <v>-30.0</v>
      </c>
      <c r="I2" s="463">
        <v>50.0</v>
      </c>
      <c r="J2" s="463">
        <v>60.0</v>
      </c>
    </row>
    <row r="3">
      <c r="A3" s="76" t="s">
        <v>800</v>
      </c>
      <c r="B3" s="53" t="s">
        <v>801</v>
      </c>
      <c r="C3" s="53" t="s">
        <v>802</v>
      </c>
      <c r="D3" s="53">
        <v>0.0</v>
      </c>
      <c r="E3" s="464">
        <v>1.0</v>
      </c>
      <c r="F3" s="465">
        <v>0.0</v>
      </c>
      <c r="G3" s="53">
        <v>-40.0</v>
      </c>
      <c r="H3" s="53">
        <v>-20.0</v>
      </c>
      <c r="I3" s="53">
        <v>40.0</v>
      </c>
      <c r="J3" s="53">
        <v>50.0</v>
      </c>
    </row>
    <row r="4">
      <c r="A4" s="76" t="s">
        <v>800</v>
      </c>
      <c r="B4" s="53" t="s">
        <v>809</v>
      </c>
      <c r="C4" s="53" t="s">
        <v>811</v>
      </c>
      <c r="D4" s="53">
        <v>12.0</v>
      </c>
      <c r="E4" s="464">
        <v>0.93</v>
      </c>
      <c r="F4" s="465">
        <v>0.84</v>
      </c>
      <c r="G4" s="53">
        <v>-30.0</v>
      </c>
      <c r="H4" s="53">
        <v>-20.0</v>
      </c>
      <c r="I4" s="53">
        <v>50.0</v>
      </c>
      <c r="J4" s="53">
        <v>60.0</v>
      </c>
    </row>
    <row r="5">
      <c r="A5" s="76" t="s">
        <v>816</v>
      </c>
      <c r="B5" s="53" t="s">
        <v>818</v>
      </c>
      <c r="C5" s="53" t="s">
        <v>820</v>
      </c>
      <c r="D5" s="53">
        <v>84.0</v>
      </c>
      <c r="E5" s="464">
        <v>0.9</v>
      </c>
      <c r="F5" s="92">
        <v>8.4</v>
      </c>
      <c r="G5" s="53">
        <v>-40.0</v>
      </c>
      <c r="H5" s="53">
        <v>-30.0</v>
      </c>
      <c r="I5" s="53">
        <v>50.0</v>
      </c>
      <c r="J5" s="53">
        <v>60.0</v>
      </c>
    </row>
    <row r="6">
      <c r="A6" s="76" t="s">
        <v>826</v>
      </c>
      <c r="B6" s="53" t="s">
        <v>828</v>
      </c>
      <c r="C6" s="53" t="s">
        <v>830</v>
      </c>
      <c r="D6" s="53">
        <v>18.0</v>
      </c>
      <c r="E6" s="464">
        <v>0.95</v>
      </c>
      <c r="F6" s="92">
        <v>0.9</v>
      </c>
      <c r="G6" s="53">
        <v>-30.0</v>
      </c>
      <c r="H6" s="53">
        <v>-20.0</v>
      </c>
      <c r="I6" s="53">
        <v>50.0</v>
      </c>
      <c r="J6" s="53">
        <v>60.0</v>
      </c>
    </row>
    <row r="7">
      <c r="A7" s="76" t="s">
        <v>826</v>
      </c>
      <c r="B7" s="53" t="s">
        <v>835</v>
      </c>
      <c r="C7" s="53" t="s">
        <v>836</v>
      </c>
      <c r="D7" s="53">
        <v>6.0</v>
      </c>
      <c r="E7" s="464">
        <v>0.95</v>
      </c>
      <c r="F7" s="92">
        <v>0.3</v>
      </c>
      <c r="G7" s="53">
        <v>-30.0</v>
      </c>
      <c r="H7" s="53">
        <v>-20.0</v>
      </c>
      <c r="I7" s="53">
        <v>50.0</v>
      </c>
      <c r="J7" s="53">
        <v>60.0</v>
      </c>
    </row>
    <row r="8">
      <c r="A8" s="76" t="s">
        <v>826</v>
      </c>
      <c r="B8" s="53" t="s">
        <v>839</v>
      </c>
      <c r="C8" s="53" t="s">
        <v>841</v>
      </c>
      <c r="D8" s="53">
        <v>4.0</v>
      </c>
      <c r="E8" s="464">
        <v>0.95</v>
      </c>
      <c r="F8" s="92">
        <v>0.2</v>
      </c>
      <c r="G8" s="53">
        <v>-40.0</v>
      </c>
      <c r="H8" s="53">
        <v>-30.0</v>
      </c>
      <c r="I8" s="53">
        <v>50.0</v>
      </c>
      <c r="J8" s="53">
        <v>60.0</v>
      </c>
    </row>
    <row r="9">
      <c r="A9" s="76" t="s">
        <v>500</v>
      </c>
      <c r="B9" s="53" t="s">
        <v>845</v>
      </c>
      <c r="C9" s="53" t="s">
        <v>846</v>
      </c>
      <c r="D9" s="53">
        <v>40.0</v>
      </c>
      <c r="E9" s="464">
        <v>1.0</v>
      </c>
      <c r="F9" s="92">
        <v>0.0</v>
      </c>
      <c r="G9" s="74"/>
      <c r="H9" s="74"/>
      <c r="I9" s="74"/>
      <c r="J9" s="74"/>
    </row>
    <row r="10">
      <c r="A10" s="76" t="s">
        <v>500</v>
      </c>
      <c r="B10" s="53" t="s">
        <v>848</v>
      </c>
      <c r="C10" s="53" t="s">
        <v>850</v>
      </c>
      <c r="D10" s="53">
        <v>0.5</v>
      </c>
      <c r="E10" s="464">
        <v>0.95</v>
      </c>
      <c r="F10" s="92">
        <v>0.025</v>
      </c>
      <c r="G10" s="53">
        <v>-50.0</v>
      </c>
      <c r="H10" s="53">
        <v>-40.0</v>
      </c>
      <c r="I10" s="53">
        <v>85.0</v>
      </c>
      <c r="J10" s="53">
        <v>125.0</v>
      </c>
    </row>
    <row r="11">
      <c r="A11" s="76" t="s">
        <v>528</v>
      </c>
      <c r="B11" s="53" t="s">
        <v>855</v>
      </c>
      <c r="C11" s="53" t="s">
        <v>856</v>
      </c>
      <c r="D11" s="53">
        <v>35.0</v>
      </c>
      <c r="E11" s="464">
        <v>0.95</v>
      </c>
      <c r="F11" s="92">
        <v>1.75</v>
      </c>
      <c r="G11" s="53">
        <v>-30.0</v>
      </c>
      <c r="H11" s="53">
        <v>-20.0</v>
      </c>
      <c r="I11" s="53">
        <v>50.0</v>
      </c>
      <c r="J11" s="53">
        <v>60.0</v>
      </c>
    </row>
    <row r="12">
      <c r="A12" s="76" t="s">
        <v>528</v>
      </c>
      <c r="B12" s="53" t="s">
        <v>860</v>
      </c>
      <c r="C12" s="129" t="s">
        <v>861</v>
      </c>
      <c r="D12" s="53">
        <v>45.0</v>
      </c>
      <c r="E12" s="464">
        <v>0.95</v>
      </c>
      <c r="F12" s="92">
        <v>2.25</v>
      </c>
      <c r="G12" s="53">
        <v>-30.0</v>
      </c>
      <c r="H12" s="53">
        <v>-20.0</v>
      </c>
      <c r="I12" s="53">
        <v>50.0</v>
      </c>
      <c r="J12" s="53">
        <v>60.0</v>
      </c>
    </row>
    <row r="13">
      <c r="A13" s="466" t="s">
        <v>697</v>
      </c>
      <c r="B13" s="467"/>
      <c r="C13" s="468"/>
      <c r="D13" s="469">
        <v>289.5</v>
      </c>
      <c r="E13" s="464">
        <v>0.942</v>
      </c>
      <c r="F13" s="470">
        <v>16.91</v>
      </c>
      <c r="G13" s="468"/>
      <c r="H13" s="468"/>
      <c r="I13" s="468"/>
      <c r="J13" s="468"/>
    </row>
    <row r="14" ht="12.75" customHeight="1">
      <c r="A14" s="137"/>
      <c r="B14" s="74"/>
      <c r="C14" s="74"/>
      <c r="D14" s="137"/>
      <c r="F14" s="137"/>
      <c r="G14" s="137"/>
      <c r="H14" s="137"/>
      <c r="I14" s="137"/>
      <c r="J14" s="137"/>
    </row>
  </sheetData>
  <mergeCells count="1">
    <mergeCell ref="A13:B13"/>
  </mergeCells>
  <printOptions/>
  <pageMargins bottom="0.75" footer="0.0" header="0.0" left="0.25" right="0.25" top="0.75"/>
  <pageSetup scale="90"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67" t="s">
        <v>595</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71" t="s">
        <v>606</v>
      </c>
      <c r="C11" s="230" t="s">
        <v>738</v>
      </c>
      <c r="D11" s="230" t="s">
        <v>997</v>
      </c>
      <c r="E11" s="230" t="s">
        <v>998</v>
      </c>
      <c r="F11" s="230" t="s">
        <v>999</v>
      </c>
      <c r="G11" s="472" t="s">
        <v>1000</v>
      </c>
      <c r="H11" s="473" t="s">
        <v>622</v>
      </c>
      <c r="I11" s="474" t="s">
        <v>623</v>
      </c>
      <c r="J11" s="234"/>
    </row>
    <row r="12" ht="12.75" customHeight="1">
      <c r="B12" s="230" t="s">
        <v>738</v>
      </c>
      <c r="C12" s="236"/>
      <c r="D12" s="241">
        <v>0.25</v>
      </c>
      <c r="E12" s="241">
        <v>0.5</v>
      </c>
      <c r="F12" s="241">
        <v>0.25</v>
      </c>
      <c r="G12" s="243">
        <v>0.25</v>
      </c>
      <c r="H12" s="475">
        <v>1.25</v>
      </c>
      <c r="I12" s="476">
        <v>0.13</v>
      </c>
      <c r="J12" s="234"/>
    </row>
    <row r="13" ht="12.75" customHeight="1">
      <c r="B13" s="230" t="s">
        <v>997</v>
      </c>
      <c r="C13" s="241">
        <v>0.75</v>
      </c>
      <c r="D13" s="236"/>
      <c r="E13" s="241">
        <v>0.75</v>
      </c>
      <c r="F13" s="241">
        <v>0.5</v>
      </c>
      <c r="G13" s="243">
        <v>0.5</v>
      </c>
      <c r="H13" s="475">
        <v>2.5</v>
      </c>
      <c r="I13" s="477">
        <v>0.25</v>
      </c>
    </row>
    <row r="14" ht="12.75" customHeight="1">
      <c r="B14" s="230" t="s">
        <v>1002</v>
      </c>
      <c r="C14" s="241">
        <v>0.5</v>
      </c>
      <c r="D14" s="241">
        <v>0.25</v>
      </c>
      <c r="E14" s="236"/>
      <c r="F14" s="241">
        <v>0.25</v>
      </c>
      <c r="G14" s="243">
        <v>0.25</v>
      </c>
      <c r="H14" s="475">
        <v>1.25</v>
      </c>
      <c r="I14" s="477">
        <v>0.13</v>
      </c>
    </row>
    <row r="15" ht="24.75" customHeight="1">
      <c r="B15" s="230" t="s">
        <v>999</v>
      </c>
      <c r="C15" s="241">
        <v>0.75</v>
      </c>
      <c r="D15" s="241">
        <v>0.5</v>
      </c>
      <c r="E15" s="241">
        <v>0.75</v>
      </c>
      <c r="F15" s="236"/>
      <c r="G15" s="243">
        <v>0.5</v>
      </c>
      <c r="H15" s="475">
        <v>2.5</v>
      </c>
      <c r="I15" s="476">
        <v>0.25</v>
      </c>
      <c r="J15" s="234"/>
    </row>
    <row r="16" ht="21.75" customHeight="1">
      <c r="B16" s="230" t="s">
        <v>1000</v>
      </c>
      <c r="C16" s="241">
        <v>0.75</v>
      </c>
      <c r="D16" s="241">
        <v>0.5</v>
      </c>
      <c r="E16" s="241">
        <v>0.75</v>
      </c>
      <c r="F16" s="241">
        <v>0.5</v>
      </c>
      <c r="G16" s="259"/>
      <c r="H16" s="478">
        <v>2.5</v>
      </c>
      <c r="I16" s="479">
        <v>0.25</v>
      </c>
      <c r="J16" s="234"/>
    </row>
    <row r="17" ht="12.75" customHeight="1">
      <c r="G17" s="267" t="s">
        <v>697</v>
      </c>
      <c r="H17" s="268">
        <f>SUM(H12:H16)</f>
        <v>10</v>
      </c>
      <c r="I17" s="269"/>
    </row>
    <row r="18" ht="12.75" customHeight="1">
      <c r="G18" s="270"/>
      <c r="H18" s="270"/>
    </row>
    <row r="19" ht="12.75" customHeight="1"/>
    <row r="20" ht="12.75" customHeight="1">
      <c r="B20" s="163"/>
      <c r="C20" s="480" t="s">
        <v>738</v>
      </c>
      <c r="D20" s="481" t="s">
        <v>997</v>
      </c>
      <c r="E20" s="482" t="s">
        <v>998</v>
      </c>
      <c r="F20" s="483" t="s">
        <v>999</v>
      </c>
      <c r="G20" s="484" t="s">
        <v>1000</v>
      </c>
    </row>
    <row r="21" ht="12.75" customHeight="1">
      <c r="B21" s="485">
        <v>5.0</v>
      </c>
      <c r="C21" s="486" t="s">
        <v>1004</v>
      </c>
      <c r="D21" s="487" t="s">
        <v>1005</v>
      </c>
      <c r="E21" s="488" t="s">
        <v>1006</v>
      </c>
      <c r="F21" s="489" t="s">
        <v>1007</v>
      </c>
      <c r="G21" s="241" t="s">
        <v>833</v>
      </c>
      <c r="I21" s="74"/>
    </row>
    <row r="22" ht="12.75" customHeight="1">
      <c r="B22" s="485">
        <v>4.0</v>
      </c>
      <c r="C22" s="490" t="s">
        <v>1008</v>
      </c>
      <c r="D22" s="491" t="s">
        <v>1009</v>
      </c>
      <c r="E22" s="488" t="s">
        <v>1010</v>
      </c>
      <c r="F22" s="488" t="s">
        <v>1011</v>
      </c>
      <c r="G22" s="241" t="s">
        <v>819</v>
      </c>
      <c r="I22" s="74"/>
    </row>
    <row r="23" ht="12.75" customHeight="1">
      <c r="B23" s="485">
        <v>3.0</v>
      </c>
      <c r="C23" s="490" t="s">
        <v>1012</v>
      </c>
      <c r="D23" s="491" t="s">
        <v>1013</v>
      </c>
      <c r="E23" s="488" t="s">
        <v>1014</v>
      </c>
      <c r="F23" s="488" t="s">
        <v>1015</v>
      </c>
      <c r="G23" s="241" t="s">
        <v>1016</v>
      </c>
    </row>
    <row r="24" ht="12.75" customHeight="1">
      <c r="B24" s="485">
        <v>2.0</v>
      </c>
      <c r="C24" s="491" t="s">
        <v>1017</v>
      </c>
      <c r="D24" s="491" t="s">
        <v>1018</v>
      </c>
      <c r="E24" s="488" t="s">
        <v>1019</v>
      </c>
      <c r="F24" s="488" t="s">
        <v>1020</v>
      </c>
      <c r="G24" s="241" t="s">
        <v>812</v>
      </c>
      <c r="I24" s="74"/>
    </row>
    <row r="25" ht="12.75" customHeight="1">
      <c r="B25" s="492">
        <v>1.0</v>
      </c>
      <c r="C25" s="490" t="s">
        <v>1021</v>
      </c>
      <c r="D25" s="491" t="s">
        <v>1022</v>
      </c>
      <c r="E25" s="489" t="s">
        <v>1023</v>
      </c>
      <c r="F25" s="488" t="s">
        <v>1024</v>
      </c>
      <c r="G25" s="241" t="s">
        <v>805</v>
      </c>
      <c r="I25" s="74"/>
    </row>
    <row r="26" ht="12.75" customHeight="1">
      <c r="B26" s="270"/>
    </row>
    <row r="27" ht="12.75" customHeight="1"/>
    <row r="28" ht="12.75" customHeight="1">
      <c r="A28" s="298"/>
      <c r="B28" s="299" t="s">
        <v>777</v>
      </c>
      <c r="C28" s="300"/>
      <c r="D28" s="495" t="s">
        <v>1025</v>
      </c>
      <c r="E28" s="496"/>
      <c r="F28" s="496"/>
      <c r="G28" s="496"/>
      <c r="H28" s="496"/>
      <c r="I28" s="498"/>
    </row>
    <row r="29" ht="45.0" customHeight="1">
      <c r="A29" s="298"/>
      <c r="B29" s="309"/>
      <c r="D29" s="499" t="s">
        <v>1026</v>
      </c>
      <c r="E29" s="500"/>
      <c r="F29" s="502" t="s">
        <v>1027</v>
      </c>
      <c r="G29" s="504"/>
      <c r="H29" s="505" t="s">
        <v>1028</v>
      </c>
      <c r="I29" s="314"/>
      <c r="J29" s="316"/>
    </row>
    <row r="30" ht="12.75" customHeight="1">
      <c r="A30" s="298"/>
      <c r="B30" s="506" t="s">
        <v>606</v>
      </c>
      <c r="C30" s="507" t="s">
        <v>622</v>
      </c>
      <c r="D30" s="508" t="s">
        <v>782</v>
      </c>
      <c r="E30" s="509" t="s">
        <v>783</v>
      </c>
      <c r="F30" s="510" t="s">
        <v>782</v>
      </c>
      <c r="G30" s="507" t="s">
        <v>783</v>
      </c>
      <c r="H30" s="511" t="s">
        <v>782</v>
      </c>
      <c r="I30" s="507" t="s">
        <v>783</v>
      </c>
      <c r="J30" s="316"/>
    </row>
    <row r="31" ht="12.75" customHeight="1">
      <c r="A31" s="298"/>
      <c r="B31" s="512" t="s">
        <v>738</v>
      </c>
      <c r="C31" s="513">
        <v>0.13</v>
      </c>
      <c r="D31" s="514">
        <v>4.0</v>
      </c>
      <c r="E31" s="515">
        <v>0.52</v>
      </c>
      <c r="F31" s="516">
        <v>4.0</v>
      </c>
      <c r="G31" s="517">
        <v>0.52</v>
      </c>
      <c r="H31" s="518">
        <v>2.0</v>
      </c>
      <c r="I31" s="519">
        <v>0.26</v>
      </c>
    </row>
    <row r="32" ht="12.75" customHeight="1">
      <c r="A32" s="298"/>
      <c r="B32" s="512" t="s">
        <v>997</v>
      </c>
      <c r="C32" s="513">
        <v>0.25</v>
      </c>
      <c r="D32" s="514">
        <v>5.0</v>
      </c>
      <c r="E32" s="515">
        <v>1.25</v>
      </c>
      <c r="F32" s="521">
        <v>3.0</v>
      </c>
      <c r="G32" s="517">
        <v>0.75</v>
      </c>
      <c r="H32" s="522">
        <v>4.0</v>
      </c>
      <c r="I32" s="524">
        <v>1.0</v>
      </c>
    </row>
    <row r="33" ht="12.75" customHeight="1">
      <c r="A33" s="298"/>
      <c r="B33" s="512" t="s">
        <v>1002</v>
      </c>
      <c r="C33" s="526">
        <v>0.13</v>
      </c>
      <c r="D33" s="514">
        <v>4.0</v>
      </c>
      <c r="E33" s="515">
        <v>0.52</v>
      </c>
      <c r="F33" s="521">
        <v>3.0</v>
      </c>
      <c r="G33" s="517">
        <v>0.39</v>
      </c>
      <c r="H33" s="522">
        <v>2.0</v>
      </c>
      <c r="I33" s="524">
        <v>0.26</v>
      </c>
    </row>
    <row r="34" ht="25.5" customHeight="1">
      <c r="A34" s="298"/>
      <c r="B34" s="512" t="s">
        <v>999</v>
      </c>
      <c r="C34" s="526">
        <v>0.25</v>
      </c>
      <c r="D34" s="514">
        <v>5.0</v>
      </c>
      <c r="E34" s="515">
        <v>1.25</v>
      </c>
      <c r="F34" s="521">
        <v>3.0</v>
      </c>
      <c r="G34" s="517">
        <v>0.75</v>
      </c>
      <c r="H34" s="528">
        <v>3.0</v>
      </c>
      <c r="I34" s="524">
        <v>0.75</v>
      </c>
    </row>
    <row r="35" ht="12.75" customHeight="1">
      <c r="A35" s="298"/>
      <c r="B35" s="529" t="s">
        <v>1000</v>
      </c>
      <c r="C35" s="530">
        <v>0.25</v>
      </c>
      <c r="D35" s="531">
        <v>5.0</v>
      </c>
      <c r="E35" s="532">
        <v>1.25</v>
      </c>
      <c r="F35" s="533">
        <v>3.0</v>
      </c>
      <c r="G35" s="534">
        <v>0.75</v>
      </c>
      <c r="H35" s="535">
        <v>2.0</v>
      </c>
      <c r="I35" s="536">
        <v>0.5</v>
      </c>
    </row>
    <row r="36" ht="12.75" customHeight="1">
      <c r="A36" s="298"/>
      <c r="B36" s="347" t="s">
        <v>798</v>
      </c>
      <c r="C36" s="314"/>
      <c r="D36" s="537">
        <f>SUM(E31:E35)</f>
        <v>4.79</v>
      </c>
      <c r="E36" s="538"/>
      <c r="F36" s="539">
        <f>SUM(G31:G35)</f>
        <v>3.16</v>
      </c>
      <c r="G36" s="540"/>
      <c r="H36" s="539">
        <f>SUM(I31:I35)</f>
        <v>2.77</v>
      </c>
      <c r="I36" s="540"/>
    </row>
    <row r="37" ht="12.75" customHeight="1">
      <c r="D37" s="541"/>
      <c r="E37" s="541"/>
      <c r="F37" s="542"/>
      <c r="G37" s="542"/>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67" t="s">
        <v>595</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71" t="s">
        <v>606</v>
      </c>
      <c r="C11" s="230" t="s">
        <v>738</v>
      </c>
      <c r="D11" s="230" t="s">
        <v>997</v>
      </c>
      <c r="E11" s="230" t="s">
        <v>1001</v>
      </c>
      <c r="F11" s="230" t="s">
        <v>1003</v>
      </c>
      <c r="G11" s="472" t="s">
        <v>1000</v>
      </c>
      <c r="H11" s="473" t="s">
        <v>622</v>
      </c>
      <c r="I11" s="474" t="s">
        <v>623</v>
      </c>
      <c r="J11" s="234"/>
    </row>
    <row r="12" ht="12.75" customHeight="1">
      <c r="B12" s="230" t="s">
        <v>738</v>
      </c>
      <c r="C12" s="236"/>
      <c r="D12" s="241">
        <v>0.25</v>
      </c>
      <c r="E12" s="241">
        <v>0.25</v>
      </c>
      <c r="F12" s="241">
        <v>0.5</v>
      </c>
      <c r="G12" s="243">
        <v>0.25</v>
      </c>
      <c r="H12" s="475">
        <v>1.25</v>
      </c>
      <c r="I12" s="476">
        <v>0.13</v>
      </c>
      <c r="J12" s="234"/>
    </row>
    <row r="13" ht="12.75" customHeight="1">
      <c r="B13" s="230" t="s">
        <v>997</v>
      </c>
      <c r="C13" s="241">
        <v>0.75</v>
      </c>
      <c r="D13" s="236"/>
      <c r="E13" s="241">
        <v>0.5</v>
      </c>
      <c r="F13" s="241">
        <v>0.75</v>
      </c>
      <c r="G13" s="243">
        <v>0.5</v>
      </c>
      <c r="H13" s="475">
        <v>2.5</v>
      </c>
      <c r="I13" s="477">
        <v>0.25</v>
      </c>
    </row>
    <row r="14" ht="12.75" customHeight="1">
      <c r="B14" s="230" t="s">
        <v>1001</v>
      </c>
      <c r="C14" s="241">
        <v>0.75</v>
      </c>
      <c r="D14" s="241">
        <v>0.5</v>
      </c>
      <c r="E14" s="236"/>
      <c r="F14" s="241">
        <v>0.75</v>
      </c>
      <c r="G14" s="243">
        <v>0.5</v>
      </c>
      <c r="H14" s="475">
        <v>2.5</v>
      </c>
      <c r="I14" s="477">
        <v>0.25</v>
      </c>
    </row>
    <row r="15" ht="24.75" customHeight="1">
      <c r="B15" s="230" t="s">
        <v>1003</v>
      </c>
      <c r="C15" s="241">
        <v>0.5</v>
      </c>
      <c r="D15" s="241">
        <v>0.25</v>
      </c>
      <c r="E15" s="241">
        <v>0.25</v>
      </c>
      <c r="F15" s="236"/>
      <c r="G15" s="243">
        <v>0.25</v>
      </c>
      <c r="H15" s="475">
        <v>1.25</v>
      </c>
      <c r="I15" s="476">
        <v>0.13</v>
      </c>
      <c r="J15" s="234"/>
    </row>
    <row r="16" ht="21.75" customHeight="1">
      <c r="B16" s="230" t="s">
        <v>1000</v>
      </c>
      <c r="C16" s="241">
        <v>0.75</v>
      </c>
      <c r="D16" s="241">
        <v>0.5</v>
      </c>
      <c r="E16" s="241">
        <v>0.5</v>
      </c>
      <c r="F16" s="241">
        <v>0.75</v>
      </c>
      <c r="G16" s="259"/>
      <c r="H16" s="478">
        <v>2.5</v>
      </c>
      <c r="I16" s="479">
        <v>0.25</v>
      </c>
      <c r="J16" s="234"/>
    </row>
    <row r="17" ht="12.75" customHeight="1">
      <c r="G17" s="267" t="s">
        <v>697</v>
      </c>
      <c r="H17" s="268">
        <f>SUM(H12:H16)</f>
        <v>10</v>
      </c>
      <c r="I17" s="269"/>
    </row>
    <row r="18" ht="12.75" customHeight="1">
      <c r="G18" s="270"/>
      <c r="H18" s="270"/>
    </row>
    <row r="19" ht="12.75" customHeight="1"/>
    <row r="20" ht="12.75" customHeight="1">
      <c r="B20" s="163" t="s">
        <v>1</v>
      </c>
      <c r="C20" s="493" t="s">
        <v>738</v>
      </c>
      <c r="D20" s="494" t="s">
        <v>997</v>
      </c>
      <c r="E20" s="497" t="s">
        <v>1001</v>
      </c>
      <c r="F20" s="501" t="s">
        <v>1003</v>
      </c>
      <c r="G20" s="503" t="s">
        <v>1000</v>
      </c>
    </row>
    <row r="21" ht="12.75" customHeight="1">
      <c r="B21" s="485">
        <v>5.0</v>
      </c>
      <c r="C21" s="486" t="s">
        <v>1029</v>
      </c>
      <c r="D21" s="487" t="s">
        <v>1005</v>
      </c>
      <c r="E21" s="488" t="s">
        <v>1030</v>
      </c>
      <c r="F21" s="489" t="s">
        <v>1031</v>
      </c>
      <c r="G21" s="241" t="s">
        <v>1032</v>
      </c>
      <c r="I21" s="74"/>
    </row>
    <row r="22" ht="12.75" customHeight="1">
      <c r="B22" s="485">
        <v>4.0</v>
      </c>
      <c r="C22" s="490" t="s">
        <v>1033</v>
      </c>
      <c r="D22" s="491" t="s">
        <v>1009</v>
      </c>
      <c r="E22" s="488" t="s">
        <v>1034</v>
      </c>
      <c r="F22" s="488" t="s">
        <v>1035</v>
      </c>
      <c r="G22" s="241" t="s">
        <v>1036</v>
      </c>
      <c r="I22" s="74"/>
    </row>
    <row r="23" ht="12.75" customHeight="1">
      <c r="B23" s="485">
        <v>3.0</v>
      </c>
      <c r="C23" s="490" t="s">
        <v>1037</v>
      </c>
      <c r="D23" s="491" t="s">
        <v>1038</v>
      </c>
      <c r="E23" s="488" t="s">
        <v>1039</v>
      </c>
      <c r="F23" s="488" t="s">
        <v>1040</v>
      </c>
      <c r="G23" s="241" t="s">
        <v>1041</v>
      </c>
    </row>
    <row r="24" ht="12.75" customHeight="1">
      <c r="B24" s="485">
        <v>2.0</v>
      </c>
      <c r="C24" s="491" t="s">
        <v>1042</v>
      </c>
      <c r="D24" s="491" t="s">
        <v>1043</v>
      </c>
      <c r="E24" s="488" t="s">
        <v>1044</v>
      </c>
      <c r="F24" s="488" t="s">
        <v>1045</v>
      </c>
      <c r="G24" s="241" t="s">
        <v>1046</v>
      </c>
      <c r="I24" s="74"/>
    </row>
    <row r="25" ht="12.75" customHeight="1">
      <c r="B25" s="492">
        <v>1.0</v>
      </c>
      <c r="C25" s="490" t="s">
        <v>1047</v>
      </c>
      <c r="D25" s="491" t="s">
        <v>1048</v>
      </c>
      <c r="E25" s="489" t="s">
        <v>1049</v>
      </c>
      <c r="F25" s="488" t="s">
        <v>1050</v>
      </c>
      <c r="G25" s="241" t="s">
        <v>805</v>
      </c>
      <c r="I25" s="74"/>
    </row>
    <row r="26" ht="12.75" customHeight="1">
      <c r="B26" s="270"/>
    </row>
    <row r="27" ht="12.75" customHeight="1"/>
    <row r="28" ht="12.75" customHeight="1">
      <c r="A28" s="298"/>
      <c r="B28" s="299" t="s">
        <v>777</v>
      </c>
      <c r="C28" s="300"/>
      <c r="D28" s="520" t="s">
        <v>1051</v>
      </c>
      <c r="E28" s="496"/>
      <c r="F28" s="496"/>
      <c r="G28" s="496"/>
      <c r="H28" s="496"/>
      <c r="I28" s="498"/>
    </row>
    <row r="29" ht="45.0" customHeight="1">
      <c r="A29" s="298"/>
      <c r="B29" s="309"/>
      <c r="D29" s="523" t="s">
        <v>1052</v>
      </c>
      <c r="E29" s="500"/>
      <c r="F29" s="525" t="s">
        <v>1053</v>
      </c>
      <c r="G29" s="504"/>
      <c r="H29" s="527" t="s">
        <v>1054</v>
      </c>
      <c r="I29" s="314"/>
      <c r="J29" s="316"/>
    </row>
    <row r="30" ht="12.75" customHeight="1">
      <c r="A30" s="298"/>
      <c r="B30" s="506" t="s">
        <v>606</v>
      </c>
      <c r="C30" s="507" t="s">
        <v>622</v>
      </c>
      <c r="D30" s="508" t="s">
        <v>782</v>
      </c>
      <c r="E30" s="509" t="s">
        <v>783</v>
      </c>
      <c r="F30" s="510" t="s">
        <v>782</v>
      </c>
      <c r="G30" s="507" t="s">
        <v>783</v>
      </c>
      <c r="H30" s="511" t="s">
        <v>782</v>
      </c>
      <c r="I30" s="507" t="s">
        <v>783</v>
      </c>
      <c r="J30" s="316"/>
    </row>
    <row r="31" ht="12.75" customHeight="1">
      <c r="A31" s="298"/>
      <c r="B31" s="512" t="s">
        <v>738</v>
      </c>
      <c r="C31" s="513">
        <v>0.13</v>
      </c>
      <c r="D31" s="514">
        <v>5.0</v>
      </c>
      <c r="E31" s="515">
        <v>0.65</v>
      </c>
      <c r="F31" s="516">
        <v>4.0</v>
      </c>
      <c r="G31" s="517">
        <v>0.52</v>
      </c>
      <c r="H31" s="518">
        <v>2.0</v>
      </c>
      <c r="I31" s="519">
        <v>0.26</v>
      </c>
    </row>
    <row r="32" ht="12.75" customHeight="1">
      <c r="A32" s="298"/>
      <c r="B32" s="512" t="s">
        <v>997</v>
      </c>
      <c r="C32" s="513">
        <v>0.25</v>
      </c>
      <c r="D32" s="514">
        <v>4.0</v>
      </c>
      <c r="E32" s="515">
        <v>1.0</v>
      </c>
      <c r="F32" s="521">
        <v>3.0</v>
      </c>
      <c r="G32" s="517">
        <v>0.75</v>
      </c>
      <c r="H32" s="522">
        <v>2.0</v>
      </c>
      <c r="I32" s="524">
        <v>0.5</v>
      </c>
    </row>
    <row r="33" ht="12.75" customHeight="1">
      <c r="A33" s="298"/>
      <c r="B33" s="512" t="s">
        <v>1001</v>
      </c>
      <c r="C33" s="526">
        <v>0.25</v>
      </c>
      <c r="D33" s="514">
        <v>4.0</v>
      </c>
      <c r="E33" s="515">
        <v>1.0</v>
      </c>
      <c r="F33" s="521">
        <v>5.0</v>
      </c>
      <c r="G33" s="517">
        <v>1.25</v>
      </c>
      <c r="H33" s="522">
        <v>5.0</v>
      </c>
      <c r="I33" s="524">
        <v>1.25</v>
      </c>
    </row>
    <row r="34" ht="25.5" customHeight="1">
      <c r="A34" s="298"/>
      <c r="B34" s="512" t="s">
        <v>1003</v>
      </c>
      <c r="C34" s="526">
        <v>0.13</v>
      </c>
      <c r="D34" s="514">
        <v>5.0</v>
      </c>
      <c r="E34" s="515">
        <v>0.65</v>
      </c>
      <c r="F34" s="521">
        <v>4.0</v>
      </c>
      <c r="G34" s="517">
        <v>0.52</v>
      </c>
      <c r="H34" s="528">
        <v>1.0</v>
      </c>
      <c r="I34" s="524">
        <v>0.13</v>
      </c>
    </row>
    <row r="35" ht="12.75" customHeight="1">
      <c r="A35" s="298"/>
      <c r="B35" s="529" t="s">
        <v>1000</v>
      </c>
      <c r="C35" s="530">
        <v>0.25</v>
      </c>
      <c r="D35" s="531">
        <v>5.0</v>
      </c>
      <c r="E35" s="532">
        <v>1.25</v>
      </c>
      <c r="F35" s="533">
        <v>3.0</v>
      </c>
      <c r="G35" s="534">
        <v>0.75</v>
      </c>
      <c r="H35" s="535">
        <v>2.0</v>
      </c>
      <c r="I35" s="536">
        <v>0.5</v>
      </c>
    </row>
    <row r="36" ht="12.75" customHeight="1">
      <c r="A36" s="298"/>
      <c r="B36" s="347" t="s">
        <v>798</v>
      </c>
      <c r="C36" s="314"/>
      <c r="D36" s="537">
        <f>SUM(E31:E35)</f>
        <v>4.55</v>
      </c>
      <c r="E36" s="538"/>
      <c r="F36" s="539">
        <f>SUM(G31:G35)</f>
        <v>3.79</v>
      </c>
      <c r="G36" s="540"/>
      <c r="H36" s="539">
        <f>SUM(I31:I35)</f>
        <v>2.64</v>
      </c>
      <c r="I36" s="540"/>
    </row>
    <row r="37" ht="12.75" customHeight="1">
      <c r="D37" s="541"/>
      <c r="E37" s="541"/>
      <c r="F37" s="542"/>
      <c r="G37" s="542"/>
    </row>
    <row r="38" ht="17.25" customHeight="1"/>
    <row r="39" ht="12.75" customHeight="1">
      <c r="C39" s="543" t="s">
        <v>1055</v>
      </c>
    </row>
    <row r="40" ht="12.75" customHeight="1"/>
    <row r="41" ht="12.75" customHeight="1"/>
    <row r="42" ht="12.75" customHeight="1"/>
    <row r="43" ht="19.5" customHeight="1"/>
    <row r="44" ht="12.75" customHeight="1"/>
  </sheetData>
  <mergeCells count="11">
    <mergeCell ref="D36:E36"/>
    <mergeCell ref="F36:G36"/>
    <mergeCell ref="C39:H43"/>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
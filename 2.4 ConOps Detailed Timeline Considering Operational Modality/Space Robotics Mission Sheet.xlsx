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S. &amp; Objectives" sheetId="1" r:id="rId5"/>
    <sheet state="visible" name="Requirements" sheetId="2" r:id="rId6"/>
    <sheet state="visible" name="Payload" sheetId="3" r:id="rId7"/>
    <sheet state="hidden" name="ImplementationStatus" sheetId="4" r:id="rId8"/>
    <sheet state="visible" name="Outline Key Phases of the Missi" sheetId="5" r:id="rId9"/>
    <sheet state="visible" name="Concept of Operations Timeline" sheetId="6" r:id="rId10"/>
    <sheet state="visible" name="minute-by-minute breakdown" sheetId="7" r:id="rId11"/>
  </sheets>
  <definedNames/>
  <calcPr/>
</workbook>
</file>

<file path=xl/sharedStrings.xml><?xml version="1.0" encoding="utf-8"?>
<sst xmlns="http://schemas.openxmlformats.org/spreadsheetml/2006/main" count="629" uniqueCount="463">
  <si>
    <t xml:space="preserve"> </t>
  </si>
  <si>
    <t>Level</t>
  </si>
  <si>
    <t>OBJECTIVES &amp; REQUIREMENTS</t>
  </si>
  <si>
    <t>Objective or Requirement Statement</t>
  </si>
  <si>
    <t>Date Last Updated</t>
  </si>
  <si>
    <t>Source(s)</t>
  </si>
  <si>
    <t>System/ Subsystem(s) Affected?</t>
  </si>
  <si>
    <t>Status?</t>
  </si>
  <si>
    <t>CHANGE LOG</t>
  </si>
  <si>
    <t>Revisions to the Objective/ Requirement</t>
  </si>
  <si>
    <t>Reasons/ Justification</t>
  </si>
  <si>
    <t>ASSOCIATED RISKS</t>
  </si>
  <si>
    <t>Associated Risks with Requirement</t>
  </si>
  <si>
    <t>VERIFICATION &amp; VALIDATION (V&amp;V)</t>
  </si>
  <si>
    <t>Testing Method</t>
  </si>
  <si>
    <t>Verification Plan</t>
  </si>
  <si>
    <t>Validation Plan</t>
  </si>
  <si>
    <t>Any Pre-Actions Needed?</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</si>
  <si>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</si>
  <si>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System, Subsystem, or Component Level?</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</si>
  <si>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</si>
  <si>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Date of when the requirement statement was last revised.</t>
  </si>
  <si>
    <t>Where did this requirement come from? Is this based on literature, stakeholder, testing standards, etc? Include links if possible.</t>
  </si>
  <si>
    <t>Does this matter on a system level? If not, which subsystems does this directly affect? Consider the interfaces as well. Which subsystems are responsible?</t>
  </si>
  <si>
    <t>Accomplished or unaccomplished?</t>
  </si>
  <si>
    <t>List by chronological order, with most recent revisions FIRST. Include... (year.month.date) Revision 1 comment, (year.month.date) Revision 2 comment</t>
  </si>
  <si>
    <t>Why was the revision made?</t>
  </si>
  <si>
    <t>List the associated risk numbers.</t>
  </si>
  <si>
    <t>Verification - Does it meet the specification need? Are we building our product right?</t>
  </si>
  <si>
    <t>Validation - Does it meet the customer need? Did we build the right product?</t>
  </si>
  <si>
    <t>MISSION STATEMENT</t>
  </si>
  <si>
    <t>The multi-agent Europa surface system shall autonomously characterize the ice shell and identify a cryobot insertion site, operating without real-time Earth support.</t>
  </si>
  <si>
    <t>-</t>
  </si>
  <si>
    <t>OBJ.01</t>
  </si>
  <si>
    <t>System Level</t>
  </si>
  <si>
    <t>The system shall demonstrate autonomous multi-agent coordination and consensus-based decision making without Earth communication links</t>
  </si>
  <si>
    <t>This objective addresses the multi-agent coordination shortfall ranked 139th in NASA's Civil Space Technology Shortfall Rankings, which identifies cooperative task planning as a near-term priority (STMD]</t>
  </si>
  <si>
    <t>OBJ.02</t>
  </si>
  <si>
    <t>Subsystem Mobility</t>
  </si>
  <si>
    <t>The rover shall traverse Europa's surface terrain and maintain localization using onboard sensors and inter-agent ranging</t>
  </si>
  <si>
    <t>This objective addresses NASA's identified gap in autonomous navigation without Earth-based support, as stated in the FY 2026-2027 SBIR solicitation Topic COMNAV.1.S26B [SBIR]</t>
  </si>
  <si>
    <t>OBJ.03</t>
  </si>
  <si>
    <t>Subsystem Science/Payload</t>
  </si>
  <si>
    <t>The system shall characterize ice shell thickness using a ground penetrating radar sounder and identify candidate insertion sites</t>
  </si>
  <si>
    <t>This objective supports the science goals outlined in the Decadal Survey, which identifies Europa's subsurface ocean as a primary target for astrobiology and calls for characterization of the ice shell to assess habitability. [OWL]</t>
  </si>
  <si>
    <t>OBJ.04</t>
  </si>
  <si>
    <t>Subsystem COMMs</t>
  </si>
  <si>
    <t>The inter-agent mesh network shall maintain coordination under degraded connectivity and radiation induced faults</t>
  </si>
  <si>
    <t>This objective addresses NASA's identified gap in autonomous distributed spacecraft operations without Earth-based navigational support, per SBIR Topic COMNAV.1.S26B. [SBIR]</t>
  </si>
  <si>
    <t>Reasoning</t>
  </si>
  <si>
    <t xml:space="preserve">Notes For Final Presentation. </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</si>
  <si>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</si>
  <si>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</si>
  <si>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What work did you do for this requirement this semester</t>
  </si>
  <si>
    <t>REQ.01.01</t>
  </si>
  <si>
    <t>System [Mission level]</t>
  </si>
  <si>
    <t>The multi-agent Europa system shall operate fully autonomously for the entire surface mission duration without requiring real-time command uplinks from Earth.</t>
  </si>
  <si>
    <t>The 44-minute one-way light delay between Earth and Jupiter makes real-time demanding physically impossible, all decisions must be onboard. Traceable to OBJ.01</t>
  </si>
  <si>
    <t>NASA FY 2026-2027 SBIR Solicitation, Topic COMNAV.1.S26B, 2025</t>
  </si>
  <si>
    <t>System</t>
  </si>
  <si>
    <t>Unaccomplished</t>
  </si>
  <si>
    <t>Risk-01: Single-point autonomy failure with no fallback human override</t>
  </si>
  <si>
    <t>Hardware-in-the-loop simulation. Run a 72-hour autonomous mission sequence with a simulated 44-min communication blackout, and verify zero unresolved command dependencies on Earth.</t>
  </si>
  <si>
    <t>Verify the software autonomously executes all planned traverses, consensus rounds, and science data collected without any Earth uplink during the blackout window.</t>
  </si>
  <si>
    <t>Demonstrate that the mission objectives are achieved across three independent HILL runs without Earth support</t>
  </si>
  <si>
    <t>REQ.01.02</t>
  </si>
  <si>
    <t>The system shall survive and maintain operational status after exposure to total ionizing dose of no less than 100 krad over the nominal mission lifetime.</t>
  </si>
  <si>
    <t>Jupiter's magnetosphere delivers radiation doses far exceeding near-Earth missions. Europas Clipper';s radiation vault architecture targets ~100 krad as the design threshold. Radiation environment directly drives the shielded vault requirement. Traceable to OBJ.01</t>
  </si>
  <si>
    <r>
      <t xml:space="preserve">National Academies, Origins Worlds and Life Decadal Survey 2023–2032, </t>
    </r>
    <r>
      <rPr>
        <color rgb="FF1155CC"/>
        <u/>
      </rPr>
      <t>https://www.nationalacademies.org/read/26522</t>
    </r>
    <r>
      <rPr/>
      <t>; Galileo spacecraft radiation vault design heritage</t>
    </r>
  </si>
  <si>
    <t>System; Electronics; Power</t>
  </si>
  <si>
    <t>RISK-02: Accumulated single event upsets degrade consensus algorithm convergence before mission completion.</t>
  </si>
  <si>
    <t>Co-60 gamma irradiation of all radiation-sensitive components to 110 krad (10% margin). Monitor functional performance throughout exposure.</t>
  </si>
  <si>
    <t>Verify all components pass functional tests at end of life dose with no loss of required functionality</t>
  </si>
  <si>
    <t>Validate the integrated rover and relay nodes complete simulated mission operations after TID exposure.</t>
  </si>
  <si>
    <t>REQ.01.03</t>
  </si>
  <si>
    <t>The system shall maintain a minimum inter-agent network connectivity of two active relay nodes at all times during surface operations to ensure consensus is achievable.</t>
  </si>
  <si>
    <t>Consensus algorithms require a minimum connected graph to guarantee convergence. Two active relays plus a surface rover guarantee a 3-node connected topology as the minimum viable configuration. Traceable to OBJ.01 and OBJ.04.</t>
  </si>
  <si>
    <r>
      <t xml:space="preserve">NASA STMD Civil Space Technology Shortfall Rankings, Jul. 2024, </t>
    </r>
    <r>
      <rPr>
        <color rgb="FF1155CC"/>
        <u/>
      </rPr>
      <t>https://www.nasa.gov/wp-content/uploads/2024/07/civil-space-shortfall-ranking-july-2024.pdf</t>
    </r>
  </si>
  <si>
    <t>System; COMMs</t>
  </si>
  <si>
    <t>RISK-03: Simultaneous radiation-induced failure of multiple relay nodes isolating the surface rover.</t>
  </si>
  <si>
    <t>Network fault simulation: simulate progressive relay node failures and verify consensus detects degenerated topology and triggers reconfiguration before dropping below 2 active nodes.</t>
  </si>
  <si>
    <t>Verify that fault detection and reconfiguration logic activates within one consensus cycle period upon detection of a node loss event.</t>
  </si>
  <si>
    <t>Validate that the surface rover completes a traverse plan using map data from a degraded 2-relay configuration.</t>
  </si>
  <si>
    <t>REQ.02.01</t>
  </si>
  <si>
    <t>Subsystems [Operations Level] Mobility</t>
  </si>
  <si>
    <t>The surface robot shall maintain a localization accuracy of no worse than +-0.5 m relative to its last known position during any traverse segments up to 50 m in the absence of GPS.</t>
  </si>
  <si>
    <t>Cryobot insertion site selection requires meter-level positioning to match the radar identified thin ice candidate. +-0.5 over 59 m segments in consistent with visual odometry performance on Mars rovers. Traceable to OBJ.02</t>
  </si>
  <si>
    <t>NASA FY 2026-2027 SBIR Solicitation, Topic COMNAV.1.S26B; Mars Curiosity rover visual odometry heritage</t>
  </si>
  <si>
    <t>Mobility; GNC</t>
  </si>
  <si>
    <t>RISK-04: Ice surface texture homogeneity reducing visual odometry feature tracking quality.</t>
  </si>
  <si>
    <t>Field test on  analog terrain: command 50m traverse segments and compare onboard state estimate to ground truth GPSD position across 20 runs under varying terrain conditions.</t>
  </si>
  <si>
    <t>verify that position error remains within +-0.5 m across a minimum of 20 traverse segments.</t>
  </si>
  <si>
    <t>Validate that the rover navigates to and stops within +-0.5 m of a designated waypoint representing a candidate insertion site.</t>
  </si>
  <si>
    <t>REQ.03.01</t>
  </si>
  <si>
    <t>Subsystems [Operations Level] Science / Payload</t>
  </si>
  <si>
    <t>The ground-penetrating radar sounder shall resolve ice shell thickness to within +-10% accuracy for ice layers between 1 km and 30 km depth, producing a subsurface map at the minimum spatial resolution of 100 m along the traverse track.</t>
  </si>
  <si>
    <t>Identifying optimal cryobot insertion site requires knowing where the ice shell is the thinnest. +- 10% thickness accuracy is enough to distinguish viable drilling candidates. The 100 m along track resolution is consistent with the Europa Clipper REASON instrument design parameters. Traceable to OBJ.03</t>
  </si>
  <si>
    <t>National Academies, Origins Worlds and Life Decadal Survey 2023–2032, https://www.nationalacademies.org/read/26522; Europa Clipper REASON instrument documentation</t>
  </si>
  <si>
    <t>Science/Payload, Power</t>
  </si>
  <si>
    <t>RISK-05: Ice shell heterogeneity or brine inclusions creating radar clutter that degrades thickness estimates.</t>
  </si>
  <si>
    <t>Laboratory radar range measurements against ice targets of known thickness using dielectric matches analogs, verify +- 10% accuracy across the 1-30 km depth range.</t>
  </si>
  <si>
    <t>Verify that the radar sounder produces subsurface profiles with +-10% depth accuracy against calibration targets before rover integration.</t>
  </si>
  <si>
    <t>Validate that the subsurface map produces during a field traverse correctly identifies presurveyed thin ice candidate sites within the required spatial resolution.</t>
  </si>
  <si>
    <t>REQ.04.01</t>
  </si>
  <si>
    <t>Subsystems [Operations Level] COMMS</t>
  </si>
  <si>
    <t>The inter-agent mesh network shall achieve consensus on a shared consensus on a shared terrain map update within no more than 10 minutes under a degraded network condition defined as packet loss rates of up to 30% on any single inter-agent link</t>
  </si>
  <si>
    <t>Rover traverse planning depends on a current consensus validated terrain map. A 10 minute convergence bound limits traverse planning delay to an acceptable operations cadence. 30% packet loss represents a plausible radiation induced degradation scenario for the environment. Traceable to OBJ.04.</t>
  </si>
  <si>
    <t>NASA STMD Civil Space Technology Shortfall Rankings, Jul. 2024; NASA FY 2026-2027 SBIR Solicitation, Topic COMNAV.1.S26B</t>
  </si>
  <si>
    <t>COMMs, CDH</t>
  </si>
  <si>
    <t xml:space="preserve">RISK-06: Radiation induced burst errors exceeding 30% packet loss on multiple links simultaneously, stalling consensus. </t>
  </si>
  <si>
    <t>Software-in-the-loop consensus simulation: Introduce 30% packet loss on each inter-agent link and measure convergence time across 100 test runs.</t>
  </si>
  <si>
    <t>Verify the consensus convergence time remains &lt;10 minutes across all 100 test runs with 30% packet loss.</t>
  </si>
  <si>
    <t>Validate that the rover initiates a traverse using a map update produced by the consensus protocol under the degraded link test condition.</t>
  </si>
  <si>
    <t>REQ.03.02</t>
  </si>
  <si>
    <t>Subsystems [Operation Level} Science / payload</t>
  </si>
  <si>
    <t>The radar sounder antenna shall be mounted such that the antenna boresight remains within +-5 of nadir during all active sounding operations; the rover shall halt traversal if the measured surface slope exceeds 20 to maintain pointing compliance.</t>
  </si>
  <si>
    <t>A nadir pointing antenna is required to minimize geometric error in the two-way travel time measurement. . Off nadir tilt reduces basal reflection return strength and introduces range error that degrades</t>
  </si>
  <si>
    <t xml:space="preserve"> National Academies, Origins Worlds and Life Decadal Survey 2023–2032; Europa Clipper REASON instrument documentation</t>
  </si>
  <si>
    <t>Science/Payload; Structures; Mobility</t>
  </si>
  <si>
    <t>RISK-05: Ice shell heterogeneity creating radar clutter that degrades thickness estimates; RISK-04: Ice surface texture reducing visual odometry quality (slope-stop logic dependency)</t>
  </si>
  <si>
    <t>Bench test antenna mounting fixture: tilt rover chassis to 5° increments and measure antenna boresight deviation using an inclinometer. Verify pointing error stays within ±5° across the full range of surface slopes up to 20°.</t>
  </si>
  <si>
    <t>Verify that antenna boresight deviation does not exceed ±5° of nadir across all chassis tilt angles up to 20° slope</t>
  </si>
  <si>
    <t>Validate that the rover correctly halts traversal and resumes sounding when slope threshold is exceeded during an analog terrain field test.</t>
  </si>
  <si>
    <t>REQ.03.03</t>
  </si>
  <si>
    <t>The rover power subsystem shall reserve a dedicated peak power allocation for radar sounder transmission pulses and shall command drive motor shutdown during each active sounding window to prevent power contention with the RTG continuous output.</t>
  </si>
  <si>
    <t>Radar sounders draw high peak pulse power during transmission. The RTG provides fixed continuous output; simultaneous drive and sounding would exceed available power margin and risk under-powering the radar pulse, degrading return signal amplitude below the noise floor. Stop-and-sound is consistent with high-power instrument operation heritage on Mars rovers. Traceable to OBJ.03.</t>
  </si>
  <si>
    <t>Europa Clipper REASON instrument documentation; NASA RTG power system heritage</t>
  </si>
  <si>
    <t>Science/Payload; Power; Mobility</t>
  </si>
  <si>
    <t>RISK-02: Accumulated single event upsets degrade system performance; RISK-05: Degraded radar return amplitude from insufficient transmission power</t>
  </si>
  <si>
    <t>Hardware-in-the-loop power budget simulation: command simultaneous drive and sounding operations and monitor RTG output margin across 50 test cycles. Verify drive shutdown command fires before each sounding pulse.</t>
  </si>
  <si>
    <t>Verify that drive motors are commanded off prior to every sounding transmission and that RTG output margin remains positive across all test cycles.</t>
  </si>
  <si>
    <t xml:space="preserve"> Validate that the rover completes a full simulated traverse sol with correct stop-and-sound behavior and no power fault events.</t>
  </si>
  <si>
    <t>REQ.03.04</t>
  </si>
  <si>
    <t xml:space="preserve"> Subsystems [Operations Level] Science / Payload</t>
  </si>
  <si>
    <t>The command and data handling subsystem shall provide onboard storage sufficient to retain a minimum of 7 sols of uncompressed radar trace data, and shall apply lossless compression to all Radar_Traces records prior to inter-agent relay transmission, achieving a minimum compression ratio of 2:1.</t>
  </si>
  <si>
    <t>At approximately 40 traces per sol across four data sheets, raw science data accumulates faster than the non-deterministic Earth relay can downlink. Seven sols of buffer covers the consensus convergence window and plausible communication gaps. Lossless compression preserves the measurement fidelity required by REQ.03.01 while reducing relay load. Traceable to OBJ.03 and OBJ.04.</t>
  </si>
  <si>
    <t>NASA STMD Civil Space Technology Shortfall Rankings, Jul. 2024; Europa Clipper REASON instrument documentation</t>
  </si>
  <si>
    <t>Science/Payload; COMMs; CDH</t>
  </si>
  <si>
    <t>RISK-06: Radiation induced burst errors exceeding 30% packet loss stalling consensus; RISK-05: Ice shell heterogeneity generating excess CLUTTER traces inflating data volume</t>
  </si>
  <si>
    <t>Software-in-the-loop storage simulation: generate 7 sols of synthetic radar trace data at full volume and verify onboard storage does not overflow. Apply compression algorithm and measure output ratio across 100 data sets.</t>
  </si>
  <si>
    <t>Verify that onboard storage accommodates 7 sols of uncompressed data and that compression ratio meets or exceeds 2:1 across all 100 test data sets.</t>
  </si>
  <si>
    <t>Validate that compressed science data downlinked through the inter-agent mesh under 30% packet loss conditions can be fully reconstructed without data loss on the receiving node.</t>
  </si>
  <si>
    <t>Timestamp_UTC</t>
  </si>
  <si>
    <t>Sol</t>
  </si>
  <si>
    <t>Pressure_mbar</t>
  </si>
  <si>
    <t>AirTemp_C</t>
  </si>
  <si>
    <t>GroundTemp_C</t>
  </si>
  <si>
    <t>Humidity_pct</t>
  </si>
  <si>
    <t>WindSpeed_mps</t>
  </si>
  <si>
    <t>WindDir_deg</t>
  </si>
  <si>
    <t>Dust_OpticalDepth</t>
  </si>
  <si>
    <t>Radiation_Wm2</t>
  </si>
  <si>
    <t>Data_Quality_Flag</t>
  </si>
  <si>
    <t>Requirement No.</t>
  </si>
  <si>
    <t>Source</t>
  </si>
  <si>
    <t>Requirement</t>
  </si>
  <si>
    <t>Implementation</t>
  </si>
  <si>
    <t>Validation Before TVC</t>
  </si>
  <si>
    <t>Status (MET/ WIP/ UNMET)</t>
  </si>
  <si>
    <t>Instructions (do not copy this column)</t>
  </si>
  <si>
    <t>Do not edit Columns A - C. To update them, use the "Requirements" sheet.</t>
  </si>
  <si>
    <t>In Column A, look for your subsystem's requirements.</t>
  </si>
  <si>
    <t>In Column D, state how you are implementing design / assembly / integration / testing plans to meet the requirement.</t>
  </si>
  <si>
    <t>In Column E, state the status - if the Requirement is Met, Unmet, or a Work in Progress (WIP) based on the Implementation description.</t>
  </si>
  <si>
    <t>Be sure to state in Column F if the Implementation/Status has been updated.</t>
  </si>
  <si>
    <t>Time (UTC or Mission Elapsed Time)</t>
  </si>
  <si>
    <t>Robot Function / Mode</t>
  </si>
  <si>
    <t>Primary Objective / Milestone</t>
  </si>
  <si>
    <t>Operation Mode (Teleop / Autonomous / Semi-Autonomous / Scripted)</t>
  </si>
  <si>
    <t>Inputs (e.g., command, signal, state)</t>
  </si>
  <si>
    <t>Expected Outputs (e.g., telemetry, sensor data)</t>
  </si>
  <si>
    <t>Data Products Generated</t>
  </si>
  <si>
    <t>Verification Method</t>
  </si>
  <si>
    <t>Associated Risk or Sensitivity (High/Med/Low)</t>
  </si>
  <si>
    <t>Dependencies / Predecessor Actions</t>
  </si>
  <si>
    <t>Estimated Duration</t>
  </si>
  <si>
    <t>Notes</t>
  </si>
  <si>
    <t>Launch day, 0-1 (Mission Elapsed Time)</t>
  </si>
  <si>
    <t>Launch And Commissioning</t>
  </si>
  <si>
    <t>Spacecraft Separation and initial health checks</t>
  </si>
  <si>
    <t>Scripted/Autonomous</t>
  </si>
  <si>
    <t>Launch vehicle separation signal, onboard startup sequences</t>
  </si>
  <si>
    <t>Spacecraft status telemetry, power system telemetry, communication link confirmation</t>
  </si>
  <si>
    <t>Initial spacecraft health report, subsystem status logs</t>
  </si>
  <si>
    <t>Verify successful separation communication establishment, and nominal subsystem health/</t>
  </si>
  <si>
    <t>High</t>
  </si>
  <si>
    <t>Successful vehicle loading and spacecraft deployment</t>
  </si>
  <si>
    <t>1 day</t>
  </si>
  <si>
    <t>Cruise Phase, Years 0-6</t>
  </si>
  <si>
    <t>Cruise And Approach</t>
  </si>
  <si>
    <t>Maintain spacecraft health and perform trajectory correction maneuvers</t>
  </si>
  <si>
    <t>Semi-Autonomous</t>
  </si>
  <si>
    <t>Ground-planned trajectory updates, star tracker measurements, navigation state estimates</t>
  </si>
  <si>
    <t>Navigation telemetry, spacecraft health telemetry, maneuver confirmation</t>
  </si>
  <si>
    <t>Trajectory correction logs, navigation solution history</t>
  </si>
  <si>
    <t>Verify trajectory remains within mission tolerance and all spacecraft systems remain operational</t>
  </si>
  <si>
    <t>Medium</t>
  </si>
  <si>
    <t>Completion of launch and commision phase</t>
  </si>
  <si>
    <t>~6 years</t>
  </si>
  <si>
    <t>Europa Orbital Insertion and Reconnaissance</t>
  </si>
  <si>
    <t>Europa Orbit Insertion And Orbital Reconnaissance</t>
  </si>
  <si>
    <t>Deploy orbital agents and identify suitable landing region</t>
  </si>
  <si>
    <t>Autonomous</t>
  </si>
  <si>
    <t>Orbital state estimates, terrain imaging data, radar survey measurements</t>
  </si>
  <si>
    <t>Surface maps, hazard maps, candidate landing sites</t>
  </si>
  <si>
    <t>Global terrain map, landing site assessment report</t>
  </si>
  <si>
    <t>Verify successful orbital insertion, orbiter deployment, and identification of viable landing zones.</t>
  </si>
  <si>
    <t>Successful arrival at Europa and orbital insertion burn</t>
  </si>
  <si>
    <t>30 Days</t>
  </si>
  <si>
    <t>Surface Operations Day 0-5</t>
  </si>
  <si>
    <t>Landing, Surface Checkout, And Site Characterization</t>
  </si>
  <si>
    <t>Deploy rover, verify system health, and calibrate science instruments.</t>
  </si>
  <si>
    <t>Landing state, rover deployment commands, sensor calibration routines</t>
  </si>
  <si>
    <t>Health telemetry, localization estimates, calibration measurements</t>
  </si>
  <si>
    <t>System checkout report, calibration datasets, local terrain map</t>
  </si>
  <si>
    <t>Verify successful rover deployment, communications, localization accuracy, and payload calibration</t>
  </si>
  <si>
    <t>Reconnaissance complete and landing site selected</t>
  </si>
  <si>
    <t>5 Days</t>
  </si>
  <si>
    <t>Surface Operations Day 5-35</t>
  </si>
  <si>
    <t>Surface Survey And Ice Characterization</t>
  </si>
  <si>
    <t>Map subsurface ice structure and identify candidate cryobot insertion sites</t>
  </si>
  <si>
    <t>Ground-penetrating radar returns, orbital terrain map, localization state estimations</t>
  </si>
  <si>
    <t>Ice thickness estimates, terrain classifications, rover position estimates</t>
  </si>
  <si>
    <t>Subsurface radar maps, ice thickness profiles, candidate cryobot site database, consensus terrain maps</t>
  </si>
  <si>
    <t>Verify radar measurements meet required accuracy and candidate sites satisfy mission selection criteria</t>
  </si>
  <si>
    <t>Successful rover deployment and payload calibration</t>
  </si>
  <si>
    <t>Surface Operations Day 35-50</t>
  </si>
  <si>
    <t>Data Transmission And End Of Mission</t>
  </si>
  <si>
    <t>Downlink mission data, select final cryobot site, and safely passivate system</t>
  </si>
  <si>
    <t>Stored science data, final site selection results, mission completion commands</t>
  </si>
  <si>
    <t>Mission archive transmission, final health telemetry, passivation confirmation</t>
  </si>
  <si>
    <t>Final mission report, validated cryobot insertion site package, complete science archive</t>
  </si>
  <si>
    <t>Verify all science data successfully transmitted and spacecraft enters safe passivated state</t>
  </si>
  <si>
    <t>Low</t>
  </si>
  <si>
    <t>Completion of science objectives and final site selection</t>
  </si>
  <si>
    <t>15 days</t>
  </si>
  <si>
    <t xml:space="preserve">Estimated Duration </t>
  </si>
  <si>
    <t>Launch Day</t>
  </si>
  <si>
    <t>Launch &amp; Commission</t>
  </si>
  <si>
    <t>Deploy Spacecraft And Establish Communications</t>
  </si>
  <si>
    <t>Launch  separation signal, startup sequences</t>
  </si>
  <si>
    <t>Telemetry, power status, comm link</t>
  </si>
  <si>
    <t>Initial health report</t>
  </si>
  <si>
    <t>Verify separation and subsystem health</t>
  </si>
  <si>
    <t>Launch vehicle deployment</t>
  </si>
  <si>
    <t>Mission Start</t>
  </si>
  <si>
    <t>Cruise Years 1-6</t>
  </si>
  <si>
    <t>Cruise &amp; Approach</t>
  </si>
  <si>
    <t>Transit To Europa</t>
  </si>
  <si>
    <t>Navigation measurements, trajectory updates</t>
  </si>
  <si>
    <t>Navigation telemetry</t>
  </si>
  <si>
    <t>Trajectory correction logs</t>
  </si>
  <si>
    <t>Verify trajectory tolerance</t>
  </si>
  <si>
    <t>Launch Complete</t>
  </si>
  <si>
    <t>6 years</t>
  </si>
  <si>
    <t>Periodic health monitoring</t>
  </si>
  <si>
    <t>Europa Arrival</t>
  </si>
  <si>
    <t>Europa  Orbit Insertion</t>
  </si>
  <si>
    <t>Achieve Stable Europa Orbit</t>
  </si>
  <si>
    <t>Orbital state measurements</t>
  </si>
  <si>
    <t>Orbital telemetry</t>
  </si>
  <si>
    <t>Orbit determination solution</t>
  </si>
  <si>
    <t>Verify stable orbit</t>
  </si>
  <si>
    <t>Cruise Complete</t>
  </si>
  <si>
    <t>Critical maneuver</t>
  </si>
  <si>
    <t>Orbit Day 1-15</t>
  </si>
  <si>
    <t>Terrain Mapping</t>
  </si>
  <si>
    <t>Generate Landing Candidates</t>
  </si>
  <si>
    <t>Orbital imagery, radar scans</t>
  </si>
  <si>
    <t>Hazard maps</t>
  </si>
  <si>
    <t>Global terrain maps</t>
  </si>
  <si>
    <t>Verify terrain coverage</t>
  </si>
  <si>
    <t>Orbit Insertion complete</t>
  </si>
  <si>
    <t>15 das</t>
  </si>
  <si>
    <t>Orbital Agent 1</t>
  </si>
  <si>
    <t>Orbit Day 15-30</t>
  </si>
  <si>
    <t>Communications Relay &amp; Localization Support</t>
  </si>
  <si>
    <t>Validate Landing Regions</t>
  </si>
  <si>
    <t>Orbital navigation data</t>
  </si>
  <si>
    <t>Localization updates</t>
  </si>
  <si>
    <t>Navigation support database</t>
  </si>
  <si>
    <t>Verify location accuracy</t>
  </si>
  <si>
    <t>Terrain Mapping complete</t>
  </si>
  <si>
    <t>Orbital Agent 2</t>
  </si>
  <si>
    <t>Surface Day 0</t>
  </si>
  <si>
    <t>Rover Landing</t>
  </si>
  <si>
    <t>Safe Landing</t>
  </si>
  <si>
    <t>Landing guidance sensors</t>
  </si>
  <si>
    <t>Landing telemetry</t>
  </si>
  <si>
    <t>Landing performance report</t>
  </si>
  <si>
    <t>Verify touchdown location</t>
  </si>
  <si>
    <t>Landing Site selected</t>
  </si>
  <si>
    <t>4 hrs</t>
  </si>
  <si>
    <t>Highest risk phase</t>
  </si>
  <si>
    <t>Surface Day 1</t>
  </si>
  <si>
    <t>Payload Initialization</t>
  </si>
  <si>
    <t>Activate Science Payloads</t>
  </si>
  <si>
    <t>Startup commands</t>
  </si>
  <si>
    <t>Instrument health telemetry</t>
  </si>
  <si>
    <t>Payload status report</t>
  </si>
  <si>
    <t>Verify payload functionality</t>
  </si>
  <si>
    <t>Landing Complete</t>
  </si>
  <si>
    <t>6 hrs</t>
  </si>
  <si>
    <t>New 2.4 activity</t>
  </si>
  <si>
    <t>Surface Day 1-2</t>
  </si>
  <si>
    <t>Radar Calibration</t>
  </si>
  <si>
    <t>Calibrate Radar Sonar</t>
  </si>
  <si>
    <t>Calibration routines</t>
  </si>
  <si>
    <t>Calibration measurements</t>
  </si>
  <si>
    <t>Calibration dataset</t>
  </si>
  <si>
    <t>Verify measurement accuracy</t>
  </si>
  <si>
    <t>Payload initialization complete</t>
  </si>
  <si>
    <t>Surface Day 2-5</t>
  </si>
  <si>
    <t>Traverse Planning</t>
  </si>
  <si>
    <t>Generate Survey Route</t>
  </si>
  <si>
    <t>Terrain maps, hazard maps</t>
  </si>
  <si>
    <t>Planned route</t>
  </si>
  <si>
    <t>Navigation plan</t>
  </si>
  <si>
    <t>Verify route safety</t>
  </si>
  <si>
    <t>Calibration complete</t>
  </si>
  <si>
    <t>3 days</t>
  </si>
  <si>
    <t>Surface Day 5-20</t>
  </si>
  <si>
    <t>Autonomous Navigation</t>
  </si>
  <si>
    <t>Transverse Survey Area</t>
  </si>
  <si>
    <t>Terrain maps, localization estimates</t>
  </si>
  <si>
    <t>Position updates</t>
  </si>
  <si>
    <t>Traverse logs</t>
  </si>
  <si>
    <t>Verify localization accuracy</t>
  </si>
  <si>
    <t>Route planning complete</t>
  </si>
  <si>
    <t>Expanded from 2.3</t>
  </si>
  <si>
    <t>Radar Data Collected</t>
  </si>
  <si>
    <t>Acquire Subsurface Measurements</t>
  </si>
  <si>
    <t>Radar returns</t>
  </si>
  <si>
    <t>Ice thickness estimates</t>
  </si>
  <si>
    <t>Radar profiles</t>
  </si>
  <si>
    <t>Verify coverage requirements</t>
  </si>
  <si>
    <t>Navigation Active</t>
  </si>
  <si>
    <t>Surface Day 10-22</t>
  </si>
  <si>
    <t>Subsurface Map Generation</t>
  </si>
  <si>
    <t>Create Ice-Shell Model</t>
  </si>
  <si>
    <t>Subsurface maps</t>
  </si>
  <si>
    <t>Ice thickness map</t>
  </si>
  <si>
    <t>Verify map completeness</t>
  </si>
  <si>
    <t>Data collection underway</t>
  </si>
  <si>
    <t>12 days</t>
  </si>
  <si>
    <t>Surface Day 22-26</t>
  </si>
  <si>
    <t>Consensus Validation</t>
  </si>
  <si>
    <t>Rank Candidate Cryobot Spots</t>
  </si>
  <si>
    <t>Terrain maps, Ice maps</t>
  </si>
  <si>
    <t>Site rankings</t>
  </si>
  <si>
    <t>Site evaluation report</t>
  </si>
  <si>
    <t>Verify selection criteria</t>
  </si>
  <si>
    <t>Map generation complete</t>
  </si>
  <si>
    <t>4 days</t>
  </si>
  <si>
    <t>Surface Day 26-28</t>
  </si>
  <si>
    <t>Cryobot Site selection</t>
  </si>
  <si>
    <t>Select Optimal Insertion Site</t>
  </si>
  <si>
    <t>Candidate rankings</t>
  </si>
  <si>
    <t>Selected coordinates</t>
  </si>
  <si>
    <t>Cryobot insertion package</t>
  </si>
  <si>
    <t>Verify mission criteria</t>
  </si>
  <si>
    <t>Consensus validation complete</t>
  </si>
  <si>
    <t>2 days</t>
  </si>
  <si>
    <t>Mission success metric</t>
  </si>
  <si>
    <t>Surface Day 29-30</t>
  </si>
  <si>
    <t>Data transmission &amp; End Mission</t>
  </si>
  <si>
    <t>Downlink Archive And Close Mission</t>
  </si>
  <si>
    <t>Science archive</t>
  </si>
  <si>
    <t>Archive transmission</t>
  </si>
  <si>
    <t>Final mission report</t>
  </si>
  <si>
    <t>Verify archive receipt</t>
  </si>
  <si>
    <t>Site selection complete</t>
  </si>
  <si>
    <t>Mission end</t>
  </si>
  <si>
    <t xml:space="preserve"> Mission Elapsed Time (min)</t>
  </si>
  <si>
    <t>Mode:  Sub-Activity</t>
  </si>
  <si>
    <t>Minute By Minute Ranges</t>
  </si>
  <si>
    <t>0-15</t>
  </si>
  <si>
    <t>Europa Descent And Landing</t>
  </si>
  <si>
    <t xml:space="preserve">Mode </t>
  </si>
  <si>
    <t>Duration (min)</t>
  </si>
  <si>
    <t>16-30</t>
  </si>
  <si>
    <t>Verify Successful Landing</t>
  </si>
  <si>
    <t>Initialization</t>
  </si>
  <si>
    <t>31-120</t>
  </si>
  <si>
    <t>Rover Commisioning And Health Checks</t>
  </si>
  <si>
    <t>121-180</t>
  </si>
  <si>
    <t>Orbital Communications Verification</t>
  </si>
  <si>
    <t>181-300</t>
  </si>
  <si>
    <t>Localization Initialization</t>
  </si>
  <si>
    <t>301-420</t>
  </si>
  <si>
    <t>Radar Payload Initialization</t>
  </si>
  <si>
    <t>421-540</t>
  </si>
  <si>
    <t>Radar Calibration And Validation</t>
  </si>
  <si>
    <t>541-720</t>
  </si>
  <si>
    <t>Initial Site Characterization</t>
  </si>
  <si>
    <t>721-1440</t>
  </si>
  <si>
    <t>Night Low-Power Thermal Managment</t>
  </si>
  <si>
    <t>1441-1500</t>
  </si>
  <si>
    <t>Autonomous Traverse Plan</t>
  </si>
  <si>
    <t>1501-1560</t>
  </si>
  <si>
    <t>Orbital Terrain Mapping Update</t>
  </si>
  <si>
    <t>1561-1800</t>
  </si>
  <si>
    <t>Surface Survery Block A</t>
  </si>
  <si>
    <t>Activation State</t>
  </si>
  <si>
    <t>1801-1860</t>
  </si>
  <si>
    <t>Localization Verificaion</t>
  </si>
  <si>
    <t>1861-2100</t>
  </si>
  <si>
    <t>Radar Data Collection Block A</t>
  </si>
  <si>
    <t>2101-2190</t>
  </si>
  <si>
    <t>Comminucation Relay Pass</t>
  </si>
  <si>
    <t>2191-2400</t>
  </si>
  <si>
    <t>Surface Survey Block B</t>
  </si>
  <si>
    <t>2401-2880</t>
  </si>
  <si>
    <t>2881-2940</t>
  </si>
  <si>
    <t>Systems Warm-Up</t>
  </si>
  <si>
    <t>2941-3240</t>
  </si>
  <si>
    <t>Radar Data Collection Block B</t>
  </si>
  <si>
    <t>3241-3300</t>
  </si>
  <si>
    <t>Autonomous Hazard Assertion Plan</t>
  </si>
  <si>
    <t>3301-3540</t>
  </si>
  <si>
    <t>Surface Survey Block C</t>
  </si>
  <si>
    <t>3541-3630</t>
  </si>
  <si>
    <t>3631-3900</t>
  </si>
  <si>
    <t>Subsurface Ice Map Generation</t>
  </si>
  <si>
    <t>3900-4320</t>
  </si>
  <si>
    <t>STEADY STATE OPERATIONS</t>
  </si>
  <si>
    <t>Repeating Daily Cycle</t>
  </si>
  <si>
    <t>Steady State</t>
  </si>
  <si>
    <t>Survey Operations</t>
  </si>
  <si>
    <t>Radar Data Collection</t>
  </si>
  <si>
    <t>Communications Relay Pass</t>
  </si>
  <si>
    <t>Subsurface Ice Map Updates</t>
  </si>
  <si>
    <t>SITE SELECTION PHASE</t>
  </si>
  <si>
    <t>Autonomous Consensus Validation</t>
  </si>
  <si>
    <t>36001-36360</t>
  </si>
  <si>
    <t>Candidate Site Ranking</t>
  </si>
  <si>
    <t>36361-36720</t>
  </si>
  <si>
    <t>36721-37440</t>
  </si>
  <si>
    <t>37441-37800</t>
  </si>
  <si>
    <t>37801-38160</t>
  </si>
  <si>
    <t>38161-38880</t>
  </si>
  <si>
    <t>Final Site Assesment</t>
  </si>
  <si>
    <t>38881-39240</t>
  </si>
  <si>
    <t>Cryobot Site Selection</t>
  </si>
  <si>
    <t>39241-39600</t>
  </si>
  <si>
    <t>End Of Mission</t>
  </si>
  <si>
    <t>39601-40320</t>
  </si>
  <si>
    <t>Final Science Archive Generation</t>
  </si>
  <si>
    <t>40321-40680</t>
  </si>
  <si>
    <t>Final Terrain Map Validation</t>
  </si>
  <si>
    <t>40681-41040</t>
  </si>
  <si>
    <t>Final Data Dump</t>
  </si>
  <si>
    <t>41041-41760</t>
  </si>
  <si>
    <t>Rover Sarfing</t>
  </si>
  <si>
    <t>END OF MISSION</t>
  </si>
  <si>
    <t>Payload Sarfing</t>
  </si>
  <si>
    <t>41761-41850</t>
  </si>
  <si>
    <t>Communications Shutdown</t>
  </si>
  <si>
    <t>41851-41880</t>
  </si>
  <si>
    <t>Passivation / Final Health Beacon</t>
  </si>
  <si>
    <t>41881-41910</t>
  </si>
  <si>
    <t>41911-41940</t>
  </si>
  <si>
    <t>41941-42000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</si>
</sst>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
    <numFmt numFmtId="166" formatCode="m-d"/>
  </numFmts>
  <fonts count="23">
    <font>
      <sz val="10.0"/>
      <color rgb="FF000000"/>
      <name val="Arial"/>
      <scheme val="minor"/>
    </font>
    <font>
      <b/>
      <sz val="12.0"/>
      <color theme="1"/>
      <name val="Arial"/>
    </font>
    <font>
      <i/>
      <sz val="8.0"/>
      <color theme="1"/>
      <name val="Arial"/>
    </font>
    <font/>
    <font>
      <b/>
      <sz val="10.0"/>
      <color theme="1"/>
      <name val="Arial"/>
    </font>
    <font>
      <sz val="10.0"/>
      <color theme="1"/>
      <name val="Arial"/>
    </font>
    <font>
      <sz val="10.0"/>
      <color rgb="FF000000"/>
      <name val="Roboto"/>
    </font>
    <font>
      <u/>
      <sz val="10.0"/>
      <color rgb="FF0000FF"/>
      <name val="Arial"/>
    </font>
    <font>
      <sz val="10.0"/>
      <color rgb="FF000000"/>
      <name val="Arial"/>
    </font>
    <font>
      <b/>
      <sz val="12.0"/>
      <color rgb="FF000000"/>
      <name val="Arial"/>
    </font>
    <font>
      <color theme="1"/>
      <name val="Arial"/>
      <scheme val="minor"/>
    </font>
    <font>
      <u/>
      <color rgb="FF0000FF"/>
    </font>
    <font>
      <u/>
      <sz val="10.0"/>
      <color theme="10"/>
      <name val="Arial"/>
    </font>
    <font>
      <sz val="10.0"/>
      <color rgb="FF1155CC"/>
      <name val="Arial"/>
    </font>
    <font>
      <sz val="10.0"/>
      <color theme="10"/>
      <name val="Arial"/>
    </font>
    <font>
      <u/>
      <sz val="10.0"/>
      <color rgb="FF1155CC"/>
      <name val="Arial"/>
    </font>
    <font>
      <sz val="10.0"/>
      <color rgb="FF202124"/>
      <name val="Arial"/>
    </font>
    <font>
      <sz val="10.0"/>
      <color rgb="FF000000"/>
      <name val="Lato"/>
    </font>
    <font>
      <b/>
      <sz val="11.0"/>
      <color theme="1"/>
      <name val="Calibri"/>
    </font>
    <font>
      <sz val="11.0"/>
      <color theme="1"/>
      <name val="Calibri"/>
    </font>
    <font>
      <b/>
      <sz val="14.0"/>
      <color theme="1"/>
      <name val="Calibri"/>
    </font>
    <font>
      <b/>
      <sz val="12.0"/>
      <color theme="1"/>
      <name val="Calibri"/>
    </font>
    <font>
      <b/>
      <color theme="1"/>
      <name val="Arial"/>
      <scheme val="minor"/>
    </font>
  </fonts>
  <fills count="14">
    <fill>
      <patternFill patternType="none"/>
    </fill>
    <fill>
      <patternFill patternType="lightGray"/>
    </fill>
    <fill>
      <patternFill patternType="solid">
        <fgColor rgb="FFEFEFEF"/>
        <bgColor rgb="FFEFEFEF"/>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D966"/>
        <bgColor rgb="FFFFD966"/>
      </patternFill>
    </fill>
    <fill>
      <patternFill patternType="solid">
        <fgColor rgb="FFCCCCCC"/>
        <bgColor rgb="FFCCCCCC"/>
      </patternFill>
    </fill>
    <fill>
      <patternFill patternType="solid">
        <fgColor rgb="FFFFFFFF"/>
        <bgColor rgb="FFFFFFFF"/>
      </patternFill>
    </fill>
    <fill>
      <patternFill patternType="solid">
        <fgColor rgb="FFD5A6BD"/>
        <bgColor rgb="FFD5A6BD"/>
      </patternFill>
    </fill>
    <fill>
      <patternFill patternType="solid">
        <fgColor theme="0"/>
        <bgColor theme="0"/>
      </patternFill>
    </fill>
    <fill>
      <patternFill patternType="solid">
        <fgColor rgb="FFD9D9D9"/>
        <bgColor rgb="FFD9D9D9"/>
      </patternFill>
    </fill>
    <fill>
      <patternFill patternType="solid">
        <fgColor rgb="FFF1C232"/>
        <bgColor rgb="FFF1C232"/>
      </patternFill>
    </fill>
  </fills>
  <borders count="24">
    <border/>
    <border>
      <left/>
      <right/>
      <top/>
      <bottom/>
    </border>
    <border>
      <left style="thin">
        <color rgb="FF000000"/>
      </left>
      <right style="thin">
        <color rgb="FF000000"/>
      </right>
      <top/>
    </border>
    <border>
      <left style="thin">
        <color rgb="FF000000"/>
      </left>
      <right/>
      <top/>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border>
    <border>
      <left style="thin">
        <color rgb="FF000000"/>
      </left>
    </border>
    <border>
      <right style="thin">
        <color rgb="FF000000"/>
      </right>
    </border>
    <border>
      <left/>
      <top/>
    </border>
    <border>
      <right style="thin">
        <color rgb="FF000000"/>
      </right>
      <top/>
    </border>
    <border>
      <right style="thin">
        <color rgb="FF000000"/>
      </right>
      <top/>
      <bottom/>
    </border>
    <border>
      <left/>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right style="thin">
        <color rgb="FF000000"/>
      </right>
      <bottom style="thin">
        <color rgb="FF000000"/>
      </bottom>
    </border>
    <border>
      <top style="thin">
        <color rgb="FF000000"/>
      </top>
      <bottom style="thin">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3" fontId="1" numFmtId="0" xfId="0" applyAlignment="1" applyBorder="1" applyFill="1" applyFont="1">
      <alignment shrinkToFit="0" textRotation="90" wrapText="1"/>
    </xf>
    <xf borderId="1" fillId="3" fontId="1" numFmtId="0" xfId="0" applyAlignment="1" applyBorder="1" applyFont="1">
      <alignment shrinkToFit="0" wrapText="1"/>
    </xf>
    <xf borderId="1" fillId="3" fontId="1" numFmtId="14" xfId="0" applyAlignment="1" applyBorder="1" applyFont="1" applyNumberFormat="1">
      <alignment shrinkToFit="0" wrapText="1"/>
    </xf>
    <xf borderId="2" fillId="4" fontId="1" numFmtId="0" xfId="0" applyAlignment="1" applyBorder="1" applyFill="1" applyFont="1">
      <alignment shrinkToFit="0" textRotation="90" wrapText="1"/>
    </xf>
    <xf borderId="3" fillId="4" fontId="1" numFmtId="0" xfId="0" applyAlignment="1" applyBorder="1" applyFont="1">
      <alignment shrinkToFit="0" wrapText="1"/>
    </xf>
    <xf borderId="1" fillId="4" fontId="1" numFmtId="0" xfId="0" applyAlignment="1" applyBorder="1" applyFont="1">
      <alignment shrinkToFit="0" wrapText="1"/>
    </xf>
    <xf borderId="2" fillId="5" fontId="1" numFmtId="0" xfId="0" applyAlignment="1" applyBorder="1" applyFill="1" applyFont="1">
      <alignment shrinkToFit="0" textRotation="90" wrapText="1"/>
    </xf>
    <xf borderId="3" fillId="5" fontId="1" numFmtId="0" xfId="0" applyAlignment="1" applyBorder="1" applyFont="1">
      <alignment shrinkToFit="0" wrapText="1"/>
    </xf>
    <xf borderId="2" fillId="6" fontId="1" numFmtId="0" xfId="0" applyAlignment="1" applyBorder="1" applyFill="1" applyFont="1">
      <alignment shrinkToFit="0" textRotation="90" wrapText="1"/>
    </xf>
    <xf borderId="3" fillId="6" fontId="1" numFmtId="0" xfId="0" applyAlignment="1" applyBorder="1" applyFont="1">
      <alignment shrinkToFit="0" wrapText="1"/>
    </xf>
    <xf borderId="1" fillId="6" fontId="1" numFmtId="0" xfId="0" applyAlignment="1" applyBorder="1" applyFont="1">
      <alignment shrinkToFit="0" wrapText="1"/>
    </xf>
    <xf borderId="0" fillId="0" fontId="1" numFmtId="0" xfId="0" applyAlignment="1" applyFont="1">
      <alignment shrinkToFit="0" wrapText="1"/>
    </xf>
    <xf borderId="4" fillId="0" fontId="2" numFmtId="0" xfId="0" applyAlignment="1" applyBorder="1" applyFont="1">
      <alignment shrinkToFit="0" wrapText="1"/>
    </xf>
    <xf borderId="5" fillId="0" fontId="3" numFmtId="0" xfId="0" applyBorder="1" applyFont="1"/>
    <xf borderId="4" fillId="0" fontId="2" numFmtId="14" xfId="0" applyAlignment="1" applyBorder="1" applyFont="1" applyNumberFormat="1">
      <alignment shrinkToFit="0" wrapText="1"/>
    </xf>
    <xf borderId="6" fillId="0" fontId="2" numFmtId="0" xfId="0" applyAlignment="1" applyBorder="1" applyFont="1">
      <alignment shrinkToFit="0" wrapText="1"/>
    </xf>
    <xf borderId="1" fillId="7" fontId="4" numFmtId="0" xfId="0" applyAlignment="1" applyBorder="1" applyFill="1" applyFont="1">
      <alignment horizontal="center" vertical="center"/>
    </xf>
    <xf borderId="1" fillId="7" fontId="4" numFmtId="0" xfId="0" applyAlignment="1" applyBorder="1" applyFont="1">
      <alignment horizontal="center" shrinkToFit="0" vertical="center" wrapText="1"/>
    </xf>
    <xf borderId="7" fillId="3" fontId="5" numFmtId="0" xfId="0" applyBorder="1" applyFont="1"/>
    <xf borderId="1" fillId="7" fontId="6" numFmtId="0" xfId="0" applyAlignment="1" applyBorder="1" applyFont="1">
      <alignment horizontal="center" readingOrder="0" shrinkToFit="0" vertical="center" wrapText="1"/>
    </xf>
    <xf borderId="1" fillId="7" fontId="5" numFmtId="14" xfId="0" applyAlignment="1" applyBorder="1" applyFont="1" applyNumberFormat="1">
      <alignment horizontal="center" readingOrder="0" shrinkToFit="0" vertical="center" wrapText="1"/>
    </xf>
    <xf borderId="7" fillId="4" fontId="5" numFmtId="0" xfId="0" applyBorder="1" applyFont="1"/>
    <xf borderId="8" fillId="0" fontId="5" numFmtId="0" xfId="0" applyAlignment="1" applyBorder="1" applyFont="1">
      <alignment shrinkToFit="0" wrapText="1"/>
    </xf>
    <xf borderId="0" fillId="0" fontId="5" numFmtId="0" xfId="0" applyAlignment="1" applyFont="1">
      <alignment shrinkToFit="0" wrapText="1"/>
    </xf>
    <xf borderId="7" fillId="5" fontId="5" numFmtId="0" xfId="0" applyBorder="1" applyFont="1"/>
    <xf borderId="7" fillId="6" fontId="5" numFmtId="0" xfId="0" applyBorder="1" applyFont="1"/>
    <xf borderId="0" fillId="0" fontId="5" numFmtId="0" xfId="0" applyFont="1"/>
    <xf borderId="1" fillId="8" fontId="5" numFmtId="0" xfId="0" applyAlignment="1" applyBorder="1" applyFill="1" applyFont="1">
      <alignment horizontal="center" vertical="center"/>
    </xf>
    <xf borderId="0" fillId="0" fontId="5" numFmtId="0" xfId="0" applyAlignment="1" applyFont="1">
      <alignment horizontal="center" readingOrder="0" shrinkToFit="0" vertical="center" wrapText="1"/>
    </xf>
    <xf borderId="0" fillId="0" fontId="5" numFmtId="14"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5" numFmtId="0" xfId="0" applyAlignment="1" applyFont="1">
      <alignment horizontal="center" vertical="center"/>
    </xf>
    <xf borderId="1" fillId="9" fontId="8" numFmtId="0" xfId="0" applyAlignment="1" applyBorder="1" applyFill="1" applyFont="1">
      <alignment horizontal="center" readingOrder="0" shrinkToFit="0" vertical="center" wrapText="1"/>
    </xf>
    <xf borderId="0" fillId="0" fontId="5" numFmtId="0" xfId="0" applyAlignment="1" applyFont="1">
      <alignment horizontal="center" shrinkToFit="0" vertical="center" wrapText="1"/>
    </xf>
    <xf borderId="0" fillId="0" fontId="5" numFmtId="14" xfId="0" applyAlignment="1" applyFont="1" applyNumberFormat="1">
      <alignment horizontal="center" shrinkToFit="0" vertical="center" wrapText="1"/>
    </xf>
    <xf borderId="1" fillId="2" fontId="1" numFmtId="0" xfId="0" applyAlignment="1" applyBorder="1" applyFont="1">
      <alignment horizontal="center" shrinkToFit="0" vertical="center" wrapText="1"/>
    </xf>
    <xf borderId="2" fillId="3" fontId="1" numFmtId="0" xfId="0" applyAlignment="1" applyBorder="1" applyFont="1">
      <alignment horizontal="center" shrinkToFit="0" textRotation="90" vertical="center" wrapText="1"/>
    </xf>
    <xf borderId="1" fillId="3" fontId="1" numFmtId="0" xfId="0" applyAlignment="1" applyBorder="1" applyFont="1">
      <alignment horizontal="center" shrinkToFit="0" vertical="center" wrapText="1"/>
    </xf>
    <xf borderId="2" fillId="4" fontId="1" numFmtId="0" xfId="0" applyAlignment="1" applyBorder="1" applyFont="1">
      <alignment horizontal="center" shrinkToFit="0" textRotation="90" vertical="center" wrapText="1"/>
    </xf>
    <xf borderId="3"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2" fillId="5" fontId="1" numFmtId="0" xfId="0" applyAlignment="1" applyBorder="1" applyFont="1">
      <alignment horizontal="center" shrinkToFit="0" textRotation="90" vertical="center" wrapText="1"/>
    </xf>
    <xf borderId="3" fillId="5" fontId="1" numFmtId="0" xfId="0" applyAlignment="1" applyBorder="1" applyFont="1">
      <alignment horizontal="center" shrinkToFit="0" vertical="center" wrapText="1"/>
    </xf>
    <xf borderId="2" fillId="6" fontId="1" numFmtId="0" xfId="0" applyAlignment="1" applyBorder="1" applyFont="1">
      <alignment horizontal="center" shrinkToFit="0" textRotation="90" vertical="center" wrapText="1"/>
    </xf>
    <xf borderId="3" fillId="6" fontId="1"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1" fillId="10" fontId="1" numFmtId="0" xfId="0" applyAlignment="1" applyBorder="1" applyFill="1" applyFont="1">
      <alignment horizontal="center" shrinkToFit="0" vertical="center" wrapText="1"/>
    </xf>
    <xf borderId="4" fillId="0"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1" fillId="9" fontId="9" numFmtId="0" xfId="0" applyAlignment="1" applyBorder="1" applyFont="1">
      <alignment horizontal="center" shrinkToFit="0" vertical="center" wrapText="1"/>
    </xf>
    <xf borderId="7" fillId="3" fontId="5" numFmtId="0" xfId="0" applyAlignment="1" applyBorder="1" applyFont="1">
      <alignment horizontal="center" shrinkToFit="0" vertical="center" wrapText="1"/>
    </xf>
    <xf borderId="0" fillId="0" fontId="10" numFmtId="0" xfId="0" applyAlignment="1" applyFont="1">
      <alignment horizontal="center" readingOrder="0" shrinkToFit="0" vertical="center" wrapText="1"/>
    </xf>
    <xf borderId="7" fillId="4" fontId="5"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7" fillId="5" fontId="5" numFmtId="0" xfId="0" applyAlignment="1" applyBorder="1" applyFont="1">
      <alignment horizontal="center" shrinkToFit="0" vertical="center" wrapText="1"/>
    </xf>
    <xf borderId="8" fillId="0" fontId="5" numFmtId="0" xfId="0" applyAlignment="1" applyBorder="1" applyFont="1">
      <alignment horizontal="center" readingOrder="0" shrinkToFit="0" vertical="center" wrapText="1"/>
    </xf>
    <xf borderId="7" fillId="6" fontId="5" numFmtId="0" xfId="0" applyAlignment="1" applyBorder="1" applyFont="1">
      <alignment horizontal="center" shrinkToFit="0" vertical="center" wrapText="1"/>
    </xf>
    <xf borderId="0" fillId="0" fontId="5" numFmtId="0" xfId="0" applyAlignment="1" applyFont="1">
      <alignment vertical="center"/>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9" fillId="0" fontId="5" numFmtId="0" xfId="0" applyAlignment="1" applyBorder="1" applyFont="1">
      <alignment horizontal="center" readingOrder="0" shrinkToFit="0" vertical="center" wrapText="1"/>
    </xf>
    <xf borderId="10" fillId="11" fontId="5" numFmtId="0" xfId="0" applyAlignment="1" applyBorder="1" applyFill="1" applyFont="1">
      <alignment horizontal="center" readingOrder="0" shrinkToFit="0" vertical="center" wrapText="1"/>
    </xf>
    <xf borderId="11" fillId="11" fontId="5" numFmtId="0" xfId="0" applyAlignment="1" applyBorder="1" applyFont="1">
      <alignment horizontal="center" readingOrder="0" shrinkToFit="0" vertical="center" wrapText="1"/>
    </xf>
    <xf borderId="12" fillId="3" fontId="5" numFmtId="0" xfId="0" applyAlignment="1" applyBorder="1" applyFont="1">
      <alignment horizontal="center" shrinkToFit="0" vertical="center" wrapText="1"/>
    </xf>
    <xf borderId="0" fillId="0" fontId="8"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13" fillId="11" fontId="5" numFmtId="0" xfId="0" applyAlignment="1" applyBorder="1" applyFont="1">
      <alignment horizontal="center" readingOrder="0" shrinkToFit="0" vertical="center" wrapText="1"/>
    </xf>
    <xf borderId="9" fillId="0" fontId="10" numFmtId="0" xfId="0" applyAlignment="1" applyBorder="1" applyFont="1">
      <alignment horizontal="center" readingOrder="0" shrinkToFit="0" vertical="center" wrapText="1"/>
    </xf>
    <xf borderId="0" fillId="0" fontId="10" numFmtId="14" xfId="0" applyAlignment="1" applyFont="1" applyNumberFormat="1">
      <alignment horizontal="center" readingOrder="0" shrinkToFit="0" vertical="center" wrapText="1"/>
    </xf>
    <xf borderId="0" fillId="0" fontId="14" numFmtId="0" xfId="0" applyAlignment="1" applyFont="1">
      <alignment horizontal="center" readingOrder="0" shrinkToFit="0" vertical="center" wrapText="1"/>
    </xf>
    <xf borderId="9" fillId="0" fontId="5" numFmtId="0" xfId="0" applyAlignment="1" applyBorder="1" applyFont="1">
      <alignment horizontal="center" vertical="center"/>
    </xf>
    <xf borderId="7" fillId="3" fontId="5" numFmtId="0" xfId="0" applyAlignment="1" applyBorder="1" applyFont="1">
      <alignment vertical="center"/>
    </xf>
    <xf borderId="0" fillId="0" fontId="8" numFmtId="0" xfId="0" applyAlignment="1" applyFont="1">
      <alignment horizontal="center" shrinkToFit="0" vertical="center" wrapText="1"/>
    </xf>
    <xf borderId="0" fillId="0" fontId="14" numFmtId="0" xfId="0" applyAlignment="1" applyFont="1">
      <alignment horizontal="center" shrinkToFit="0" vertical="center" wrapText="1"/>
    </xf>
    <xf borderId="7" fillId="4" fontId="5" numFmtId="0" xfId="0" applyAlignment="1" applyBorder="1" applyFont="1">
      <alignment vertical="center"/>
    </xf>
    <xf borderId="8" fillId="0" fontId="5" numFmtId="0" xfId="0" applyAlignment="1" applyBorder="1" applyFont="1">
      <alignment shrinkToFit="0" vertical="center" wrapText="1"/>
    </xf>
    <xf borderId="0" fillId="0" fontId="5" numFmtId="0" xfId="0" applyAlignment="1" applyFont="1">
      <alignment shrinkToFit="0" vertical="center" wrapText="1"/>
    </xf>
    <xf borderId="7" fillId="5" fontId="5" numFmtId="0" xfId="0" applyAlignment="1" applyBorder="1" applyFont="1">
      <alignment vertical="center"/>
    </xf>
    <xf borderId="7" fillId="6" fontId="5" numFmtId="0" xfId="0" applyAlignment="1" applyBorder="1" applyFont="1">
      <alignment vertical="center"/>
    </xf>
    <xf borderId="9" fillId="0" fontId="8" numFmtId="0" xfId="0" applyAlignment="1" applyBorder="1" applyFont="1">
      <alignment horizontal="center" vertical="center"/>
    </xf>
    <xf borderId="0" fillId="0" fontId="15" numFmtId="0" xfId="0" applyAlignment="1" applyFont="1">
      <alignment shrinkToFit="0" wrapText="1"/>
    </xf>
    <xf borderId="9" fillId="0" fontId="5" numFmtId="0" xfId="0" applyAlignment="1" applyBorder="1" applyFont="1">
      <alignment horizontal="center" shrinkToFit="0" vertical="center" wrapText="1"/>
    </xf>
    <xf borderId="1" fillId="9" fontId="16" numFmtId="0" xfId="0" applyAlignment="1" applyBorder="1" applyFont="1">
      <alignment horizontal="center" shrinkToFit="0" vertical="center" wrapText="1"/>
    </xf>
    <xf borderId="0" fillId="0" fontId="10" numFmtId="0" xfId="0" applyFont="1"/>
    <xf borderId="0" fillId="0" fontId="8" numFmtId="22" xfId="0" applyFont="1" applyNumberFormat="1"/>
    <xf borderId="1" fillId="12" fontId="1" numFmtId="0" xfId="0" applyAlignment="1" applyBorder="1" applyFill="1" applyFont="1">
      <alignment shrinkToFit="0" wrapText="1"/>
    </xf>
    <xf borderId="1" fillId="13" fontId="1" numFmtId="0" xfId="0" applyAlignment="1" applyBorder="1" applyFill="1" applyFont="1">
      <alignment shrinkToFit="0" wrapText="1"/>
    </xf>
    <xf borderId="0" fillId="0" fontId="8" numFmtId="0" xfId="0" applyAlignment="1" applyFont="1">
      <alignment shrinkToFit="0" wrapText="1"/>
    </xf>
    <xf borderId="0" fillId="0" fontId="8" numFmtId="0" xfId="0" applyAlignment="1" applyFont="1">
      <alignment horizontal="left" shrinkToFit="0" wrapText="1"/>
    </xf>
    <xf borderId="14" fillId="0" fontId="17" numFmtId="0" xfId="0" applyAlignment="1" applyBorder="1" applyFont="1">
      <alignment shrinkToFit="0" wrapText="1"/>
    </xf>
    <xf borderId="0" fillId="0" fontId="5" numFmtId="0" xfId="0" applyAlignment="1" applyFont="1">
      <alignment horizontal="left" shrinkToFit="0" wrapText="1"/>
    </xf>
    <xf borderId="1" fillId="9" fontId="6" numFmtId="0" xfId="0" applyAlignment="1" applyBorder="1" applyFont="1">
      <alignment shrinkToFit="0" wrapText="1"/>
    </xf>
    <xf borderId="0" fillId="0" fontId="8" numFmtId="164" xfId="0" applyAlignment="1" applyFont="1" applyNumberFormat="1">
      <alignment horizontal="left" shrinkToFit="0" wrapText="1"/>
    </xf>
    <xf borderId="0" fillId="0" fontId="5" numFmtId="165" xfId="0" applyAlignment="1" applyFont="1" applyNumberFormat="1">
      <alignment horizontal="left" shrinkToFit="0" wrapText="1"/>
    </xf>
    <xf borderId="0" fillId="0" fontId="8" numFmtId="165" xfId="0" applyAlignment="1" applyFont="1" applyNumberFormat="1">
      <alignment horizontal="left" shrinkToFit="0" wrapText="1"/>
    </xf>
    <xf borderId="15" fillId="0" fontId="18" numFmtId="0" xfId="0" applyAlignment="1" applyBorder="1" applyFont="1">
      <alignment horizontal="center" shrinkToFit="0" vertical="center" wrapText="1"/>
    </xf>
    <xf borderId="0" fillId="0" fontId="19" numFmtId="0" xfId="0" applyAlignment="1" applyFont="1">
      <alignment horizontal="center" shrinkToFit="0" vertical="center" wrapText="1"/>
    </xf>
    <xf borderId="0" fillId="0" fontId="19" numFmtId="0" xfId="0" applyAlignment="1" applyFont="1">
      <alignment horizontal="center" readingOrder="0" vertical="center"/>
    </xf>
    <xf borderId="0" fillId="0" fontId="10" numFmtId="0" xfId="0" applyAlignment="1" applyFont="1">
      <alignment horizontal="center" shrinkToFit="0" vertical="center" wrapText="1"/>
    </xf>
    <xf borderId="0" fillId="0" fontId="19" numFmtId="0" xfId="0" applyAlignment="1" applyFont="1">
      <alignment horizontal="center" readingOrder="0" shrinkToFit="0" vertical="center" wrapText="1"/>
    </xf>
    <xf borderId="0" fillId="0" fontId="10" numFmtId="0" xfId="0" applyAlignment="1" applyFont="1">
      <alignment horizontal="center" vertical="center"/>
    </xf>
    <xf borderId="16" fillId="0" fontId="18" numFmtId="0" xfId="0" applyAlignment="1" applyBorder="1" applyFont="1">
      <alignment horizontal="center" readingOrder="0" shrinkToFit="0" vertical="center" wrapText="1"/>
    </xf>
    <xf borderId="17" fillId="0" fontId="18" numFmtId="0" xfId="0" applyAlignment="1" applyBorder="1" applyFont="1">
      <alignment horizontal="center" readingOrder="0" shrinkToFit="0" vertical="center" wrapText="1"/>
    </xf>
    <xf borderId="15" fillId="0" fontId="18" numFmtId="0" xfId="0" applyAlignment="1" applyBorder="1" applyFont="1">
      <alignment horizontal="center" readingOrder="0" shrinkToFit="0" vertical="center" wrapText="1"/>
    </xf>
    <xf borderId="18" fillId="0" fontId="18" numFmtId="0" xfId="0" applyAlignment="1" applyBorder="1" applyFont="1">
      <alignment horizontal="center" readingOrder="0" shrinkToFit="0" vertical="center" wrapText="1"/>
    </xf>
    <xf borderId="0" fillId="0" fontId="19" numFmtId="0" xfId="0" applyAlignment="1" applyFont="1">
      <alignment shrinkToFit="0" vertical="center" wrapText="1"/>
    </xf>
    <xf borderId="15" fillId="0" fontId="19" numFmtId="0" xfId="0" applyAlignment="1" applyBorder="1" applyFont="1">
      <alignment horizontal="center" readingOrder="0" shrinkToFit="0" vertical="center" wrapText="1"/>
    </xf>
    <xf borderId="0" fillId="0" fontId="19" numFmtId="0" xfId="0" applyAlignment="1" applyFont="1">
      <alignment vertical="center"/>
    </xf>
    <xf borderId="15" fillId="0" fontId="10" numFmtId="0" xfId="0" applyAlignment="1" applyBorder="1" applyFont="1">
      <alignment readingOrder="0" vertical="center"/>
    </xf>
    <xf borderId="0" fillId="0" fontId="10" numFmtId="0" xfId="0" applyAlignment="1" applyFont="1">
      <alignment vertical="center"/>
    </xf>
    <xf borderId="15" fillId="0" fontId="18" numFmtId="0" xfId="0" applyAlignment="1" applyBorder="1" applyFont="1">
      <alignment horizontal="center" vertical="center"/>
    </xf>
    <xf borderId="19" fillId="0" fontId="18" numFmtId="0" xfId="0" applyAlignment="1" applyBorder="1" applyFont="1">
      <alignment horizontal="center" shrinkToFit="0" vertical="center" wrapText="1"/>
    </xf>
    <xf borderId="20" fillId="0" fontId="20" numFmtId="0" xfId="0" applyAlignment="1" applyBorder="1" applyFont="1">
      <alignment horizontal="center" readingOrder="0"/>
    </xf>
    <xf borderId="19" fillId="0" fontId="3" numFmtId="0" xfId="0" applyBorder="1" applyFont="1"/>
    <xf borderId="17" fillId="0" fontId="19" numFmtId="0" xfId="0" applyAlignment="1" applyBorder="1" applyFont="1">
      <alignment horizontal="center" readingOrder="0" vertical="center"/>
    </xf>
    <xf borderId="21" fillId="0" fontId="19" numFmtId="0" xfId="0" applyAlignment="1" applyBorder="1" applyFont="1">
      <alignment horizontal="center" readingOrder="0" vertical="center"/>
    </xf>
    <xf borderId="18" fillId="0" fontId="19" numFmtId="0" xfId="0" applyAlignment="1" applyBorder="1" applyFont="1">
      <alignment horizontal="center" readingOrder="0" vertical="center"/>
    </xf>
    <xf borderId="15" fillId="0" fontId="21" numFmtId="0" xfId="0" applyAlignment="1" applyBorder="1" applyFont="1">
      <alignment horizontal="center" readingOrder="0"/>
    </xf>
    <xf borderId="15" fillId="0" fontId="21" numFmtId="0" xfId="0" applyAlignment="1" applyBorder="1" applyFont="1">
      <alignment horizontal="center"/>
    </xf>
    <xf borderId="8" fillId="0" fontId="19" numFmtId="0" xfId="0" applyAlignment="1" applyBorder="1" applyFont="1">
      <alignment horizontal="center" readingOrder="0" vertical="center"/>
    </xf>
    <xf borderId="9" fillId="0" fontId="19" numFmtId="0" xfId="0" applyAlignment="1" applyBorder="1" applyFont="1">
      <alignment horizontal="center" readingOrder="0" vertical="center"/>
    </xf>
    <xf borderId="20" fillId="0" fontId="18" numFmtId="0" xfId="0" applyAlignment="1" applyBorder="1" applyFont="1">
      <alignment horizontal="left" readingOrder="0"/>
    </xf>
    <xf borderId="15" fillId="0" fontId="19" numFmtId="0" xfId="0" applyAlignment="1" applyBorder="1" applyFont="1">
      <alignment horizontal="center" readingOrder="0" vertical="center"/>
    </xf>
    <xf borderId="15" fillId="0" fontId="19" numFmtId="0" xfId="0" applyAlignment="1" applyBorder="1" applyFont="1">
      <alignment horizontal="center" readingOrder="0"/>
    </xf>
    <xf borderId="6" fillId="0" fontId="19" numFmtId="0" xfId="0" applyAlignment="1" applyBorder="1" applyFont="1">
      <alignment horizontal="center" readingOrder="0" vertical="center"/>
    </xf>
    <xf borderId="4" fillId="0" fontId="19" numFmtId="0" xfId="0" applyAlignment="1" applyBorder="1" applyFont="1">
      <alignment horizontal="center" readingOrder="0" vertical="center"/>
    </xf>
    <xf borderId="22" fillId="0" fontId="10" numFmtId="0" xfId="0" applyAlignment="1" applyBorder="1" applyFont="1">
      <alignment horizontal="center" readingOrder="0" vertical="center"/>
    </xf>
    <xf borderId="15" fillId="0" fontId="10" numFmtId="0" xfId="0" applyAlignment="1" applyBorder="1" applyFont="1">
      <alignment horizontal="center" readingOrder="0"/>
    </xf>
    <xf borderId="21" fillId="0" fontId="10" numFmtId="0" xfId="0" applyAlignment="1" applyBorder="1" applyFont="1">
      <alignment horizontal="center" readingOrder="0" vertical="center"/>
    </xf>
    <xf borderId="15" fillId="0" fontId="10" numFmtId="0" xfId="0" applyAlignment="1" applyBorder="1" applyFont="1">
      <alignment horizontal="center" readingOrder="0" vertical="center"/>
    </xf>
    <xf borderId="22" fillId="0" fontId="19" numFmtId="0" xfId="0" applyAlignment="1" applyBorder="1" applyFont="1">
      <alignment horizontal="center" readingOrder="0"/>
    </xf>
    <xf borderId="0" fillId="0" fontId="18" numFmtId="0" xfId="0" applyAlignment="1" applyFont="1">
      <alignment horizontal="left" readingOrder="0" vertical="center"/>
    </xf>
    <xf borderId="0" fillId="0" fontId="19" numFmtId="0" xfId="0" applyAlignment="1" applyFont="1">
      <alignment horizontal="center"/>
    </xf>
    <xf borderId="17" fillId="0" fontId="19" numFmtId="166" xfId="0" applyAlignment="1" applyBorder="1" applyFont="1" applyNumberFormat="1">
      <alignment horizontal="center" readingOrder="0" vertical="center"/>
    </xf>
    <xf borderId="18" fillId="0" fontId="19" numFmtId="0" xfId="0" applyAlignment="1" applyBorder="1" applyFont="1">
      <alignment horizontal="center" readingOrder="0"/>
    </xf>
    <xf borderId="8" fillId="0" fontId="19" numFmtId="166" xfId="0" applyAlignment="1" applyBorder="1" applyFont="1" applyNumberFormat="1">
      <alignment horizontal="center" readingOrder="0" vertical="center"/>
    </xf>
    <xf borderId="9" fillId="0" fontId="19" numFmtId="0" xfId="0" applyAlignment="1" applyBorder="1" applyFont="1">
      <alignment horizontal="center" readingOrder="0"/>
    </xf>
    <xf borderId="6" fillId="0" fontId="19" numFmtId="166" xfId="0" applyAlignment="1" applyBorder="1" applyFont="1" applyNumberFormat="1">
      <alignment horizontal="center" readingOrder="0" vertical="center"/>
    </xf>
    <xf borderId="0" fillId="0" fontId="22" numFmtId="0" xfId="0" applyAlignment="1" applyFont="1">
      <alignment readingOrder="0"/>
    </xf>
    <xf borderId="15" fillId="0" fontId="18" numFmtId="0" xfId="0" applyAlignment="1" applyBorder="1" applyFont="1">
      <alignment horizontal="left" readingOrder="0"/>
    </xf>
    <xf borderId="15" fillId="0" fontId="18" numFmtId="0" xfId="0" applyAlignment="1" applyBorder="1" applyFont="1">
      <alignment horizontal="center"/>
    </xf>
    <xf borderId="8" fillId="0" fontId="18" numFmtId="0" xfId="0" applyAlignment="1" applyBorder="1" applyFont="1">
      <alignment horizontal="left" readingOrder="0" vertical="center"/>
    </xf>
    <xf borderId="23" fillId="0" fontId="19" numFmtId="0" xfId="0" applyAlignment="1" applyBorder="1" applyFont="1">
      <alignment horizontal="center" readingOrder="0"/>
    </xf>
    <xf borderId="0" fillId="0" fontId="10" numFmtId="0" xfId="0" applyAlignment="1" applyFont="1">
      <alignment horizontal="center" readingOrder="0"/>
    </xf>
    <xf borderId="9" fillId="0" fontId="10" numFmtId="0" xfId="0" applyAlignment="1" applyBorder="1" applyFont="1">
      <alignment horizontal="center" readingOrder="0"/>
    </xf>
    <xf borderId="0" fillId="0" fontId="10" numFmtId="0" xfId="0" applyAlignment="1" applyFont="1">
      <alignment horizontal="center"/>
    </xf>
    <xf borderId="0" fillId="0" fontId="19" numFmtId="0" xfId="0" applyAlignment="1" applyFont="1">
      <alignment horizontal="center" vertical="center"/>
    </xf>
  </cellXfs>
  <cellStyles count="1">
    <cellStyle xfId="0" name="Normal" builtinId="0"/>
  </cellStyles>
  <dxfs count="3">
    <dxf>
      <font>
        <b/>
        <color rgb="FF38761D"/>
      </font>
      <fill>
        <patternFill patternType="solid">
          <fgColor rgb="FFD9EAD3"/>
          <bgColor rgb="FFD9EAD3"/>
        </patternFill>
      </fill>
      <border/>
    </dxf>
    <dxf>
      <font>
        <b/>
        <color rgb="FF990000"/>
      </font>
      <fill>
        <patternFill patternType="solid">
          <fgColor rgb="FFF4CCCC"/>
          <bgColor rgb="FFF4CCCC"/>
        </patternFill>
      </fill>
      <border/>
    </dxf>
    <dxf>
      <font>
        <b/>
        <color rgb="FFBF9000"/>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asa.gov/wp-content/uploads/2024/07/civil-space-shortfall-ranking-july-2024.pdf?emrc=7dbadc" TargetMode="External"/><Relationship Id="rId2" Type="http://schemas.openxmlformats.org/officeDocument/2006/relationships/hyperlink" Target="https://www.scribd.com/document/1036679111/NASA-2026-2027-SBIR-STTR-BAA-Appendix-26B-I-SBIR" TargetMode="External"/><Relationship Id="rId3" Type="http://schemas.openxmlformats.org/officeDocument/2006/relationships/hyperlink" Target="https://www.nationalacademies.org/read/26522/chapter/4" TargetMode="External"/><Relationship Id="rId4" Type="http://schemas.openxmlformats.org/officeDocument/2006/relationships/hyperlink" Target="https://www.scribd.com/document/1036679111/NASA-2026-2027-SBIR-STTR-BAA-Appendix-26B-I-SBIR"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tionalacademies.org/read/26522" TargetMode="External"/><Relationship Id="rId2" Type="http://schemas.openxmlformats.org/officeDocument/2006/relationships/hyperlink" Target="https://www.nasa.gov/wp-content/uploads/2024/07/civil-space-shortfall-ranking-july-2024.pdf"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63"/>
    <col customWidth="1" min="2" max="2" width="18.75"/>
    <col customWidth="1" min="3" max="3" width="7.0"/>
    <col customWidth="1" min="4" max="4" width="30.88"/>
    <col customWidth="1" min="5" max="8" width="21.63"/>
    <col customWidth="1" hidden="1" min="9" max="9" width="7.0"/>
    <col customWidth="1" hidden="1" min="10" max="12" width="21.63"/>
    <col customWidth="1" hidden="1" min="13" max="13" width="7.0"/>
    <col customWidth="1" hidden="1" min="14" max="14" width="21.63"/>
    <col customWidth="1" min="15" max="15" width="7.0"/>
    <col customWidth="1" min="16" max="16" width="21.63"/>
    <col customWidth="1" min="17" max="31" width="14.38"/>
  </cols>
  <sheetData>
    <row r="1" ht="15.75" customHeight="1">
      <c r="A1" s="1" t="s">
        <v>0</v>
      </c>
      <c r="B1" s="1" t="s">
        <v>1</v>
      </c>
      <c r="C1" s="2" t="s">
        <v>2</v>
      </c>
      <c r="D1" s="3" t="s">
        <v>3</v>
      </c>
      <c r="E1" s="4" t="s">
        <v>4</v>
      </c>
      <c r="F1" s="3" t="s">
        <v>5</v>
      </c>
      <c r="G1" s="3" t="s">
        <v>6</v>
      </c>
      <c r="H1" s="3" t="s">
        <v>7</v>
      </c>
      <c r="I1" s="5" t="s">
        <v>8</v>
      </c>
      <c r="J1" s="6" t="s">
        <v>9</v>
      </c>
      <c r="K1" s="7" t="s">
        <v>10</v>
      </c>
      <c r="L1" s="7" t="s">
        <v>5</v>
      </c>
      <c r="M1" s="8" t="s">
        <v>11</v>
      </c>
      <c r="N1" s="9" t="s">
        <v>12</v>
      </c>
      <c r="O1" s="10" t="s">
        <v>13</v>
      </c>
      <c r="P1" s="11" t="s">
        <v>14</v>
      </c>
      <c r="Q1" s="12" t="s">
        <v>15</v>
      </c>
      <c r="R1" s="12" t="s">
        <v>16</v>
      </c>
      <c r="S1" s="12" t="s">
        <v>17</v>
      </c>
      <c r="T1" s="13"/>
      <c r="U1" s="13"/>
      <c r="V1" s="13"/>
      <c r="W1" s="13"/>
      <c r="X1" s="13"/>
      <c r="Y1" s="13"/>
      <c r="Z1" s="13"/>
      <c r="AA1" s="13"/>
      <c r="AB1" s="13"/>
      <c r="AC1" s="13"/>
      <c r="AD1" s="13"/>
      <c r="AE1" s="13"/>
    </row>
    <row r="2">
      <c r="A2" s="14" t="s">
        <v>18</v>
      </c>
      <c r="B2" s="14" t="s">
        <v>19</v>
      </c>
      <c r="C2" s="15"/>
      <c r="D2" s="14" t="s">
        <v>20</v>
      </c>
      <c r="E2" s="16" t="s">
        <v>21</v>
      </c>
      <c r="F2" s="14" t="s">
        <v>22</v>
      </c>
      <c r="G2" s="14" t="s">
        <v>23</v>
      </c>
      <c r="H2" s="14" t="s">
        <v>24</v>
      </c>
      <c r="I2" s="15"/>
      <c r="J2" s="17" t="s">
        <v>25</v>
      </c>
      <c r="K2" s="14" t="s">
        <v>26</v>
      </c>
      <c r="L2" s="14"/>
      <c r="M2" s="15"/>
      <c r="N2" s="17" t="s">
        <v>27</v>
      </c>
      <c r="O2" s="15"/>
      <c r="P2" s="17"/>
      <c r="Q2" s="14" t="s">
        <v>28</v>
      </c>
      <c r="R2" s="14" t="s">
        <v>29</v>
      </c>
      <c r="S2" s="14"/>
      <c r="T2" s="14"/>
      <c r="U2" s="14"/>
      <c r="V2" s="14"/>
      <c r="W2" s="14"/>
      <c r="X2" s="14"/>
      <c r="Y2" s="14"/>
      <c r="Z2" s="14"/>
      <c r="AA2" s="14"/>
      <c r="AB2" s="14"/>
      <c r="AC2" s="14"/>
      <c r="AD2" s="14"/>
      <c r="AE2" s="14"/>
    </row>
    <row r="3">
      <c r="A3" s="18" t="s">
        <v>30</v>
      </c>
      <c r="B3" s="19" t="s">
        <v>30</v>
      </c>
      <c r="C3" s="20"/>
      <c r="D3" s="21" t="s">
        <v>31</v>
      </c>
      <c r="E3" s="22">
        <v>46187.0</v>
      </c>
      <c r="F3" s="19" t="s">
        <v>32</v>
      </c>
      <c r="G3" s="19" t="s">
        <v>32</v>
      </c>
      <c r="H3" s="19" t="s">
        <v>32</v>
      </c>
      <c r="I3" s="23"/>
      <c r="J3" s="24"/>
      <c r="K3" s="25"/>
      <c r="L3" s="25"/>
      <c r="M3" s="26"/>
      <c r="N3" s="24"/>
      <c r="O3" s="27"/>
      <c r="P3" s="24"/>
      <c r="Q3" s="25"/>
      <c r="R3" s="25"/>
      <c r="S3" s="28"/>
      <c r="T3" s="28"/>
      <c r="U3" s="28"/>
      <c r="V3" s="28"/>
      <c r="W3" s="28"/>
      <c r="X3" s="28"/>
      <c r="Y3" s="28"/>
      <c r="Z3" s="28"/>
      <c r="AA3" s="28"/>
      <c r="AB3" s="28"/>
      <c r="AC3" s="28"/>
      <c r="AD3" s="28"/>
      <c r="AE3" s="28"/>
    </row>
    <row r="4">
      <c r="A4" s="29" t="s">
        <v>33</v>
      </c>
      <c r="B4" s="30" t="s">
        <v>34</v>
      </c>
      <c r="C4" s="20"/>
      <c r="D4" s="30" t="s">
        <v>35</v>
      </c>
      <c r="E4" s="31">
        <v>46187.0</v>
      </c>
      <c r="F4" s="32" t="s">
        <v>36</v>
      </c>
      <c r="G4" s="33"/>
      <c r="H4" s="33"/>
      <c r="I4" s="23"/>
      <c r="J4" s="24"/>
      <c r="K4" s="25"/>
      <c r="L4" s="25"/>
      <c r="M4" s="26"/>
      <c r="N4" s="24"/>
      <c r="O4" s="27"/>
      <c r="P4" s="24"/>
      <c r="Q4" s="25"/>
      <c r="R4" s="25"/>
      <c r="S4" s="28"/>
      <c r="T4" s="28"/>
      <c r="U4" s="28"/>
      <c r="V4" s="28"/>
      <c r="W4" s="28"/>
      <c r="X4" s="28"/>
      <c r="Y4" s="28"/>
      <c r="Z4" s="28"/>
      <c r="AA4" s="28"/>
      <c r="AB4" s="28"/>
      <c r="AC4" s="28"/>
      <c r="AD4" s="28"/>
      <c r="AE4" s="28"/>
    </row>
    <row r="5">
      <c r="A5" s="29" t="s">
        <v>37</v>
      </c>
      <c r="B5" s="30" t="s">
        <v>38</v>
      </c>
      <c r="C5" s="20"/>
      <c r="D5" s="34" t="s">
        <v>39</v>
      </c>
      <c r="E5" s="31">
        <v>46187.0</v>
      </c>
      <c r="F5" s="32" t="s">
        <v>40</v>
      </c>
      <c r="G5" s="33"/>
      <c r="H5" s="33"/>
      <c r="I5" s="23"/>
      <c r="J5" s="24"/>
      <c r="K5" s="25"/>
      <c r="L5" s="25"/>
      <c r="M5" s="26"/>
      <c r="N5" s="24"/>
      <c r="O5" s="27"/>
      <c r="P5" s="24"/>
      <c r="Q5" s="25"/>
      <c r="R5" s="25"/>
      <c r="S5" s="28"/>
      <c r="T5" s="28"/>
      <c r="U5" s="28"/>
      <c r="V5" s="28"/>
      <c r="W5" s="28"/>
      <c r="X5" s="28"/>
      <c r="Y5" s="28"/>
      <c r="Z5" s="28"/>
      <c r="AA5" s="28"/>
      <c r="AB5" s="28"/>
      <c r="AC5" s="28"/>
      <c r="AD5" s="28"/>
      <c r="AE5" s="28"/>
    </row>
    <row r="6">
      <c r="A6" s="29" t="s">
        <v>41</v>
      </c>
      <c r="B6" s="30" t="s">
        <v>42</v>
      </c>
      <c r="C6" s="20"/>
      <c r="D6" s="30" t="s">
        <v>43</v>
      </c>
      <c r="E6" s="31">
        <v>46187.0</v>
      </c>
      <c r="F6" s="32" t="s">
        <v>44</v>
      </c>
      <c r="G6" s="33"/>
      <c r="H6" s="33"/>
      <c r="I6" s="23"/>
      <c r="J6" s="24"/>
      <c r="K6" s="25"/>
      <c r="L6" s="25"/>
      <c r="M6" s="26"/>
      <c r="N6" s="24"/>
      <c r="O6" s="27"/>
      <c r="P6" s="24"/>
      <c r="Q6" s="25"/>
      <c r="R6" s="25"/>
      <c r="S6" s="28"/>
      <c r="T6" s="28"/>
      <c r="U6" s="28"/>
      <c r="V6" s="28"/>
      <c r="W6" s="28"/>
      <c r="X6" s="28"/>
      <c r="Y6" s="28"/>
      <c r="Z6" s="28"/>
      <c r="AA6" s="28"/>
      <c r="AB6" s="28"/>
      <c r="AC6" s="28"/>
      <c r="AD6" s="28"/>
      <c r="AE6" s="28"/>
    </row>
    <row r="7">
      <c r="A7" s="29" t="s">
        <v>45</v>
      </c>
      <c r="B7" s="30" t="s">
        <v>46</v>
      </c>
      <c r="C7" s="20"/>
      <c r="D7" s="30" t="s">
        <v>47</v>
      </c>
      <c r="E7" s="31">
        <v>46187.0</v>
      </c>
      <c r="F7" s="32" t="s">
        <v>48</v>
      </c>
      <c r="G7" s="33"/>
      <c r="H7" s="33"/>
      <c r="I7" s="23"/>
      <c r="J7" s="24"/>
      <c r="K7" s="25"/>
      <c r="L7" s="25"/>
      <c r="M7" s="26"/>
      <c r="N7" s="24"/>
      <c r="O7" s="27"/>
      <c r="P7" s="24"/>
      <c r="Q7" s="25"/>
      <c r="R7" s="25"/>
      <c r="S7" s="28"/>
      <c r="T7" s="28"/>
      <c r="U7" s="28"/>
      <c r="V7" s="28"/>
      <c r="W7" s="28"/>
      <c r="X7" s="28"/>
      <c r="Y7" s="28"/>
      <c r="Z7" s="28"/>
      <c r="AA7" s="28"/>
      <c r="AB7" s="28"/>
      <c r="AC7" s="28"/>
      <c r="AD7" s="28"/>
      <c r="AE7" s="28"/>
    </row>
    <row r="8" ht="15.75" customHeight="1">
      <c r="A8" s="33"/>
      <c r="B8" s="35"/>
      <c r="C8" s="20"/>
      <c r="D8" s="35"/>
      <c r="E8" s="36"/>
      <c r="F8" s="35"/>
      <c r="G8" s="33"/>
      <c r="H8" s="33"/>
      <c r="I8" s="23"/>
      <c r="J8" s="24"/>
      <c r="K8" s="25"/>
      <c r="L8" s="25"/>
      <c r="M8" s="26"/>
      <c r="N8" s="24"/>
      <c r="O8" s="27"/>
      <c r="P8" s="24"/>
      <c r="Q8" s="25"/>
      <c r="R8" s="25"/>
      <c r="S8" s="28"/>
      <c r="T8" s="28"/>
      <c r="U8" s="28"/>
      <c r="V8" s="28"/>
      <c r="W8" s="28"/>
      <c r="X8" s="28"/>
      <c r="Y8" s="28"/>
      <c r="Z8" s="28"/>
      <c r="AA8" s="28"/>
      <c r="AB8" s="28"/>
      <c r="AC8" s="28"/>
      <c r="AD8" s="28"/>
      <c r="AE8" s="28"/>
    </row>
    <row r="9" ht="15.75" customHeight="1">
      <c r="A9" s="33"/>
      <c r="B9" s="35"/>
      <c r="C9" s="20"/>
      <c r="D9" s="35"/>
      <c r="E9" s="36"/>
      <c r="F9" s="35"/>
      <c r="G9" s="33"/>
      <c r="H9" s="33"/>
      <c r="I9" s="23"/>
      <c r="J9" s="24"/>
      <c r="K9" s="25"/>
      <c r="L9" s="25"/>
      <c r="M9" s="26"/>
      <c r="N9" s="24"/>
      <c r="O9" s="27"/>
      <c r="P9" s="24"/>
      <c r="Q9" s="25"/>
      <c r="R9" s="25"/>
      <c r="S9" s="28"/>
      <c r="T9" s="28"/>
      <c r="U9" s="28"/>
      <c r="V9" s="28"/>
      <c r="W9" s="28"/>
      <c r="X9" s="28"/>
      <c r="Y9" s="28"/>
      <c r="Z9" s="28"/>
      <c r="AA9" s="28"/>
      <c r="AB9" s="28"/>
      <c r="AC9" s="28"/>
      <c r="AD9" s="28"/>
      <c r="AE9" s="28"/>
    </row>
    <row r="10" ht="15.75" customHeight="1">
      <c r="A10" s="33"/>
      <c r="B10" s="35"/>
      <c r="C10" s="20"/>
      <c r="D10" s="35"/>
      <c r="E10" s="36"/>
      <c r="F10" s="35"/>
      <c r="G10" s="33"/>
      <c r="H10" s="33"/>
      <c r="I10" s="23"/>
      <c r="J10" s="24"/>
      <c r="K10" s="25"/>
      <c r="L10" s="25"/>
      <c r="M10" s="26"/>
      <c r="N10" s="24"/>
      <c r="O10" s="27"/>
      <c r="P10" s="24"/>
      <c r="Q10" s="25"/>
      <c r="R10" s="25"/>
      <c r="S10" s="28"/>
      <c r="T10" s="28"/>
      <c r="U10" s="28"/>
      <c r="V10" s="28"/>
      <c r="W10" s="28"/>
      <c r="X10" s="28"/>
      <c r="Y10" s="28"/>
      <c r="Z10" s="28"/>
      <c r="AA10" s="28"/>
      <c r="AB10" s="28"/>
      <c r="AC10" s="28"/>
      <c r="AD10" s="28"/>
      <c r="AE10" s="28"/>
    </row>
    <row r="11" ht="15.75" customHeight="1">
      <c r="A11" s="33"/>
      <c r="B11" s="35"/>
      <c r="C11" s="20"/>
      <c r="D11" s="35"/>
      <c r="E11" s="36"/>
      <c r="F11" s="35"/>
      <c r="G11" s="33"/>
      <c r="H11" s="33"/>
      <c r="I11" s="23"/>
      <c r="J11" s="24"/>
      <c r="K11" s="25"/>
      <c r="L11" s="25"/>
      <c r="M11" s="26"/>
      <c r="N11" s="24"/>
      <c r="O11" s="27"/>
      <c r="P11" s="24"/>
      <c r="Q11" s="25"/>
      <c r="R11" s="25"/>
      <c r="S11" s="28"/>
      <c r="T11" s="28"/>
      <c r="U11" s="28"/>
      <c r="V11" s="28"/>
      <c r="W11" s="28"/>
      <c r="X11" s="28"/>
      <c r="Y11" s="28"/>
      <c r="Z11" s="28"/>
      <c r="AA11" s="28"/>
      <c r="AB11" s="28"/>
      <c r="AC11" s="28"/>
      <c r="AD11" s="28"/>
      <c r="AE11" s="28"/>
    </row>
  </sheetData>
  <mergeCells count="4">
    <mergeCell ref="C1:C2"/>
    <mergeCell ref="I1:I2"/>
    <mergeCell ref="M1:M2"/>
    <mergeCell ref="O1:O2"/>
  </mergeCells>
  <hyperlinks>
    <hyperlink r:id="rId1" ref="F4"/>
    <hyperlink r:id="rId2" ref="F5"/>
    <hyperlink r:id="rId3" location="81" ref="F6"/>
    <hyperlink r:id="rId4" ref="F7"/>
  </hyperlinks>
  <printOptions/>
  <pageMargins bottom="0.75" footer="0.0" header="0.0" left="0.7" right="0.7" top="0.75"/>
  <pageSetup paperSize="3"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1.63"/>
    <col customWidth="1" min="2" max="2" width="38.38"/>
    <col customWidth="1" min="3" max="3" width="3.38"/>
    <col customWidth="1" min="4" max="4" width="28.0"/>
    <col customWidth="1" min="5" max="5" width="17.13"/>
    <col customWidth="1" min="6" max="6" width="27.13"/>
    <col customWidth="1" min="7" max="7" width="27.25"/>
    <col customWidth="1" min="8" max="8" width="21.25"/>
    <col customWidth="1" min="9" max="9" width="21.63"/>
    <col customWidth="1" hidden="1" min="10" max="10" width="7.0"/>
    <col customWidth="1" hidden="1" min="11" max="13" width="21.63"/>
    <col customWidth="1" min="14" max="14" width="3.38"/>
    <col customWidth="1" min="15" max="15" width="21.63"/>
    <col customWidth="1" min="16" max="16" width="3.38"/>
    <col customWidth="1" min="17" max="17" width="19.75"/>
    <col customWidth="1" min="18" max="18" width="23.38"/>
    <col customWidth="1" min="19" max="19" width="14.38"/>
    <col customWidth="1" min="20" max="20" width="12.25"/>
    <col customWidth="1" min="21" max="32" width="14.38"/>
  </cols>
  <sheetData>
    <row r="1" ht="15.75" customHeight="1">
      <c r="A1" s="37"/>
      <c r="B1" s="37" t="s">
        <v>1</v>
      </c>
      <c r="C1" s="38" t="s">
        <v>2</v>
      </c>
      <c r="D1" s="39" t="s">
        <v>3</v>
      </c>
      <c r="E1" s="39" t="s">
        <v>4</v>
      </c>
      <c r="F1" s="39" t="s">
        <v>49</v>
      </c>
      <c r="G1" s="39" t="s">
        <v>5</v>
      </c>
      <c r="H1" s="39" t="s">
        <v>6</v>
      </c>
      <c r="I1" s="39" t="s">
        <v>7</v>
      </c>
      <c r="J1" s="40" t="s">
        <v>8</v>
      </c>
      <c r="K1" s="41" t="s">
        <v>9</v>
      </c>
      <c r="L1" s="42" t="s">
        <v>10</v>
      </c>
      <c r="M1" s="42" t="s">
        <v>5</v>
      </c>
      <c r="N1" s="43" t="s">
        <v>11</v>
      </c>
      <c r="O1" s="44" t="s">
        <v>12</v>
      </c>
      <c r="P1" s="45" t="s">
        <v>13</v>
      </c>
      <c r="Q1" s="46" t="s">
        <v>14</v>
      </c>
      <c r="R1" s="47" t="s">
        <v>15</v>
      </c>
      <c r="S1" s="47" t="s">
        <v>16</v>
      </c>
      <c r="T1" s="47" t="s">
        <v>17</v>
      </c>
      <c r="U1" s="48" t="s">
        <v>50</v>
      </c>
      <c r="V1" s="13"/>
      <c r="W1" s="13"/>
      <c r="X1" s="13"/>
      <c r="Y1" s="13"/>
      <c r="Z1" s="13"/>
      <c r="AA1" s="13"/>
      <c r="AB1" s="13"/>
      <c r="AC1" s="13"/>
      <c r="AD1" s="13"/>
      <c r="AE1" s="13"/>
      <c r="AF1" s="13"/>
    </row>
    <row r="2">
      <c r="A2" s="49" t="s">
        <v>51</v>
      </c>
      <c r="B2" s="49" t="s">
        <v>19</v>
      </c>
      <c r="C2" s="15"/>
      <c r="D2" s="49" t="s">
        <v>52</v>
      </c>
      <c r="E2" s="49" t="s">
        <v>21</v>
      </c>
      <c r="F2" s="49"/>
      <c r="G2" s="49" t="s">
        <v>22</v>
      </c>
      <c r="H2" s="49" t="s">
        <v>23</v>
      </c>
      <c r="I2" s="49" t="s">
        <v>24</v>
      </c>
      <c r="J2" s="15"/>
      <c r="K2" s="50" t="s">
        <v>25</v>
      </c>
      <c r="L2" s="49" t="s">
        <v>26</v>
      </c>
      <c r="M2" s="49"/>
      <c r="N2" s="15"/>
      <c r="O2" s="50" t="s">
        <v>27</v>
      </c>
      <c r="P2" s="15"/>
      <c r="Q2" s="50"/>
      <c r="R2" s="49" t="s">
        <v>28</v>
      </c>
      <c r="S2" s="49" t="s">
        <v>29</v>
      </c>
      <c r="T2" s="49"/>
      <c r="U2" s="51" t="s">
        <v>53</v>
      </c>
      <c r="V2" s="14"/>
      <c r="W2" s="14"/>
      <c r="X2" s="14"/>
      <c r="Y2" s="14"/>
      <c r="Z2" s="14"/>
      <c r="AA2" s="14"/>
      <c r="AB2" s="14"/>
      <c r="AC2" s="14"/>
      <c r="AD2" s="14"/>
      <c r="AE2" s="14"/>
      <c r="AF2" s="14"/>
    </row>
    <row r="3">
      <c r="A3" s="30" t="s">
        <v>54</v>
      </c>
      <c r="B3" s="30" t="s">
        <v>55</v>
      </c>
      <c r="C3" s="52"/>
      <c r="D3" s="53" t="s">
        <v>56</v>
      </c>
      <c r="E3" s="31">
        <v>46187.0</v>
      </c>
      <c r="F3" s="30" t="s">
        <v>57</v>
      </c>
      <c r="G3" s="53" t="s">
        <v>58</v>
      </c>
      <c r="H3" s="30" t="s">
        <v>59</v>
      </c>
      <c r="I3" s="30" t="s">
        <v>60</v>
      </c>
      <c r="J3" s="54"/>
      <c r="K3" s="55"/>
      <c r="L3" s="35"/>
      <c r="M3" s="35"/>
      <c r="N3" s="56"/>
      <c r="O3" s="57" t="s">
        <v>61</v>
      </c>
      <c r="P3" s="58"/>
      <c r="Q3" s="57" t="s">
        <v>62</v>
      </c>
      <c r="R3" s="30" t="s">
        <v>63</v>
      </c>
      <c r="S3" s="30" t="s">
        <v>64</v>
      </c>
      <c r="T3" s="35"/>
      <c r="U3" s="35"/>
      <c r="V3" s="59"/>
      <c r="W3" s="59"/>
      <c r="X3" s="59"/>
      <c r="Y3" s="59"/>
      <c r="Z3" s="59"/>
      <c r="AA3" s="59"/>
      <c r="AB3" s="59"/>
      <c r="AC3" s="59"/>
      <c r="AD3" s="59"/>
      <c r="AE3" s="59"/>
      <c r="AF3" s="59"/>
    </row>
    <row r="4">
      <c r="A4" s="30" t="s">
        <v>65</v>
      </c>
      <c r="B4" s="30" t="s">
        <v>55</v>
      </c>
      <c r="C4" s="52"/>
      <c r="D4" s="53" t="s">
        <v>66</v>
      </c>
      <c r="E4" s="31">
        <v>46187.0</v>
      </c>
      <c r="F4" s="30" t="s">
        <v>67</v>
      </c>
      <c r="G4" s="60" t="s">
        <v>68</v>
      </c>
      <c r="H4" s="30" t="s">
        <v>69</v>
      </c>
      <c r="I4" s="30" t="s">
        <v>60</v>
      </c>
      <c r="J4" s="54"/>
      <c r="K4" s="55"/>
      <c r="L4" s="35"/>
      <c r="M4" s="35"/>
      <c r="N4" s="56"/>
      <c r="O4" s="57" t="s">
        <v>70</v>
      </c>
      <c r="P4" s="58"/>
      <c r="Q4" s="57" t="s">
        <v>71</v>
      </c>
      <c r="R4" s="30" t="s">
        <v>72</v>
      </c>
      <c r="S4" s="30" t="s">
        <v>73</v>
      </c>
      <c r="T4" s="35"/>
      <c r="U4" s="35"/>
      <c r="V4" s="59"/>
      <c r="W4" s="59"/>
      <c r="X4" s="59"/>
      <c r="Y4" s="59"/>
      <c r="Z4" s="59"/>
      <c r="AA4" s="59"/>
      <c r="AB4" s="59"/>
      <c r="AC4" s="59"/>
      <c r="AD4" s="59"/>
      <c r="AE4" s="59"/>
      <c r="AF4" s="59"/>
    </row>
    <row r="5">
      <c r="A5" s="30" t="s">
        <v>74</v>
      </c>
      <c r="B5" s="30" t="s">
        <v>55</v>
      </c>
      <c r="C5" s="52"/>
      <c r="D5" s="53" t="s">
        <v>75</v>
      </c>
      <c r="E5" s="31">
        <v>46187.0</v>
      </c>
      <c r="F5" s="30" t="s">
        <v>76</v>
      </c>
      <c r="G5" s="60" t="s">
        <v>77</v>
      </c>
      <c r="H5" s="30" t="s">
        <v>78</v>
      </c>
      <c r="I5" s="30" t="s">
        <v>60</v>
      </c>
      <c r="J5" s="54"/>
      <c r="K5" s="55"/>
      <c r="L5" s="35"/>
      <c r="M5" s="35"/>
      <c r="N5" s="56"/>
      <c r="O5" s="57" t="s">
        <v>79</v>
      </c>
      <c r="P5" s="58"/>
      <c r="Q5" s="57" t="s">
        <v>80</v>
      </c>
      <c r="R5" s="30" t="s">
        <v>81</v>
      </c>
      <c r="S5" s="30" t="s">
        <v>82</v>
      </c>
      <c r="T5" s="35"/>
      <c r="U5" s="35"/>
      <c r="V5" s="59"/>
      <c r="W5" s="59"/>
      <c r="X5" s="59"/>
      <c r="Y5" s="59"/>
      <c r="Z5" s="59"/>
      <c r="AA5" s="59"/>
      <c r="AB5" s="59"/>
      <c r="AC5" s="59"/>
      <c r="AD5" s="59"/>
      <c r="AE5" s="59"/>
      <c r="AF5" s="59"/>
    </row>
    <row r="6">
      <c r="A6" s="30" t="s">
        <v>83</v>
      </c>
      <c r="B6" s="30" t="s">
        <v>84</v>
      </c>
      <c r="C6" s="52"/>
      <c r="D6" s="53" t="s">
        <v>85</v>
      </c>
      <c r="E6" s="31">
        <v>46187.0</v>
      </c>
      <c r="F6" s="30" t="s">
        <v>86</v>
      </c>
      <c r="G6" s="61" t="s">
        <v>87</v>
      </c>
      <c r="H6" s="30" t="s">
        <v>88</v>
      </c>
      <c r="I6" s="30" t="s">
        <v>60</v>
      </c>
      <c r="J6" s="54"/>
      <c r="K6" s="55"/>
      <c r="L6" s="35"/>
      <c r="M6" s="35"/>
      <c r="N6" s="56"/>
      <c r="O6" s="57" t="s">
        <v>89</v>
      </c>
      <c r="P6" s="58"/>
      <c r="Q6" s="57" t="s">
        <v>90</v>
      </c>
      <c r="R6" s="30" t="s">
        <v>91</v>
      </c>
      <c r="S6" s="30" t="s">
        <v>92</v>
      </c>
      <c r="T6" s="35"/>
      <c r="U6" s="35"/>
      <c r="V6" s="59"/>
      <c r="W6" s="59"/>
      <c r="X6" s="59"/>
      <c r="Y6" s="59"/>
      <c r="Z6" s="59"/>
      <c r="AA6" s="59"/>
      <c r="AB6" s="59"/>
      <c r="AC6" s="59"/>
      <c r="AD6" s="59"/>
      <c r="AE6" s="59"/>
      <c r="AF6" s="59"/>
    </row>
    <row r="7">
      <c r="A7" s="30" t="s">
        <v>93</v>
      </c>
      <c r="B7" s="30" t="s">
        <v>94</v>
      </c>
      <c r="C7" s="52"/>
      <c r="D7" s="53" t="s">
        <v>95</v>
      </c>
      <c r="E7" s="31">
        <v>46187.0</v>
      </c>
      <c r="F7" s="30" t="s">
        <v>96</v>
      </c>
      <c r="G7" s="61" t="s">
        <v>97</v>
      </c>
      <c r="H7" s="30" t="s">
        <v>98</v>
      </c>
      <c r="I7" s="30" t="s">
        <v>60</v>
      </c>
      <c r="J7" s="54"/>
      <c r="K7" s="55"/>
      <c r="L7" s="35"/>
      <c r="M7" s="35"/>
      <c r="N7" s="56"/>
      <c r="O7" s="57" t="s">
        <v>99</v>
      </c>
      <c r="P7" s="58"/>
      <c r="Q7" s="57" t="s">
        <v>100</v>
      </c>
      <c r="R7" s="30" t="s">
        <v>101</v>
      </c>
      <c r="S7" s="30" t="s">
        <v>102</v>
      </c>
      <c r="T7" s="35"/>
      <c r="U7" s="35"/>
      <c r="V7" s="59"/>
      <c r="W7" s="59"/>
      <c r="X7" s="59"/>
      <c r="Y7" s="59"/>
      <c r="Z7" s="59"/>
      <c r="AA7" s="59"/>
      <c r="AB7" s="59"/>
      <c r="AC7" s="59"/>
      <c r="AD7" s="59"/>
      <c r="AE7" s="59"/>
      <c r="AF7" s="59"/>
    </row>
    <row r="8">
      <c r="A8" s="30" t="s">
        <v>103</v>
      </c>
      <c r="B8" s="62" t="s">
        <v>104</v>
      </c>
      <c r="C8" s="52"/>
      <c r="D8" s="53" t="s">
        <v>105</v>
      </c>
      <c r="E8" s="31">
        <v>46187.0</v>
      </c>
      <c r="F8" s="30" t="s">
        <v>106</v>
      </c>
      <c r="G8" s="61" t="s">
        <v>107</v>
      </c>
      <c r="H8" s="30" t="s">
        <v>108</v>
      </c>
      <c r="I8" s="30" t="s">
        <v>60</v>
      </c>
      <c r="J8" s="54"/>
      <c r="K8" s="55"/>
      <c r="L8" s="35"/>
      <c r="M8" s="35"/>
      <c r="N8" s="56"/>
      <c r="O8" s="57" t="s">
        <v>109</v>
      </c>
      <c r="P8" s="58"/>
      <c r="Q8" s="57" t="s">
        <v>110</v>
      </c>
      <c r="R8" s="30" t="s">
        <v>111</v>
      </c>
      <c r="S8" s="30" t="s">
        <v>112</v>
      </c>
      <c r="T8" s="35"/>
      <c r="U8" s="35"/>
      <c r="V8" s="59"/>
      <c r="W8" s="59"/>
      <c r="X8" s="59"/>
      <c r="Y8" s="59"/>
      <c r="Z8" s="59"/>
      <c r="AA8" s="59"/>
      <c r="AB8" s="59"/>
      <c r="AC8" s="59"/>
      <c r="AD8" s="59"/>
      <c r="AE8" s="59"/>
      <c r="AF8" s="59"/>
    </row>
    <row r="9">
      <c r="A9" s="63" t="s">
        <v>113</v>
      </c>
      <c r="B9" s="64" t="s">
        <v>114</v>
      </c>
      <c r="C9" s="65"/>
      <c r="D9" s="66" t="s">
        <v>115</v>
      </c>
      <c r="E9" s="31">
        <v>46189.0</v>
      </c>
      <c r="F9" s="30" t="s">
        <v>116</v>
      </c>
      <c r="G9" s="67" t="s">
        <v>117</v>
      </c>
      <c r="H9" s="30" t="s">
        <v>118</v>
      </c>
      <c r="I9" s="53" t="s">
        <v>60</v>
      </c>
      <c r="J9" s="54"/>
      <c r="K9" s="55"/>
      <c r="L9" s="35"/>
      <c r="M9" s="35"/>
      <c r="N9" s="56"/>
      <c r="O9" s="57" t="s">
        <v>119</v>
      </c>
      <c r="P9" s="58"/>
      <c r="Q9" s="53" t="s">
        <v>120</v>
      </c>
      <c r="R9" s="53" t="s">
        <v>121</v>
      </c>
      <c r="S9" s="53" t="s">
        <v>122</v>
      </c>
      <c r="T9" s="35"/>
      <c r="U9" s="35"/>
      <c r="V9" s="59"/>
      <c r="W9" s="59"/>
      <c r="X9" s="59"/>
      <c r="Y9" s="59"/>
      <c r="Z9" s="59"/>
      <c r="AA9" s="59"/>
      <c r="AB9" s="59"/>
      <c r="AC9" s="59"/>
      <c r="AD9" s="59"/>
      <c r="AE9" s="59"/>
      <c r="AF9" s="59"/>
    </row>
    <row r="10">
      <c r="A10" s="68" t="s">
        <v>123</v>
      </c>
      <c r="B10" s="69" t="s">
        <v>94</v>
      </c>
      <c r="C10" s="65"/>
      <c r="D10" s="53" t="s">
        <v>124</v>
      </c>
      <c r="E10" s="70">
        <v>46189.0</v>
      </c>
      <c r="F10" s="30" t="s">
        <v>125</v>
      </c>
      <c r="G10" s="71" t="s">
        <v>126</v>
      </c>
      <c r="H10" s="30" t="s">
        <v>127</v>
      </c>
      <c r="I10" s="30" t="s">
        <v>60</v>
      </c>
      <c r="J10" s="54"/>
      <c r="K10" s="55"/>
      <c r="L10" s="35"/>
      <c r="M10" s="35"/>
      <c r="N10" s="56"/>
      <c r="O10" s="57" t="s">
        <v>128</v>
      </c>
      <c r="P10" s="58"/>
      <c r="Q10" s="57" t="s">
        <v>129</v>
      </c>
      <c r="R10" s="30" t="s">
        <v>130</v>
      </c>
      <c r="S10" s="30" t="s">
        <v>131</v>
      </c>
      <c r="T10" s="35"/>
      <c r="U10" s="35"/>
      <c r="V10" s="33"/>
      <c r="W10" s="33"/>
      <c r="X10" s="33"/>
      <c r="Y10" s="33"/>
      <c r="Z10" s="33"/>
      <c r="AA10" s="33"/>
      <c r="AB10" s="33"/>
      <c r="AC10" s="33"/>
      <c r="AD10" s="33"/>
      <c r="AE10" s="33"/>
      <c r="AF10" s="33"/>
    </row>
    <row r="11">
      <c r="A11" s="30" t="s">
        <v>132</v>
      </c>
      <c r="B11" s="62" t="s">
        <v>133</v>
      </c>
      <c r="C11" s="52"/>
      <c r="D11" s="53" t="s">
        <v>134</v>
      </c>
      <c r="E11" s="70">
        <v>46189.0</v>
      </c>
      <c r="F11" s="30" t="s">
        <v>135</v>
      </c>
      <c r="G11" s="71" t="s">
        <v>136</v>
      </c>
      <c r="H11" s="30" t="s">
        <v>137</v>
      </c>
      <c r="I11" s="30" t="s">
        <v>60</v>
      </c>
      <c r="J11" s="54"/>
      <c r="K11" s="55"/>
      <c r="L11" s="35"/>
      <c r="M11" s="35"/>
      <c r="N11" s="56"/>
      <c r="O11" s="57" t="s">
        <v>138</v>
      </c>
      <c r="P11" s="58"/>
      <c r="Q11" s="57" t="s">
        <v>139</v>
      </c>
      <c r="R11" s="30" t="s">
        <v>140</v>
      </c>
      <c r="S11" s="30" t="s">
        <v>141</v>
      </c>
      <c r="T11" s="35"/>
      <c r="U11" s="35"/>
      <c r="V11" s="59"/>
      <c r="W11" s="59"/>
      <c r="X11" s="59"/>
      <c r="Y11" s="59"/>
      <c r="Z11" s="59"/>
      <c r="AA11" s="59"/>
      <c r="AB11" s="59"/>
      <c r="AC11" s="59"/>
      <c r="AD11" s="59"/>
      <c r="AE11" s="59"/>
      <c r="AF11" s="59"/>
    </row>
    <row r="12">
      <c r="A12" s="33"/>
      <c r="B12" s="72"/>
      <c r="C12" s="73"/>
      <c r="D12" s="74"/>
      <c r="E12" s="36"/>
      <c r="F12" s="36"/>
      <c r="G12" s="75"/>
      <c r="H12" s="35"/>
      <c r="I12" s="35"/>
      <c r="J12" s="76"/>
      <c r="K12" s="77"/>
      <c r="L12" s="78"/>
      <c r="M12" s="78"/>
      <c r="N12" s="79"/>
      <c r="O12" s="77"/>
      <c r="P12" s="80"/>
      <c r="Q12" s="55"/>
      <c r="R12" s="35"/>
      <c r="S12" s="35"/>
      <c r="T12" s="35"/>
      <c r="U12" s="78"/>
      <c r="V12" s="59"/>
      <c r="W12" s="59"/>
      <c r="X12" s="59"/>
      <c r="Y12" s="59"/>
      <c r="Z12" s="59"/>
      <c r="AA12" s="59"/>
      <c r="AB12" s="59"/>
      <c r="AC12" s="59"/>
      <c r="AD12" s="59"/>
      <c r="AE12" s="59"/>
      <c r="AF12" s="59"/>
    </row>
    <row r="13">
      <c r="A13" s="33"/>
      <c r="B13" s="72"/>
      <c r="C13" s="73"/>
      <c r="D13" s="74"/>
      <c r="E13" s="36"/>
      <c r="F13" s="36"/>
      <c r="G13" s="75"/>
      <c r="H13" s="35"/>
      <c r="I13" s="35"/>
      <c r="J13" s="76"/>
      <c r="K13" s="77"/>
      <c r="L13" s="78"/>
      <c r="M13" s="78"/>
      <c r="N13" s="79"/>
      <c r="O13" s="77"/>
      <c r="P13" s="80"/>
      <c r="Q13" s="55"/>
      <c r="R13" s="35"/>
      <c r="S13" s="35"/>
      <c r="T13" s="35"/>
      <c r="U13" s="78"/>
      <c r="V13" s="59"/>
      <c r="W13" s="59"/>
      <c r="X13" s="59"/>
      <c r="Y13" s="59"/>
      <c r="Z13" s="59"/>
      <c r="AA13" s="59"/>
      <c r="AB13" s="59"/>
      <c r="AC13" s="59"/>
      <c r="AD13" s="59"/>
      <c r="AE13" s="59"/>
      <c r="AF13" s="59"/>
    </row>
    <row r="14">
      <c r="A14" s="33"/>
      <c r="B14" s="81"/>
      <c r="C14" s="20"/>
      <c r="D14" s="74"/>
      <c r="E14" s="36"/>
      <c r="F14" s="36"/>
      <c r="G14" s="75"/>
      <c r="H14" s="35"/>
      <c r="I14" s="35"/>
      <c r="J14" s="23"/>
      <c r="K14" s="24"/>
      <c r="L14" s="25"/>
      <c r="M14" s="82"/>
      <c r="N14" s="26"/>
      <c r="O14" s="24"/>
      <c r="P14" s="27"/>
      <c r="Q14" s="55"/>
      <c r="R14" s="35"/>
      <c r="S14" s="35"/>
      <c r="T14" s="35"/>
      <c r="U14" s="25"/>
      <c r="V14" s="28"/>
      <c r="W14" s="28"/>
      <c r="X14" s="28"/>
      <c r="Y14" s="28"/>
      <c r="Z14" s="28"/>
      <c r="AA14" s="28"/>
      <c r="AB14" s="28"/>
      <c r="AC14" s="28"/>
      <c r="AD14" s="28"/>
      <c r="AE14" s="28"/>
      <c r="AF14" s="28"/>
    </row>
    <row r="15">
      <c r="A15" s="33"/>
      <c r="B15" s="83"/>
      <c r="C15" s="20"/>
      <c r="D15" s="74"/>
      <c r="E15" s="36"/>
      <c r="F15" s="36"/>
      <c r="G15" s="75"/>
      <c r="H15" s="35"/>
      <c r="I15" s="35"/>
      <c r="J15" s="23"/>
      <c r="K15" s="24"/>
      <c r="L15" s="25"/>
      <c r="M15" s="25"/>
      <c r="N15" s="26"/>
      <c r="O15" s="24"/>
      <c r="P15" s="27"/>
      <c r="Q15" s="55"/>
      <c r="R15" s="35"/>
      <c r="S15" s="35"/>
      <c r="T15" s="35"/>
      <c r="U15" s="25"/>
      <c r="V15" s="28"/>
      <c r="W15" s="28"/>
      <c r="X15" s="28"/>
      <c r="Y15" s="28"/>
      <c r="Z15" s="28"/>
      <c r="AA15" s="28"/>
      <c r="AB15" s="28"/>
      <c r="AC15" s="28"/>
      <c r="AD15" s="28"/>
      <c r="AE15" s="28"/>
      <c r="AF15" s="28"/>
    </row>
    <row r="16">
      <c r="A16" s="33"/>
      <c r="B16" s="83"/>
      <c r="C16" s="20"/>
      <c r="D16" s="74"/>
      <c r="E16" s="36"/>
      <c r="F16" s="36"/>
      <c r="G16" s="75"/>
      <c r="H16" s="35"/>
      <c r="I16" s="35"/>
      <c r="J16" s="23"/>
      <c r="K16" s="24"/>
      <c r="L16" s="25"/>
      <c r="M16" s="25"/>
      <c r="N16" s="26"/>
      <c r="O16" s="24"/>
      <c r="P16" s="27"/>
      <c r="Q16" s="55"/>
      <c r="R16" s="35"/>
      <c r="S16" s="35"/>
      <c r="T16" s="35"/>
      <c r="U16" s="25"/>
      <c r="V16" s="28"/>
      <c r="W16" s="28"/>
      <c r="X16" s="28"/>
      <c r="Y16" s="28"/>
      <c r="Z16" s="28"/>
      <c r="AA16" s="28"/>
      <c r="AB16" s="28"/>
      <c r="AC16" s="28"/>
      <c r="AD16" s="28"/>
      <c r="AE16" s="28"/>
      <c r="AF16" s="28"/>
    </row>
    <row r="17">
      <c r="A17" s="33"/>
      <c r="B17" s="83"/>
      <c r="C17" s="20"/>
      <c r="D17" s="74"/>
      <c r="E17" s="36"/>
      <c r="F17" s="36"/>
      <c r="G17" s="75"/>
      <c r="H17" s="35"/>
      <c r="I17" s="35"/>
      <c r="J17" s="23"/>
      <c r="K17" s="24"/>
      <c r="L17" s="25"/>
      <c r="M17" s="82"/>
      <c r="N17" s="26"/>
      <c r="O17" s="24"/>
      <c r="P17" s="27"/>
      <c r="Q17" s="55"/>
      <c r="R17" s="35"/>
      <c r="S17" s="35"/>
      <c r="T17" s="35"/>
      <c r="U17" s="25"/>
      <c r="V17" s="28"/>
      <c r="W17" s="28"/>
      <c r="X17" s="28"/>
      <c r="Y17" s="28"/>
      <c r="Z17" s="28"/>
      <c r="AA17" s="28"/>
      <c r="AB17" s="28"/>
      <c r="AC17" s="28"/>
      <c r="AD17" s="28"/>
      <c r="AE17" s="28"/>
      <c r="AF17" s="28"/>
    </row>
    <row r="18">
      <c r="A18" s="33"/>
      <c r="B18" s="83"/>
      <c r="C18" s="20"/>
      <c r="D18" s="84"/>
      <c r="E18" s="36"/>
      <c r="F18" s="36"/>
      <c r="G18" s="75"/>
      <c r="H18" s="35"/>
      <c r="I18" s="35"/>
      <c r="J18" s="23"/>
      <c r="K18" s="24"/>
      <c r="L18" s="25"/>
      <c r="M18" s="25"/>
      <c r="N18" s="26"/>
      <c r="O18" s="24"/>
      <c r="P18" s="27"/>
      <c r="Q18" s="55"/>
      <c r="R18" s="35"/>
      <c r="S18" s="35"/>
      <c r="T18" s="35"/>
      <c r="U18" s="25"/>
      <c r="V18" s="28"/>
      <c r="W18" s="28"/>
      <c r="X18" s="28"/>
      <c r="Y18" s="28"/>
      <c r="Z18" s="28"/>
      <c r="AA18" s="28"/>
      <c r="AB18" s="28"/>
      <c r="AC18" s="28"/>
      <c r="AD18" s="28"/>
      <c r="AE18" s="28"/>
      <c r="AF18" s="28"/>
    </row>
  </sheetData>
  <mergeCells count="4">
    <mergeCell ref="C1:C2"/>
    <mergeCell ref="J1:J2"/>
    <mergeCell ref="N1:N2"/>
    <mergeCell ref="P1:P2"/>
  </mergeCells>
  <hyperlinks>
    <hyperlink r:id="rId1" ref="G4"/>
    <hyperlink r:id="rId2" ref="G5"/>
  </hyperlinks>
  <printOptions/>
  <pageMargins bottom="0.75" footer="0.0" header="0.0" left="0.7" right="0.7" top="0.75"/>
  <pageSetup paperSize="3"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8.63"/>
    <col customWidth="1" min="3" max="3" width="14.63"/>
    <col customWidth="1" min="4" max="4" width="10.88"/>
    <col customWidth="1" min="5" max="5" width="13.88"/>
    <col customWidth="1" min="6" max="6" width="12.75"/>
    <col customWidth="1" min="7" max="7" width="15.38"/>
    <col customWidth="1" min="8" max="8" width="13.13"/>
    <col customWidth="1" min="9" max="9" width="17.13"/>
    <col customWidth="1" min="10" max="10" width="14.88"/>
    <col customWidth="1" min="11" max="11" width="16.75"/>
    <col customWidth="1" min="12" max="12" width="8.63"/>
  </cols>
  <sheetData>
    <row r="1" ht="12.75" customHeight="1">
      <c r="A1" s="85" t="s">
        <v>142</v>
      </c>
      <c r="B1" s="85" t="s">
        <v>143</v>
      </c>
      <c r="C1" s="85" t="s">
        <v>144</v>
      </c>
      <c r="D1" s="85" t="s">
        <v>145</v>
      </c>
      <c r="E1" s="85" t="s">
        <v>146</v>
      </c>
      <c r="F1" s="85" t="s">
        <v>147</v>
      </c>
      <c r="G1" s="85" t="s">
        <v>148</v>
      </c>
      <c r="H1" s="85" t="s">
        <v>149</v>
      </c>
      <c r="I1" s="85" t="s">
        <v>150</v>
      </c>
      <c r="J1" s="85" t="s">
        <v>151</v>
      </c>
      <c r="K1" s="85" t="s">
        <v>152</v>
      </c>
    </row>
    <row r="2" ht="12.75" customHeight="1">
      <c r="A2" s="86"/>
    </row>
    <row r="3" ht="12.75" customHeight="1">
      <c r="A3" s="86"/>
    </row>
    <row r="4" ht="12.75" customHeight="1">
      <c r="A4" s="86"/>
    </row>
    <row r="5" ht="12.75" customHeight="1"/>
    <row r="6" ht="12.75" customHeight="1"/>
    <row r="7" ht="12.75" customHeight="1"/>
    <row r="8"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21.63"/>
    <col customWidth="1" min="3" max="5" width="28.75"/>
    <col customWidth="1" min="6" max="9" width="21.63"/>
  </cols>
  <sheetData>
    <row r="1" ht="15.75" customHeight="1">
      <c r="A1" s="87" t="s">
        <v>1</v>
      </c>
      <c r="B1" s="87" t="s">
        <v>153</v>
      </c>
      <c r="C1" s="87" t="s">
        <v>154</v>
      </c>
      <c r="D1" s="87" t="s">
        <v>155</v>
      </c>
      <c r="E1" s="87" t="s">
        <v>156</v>
      </c>
      <c r="F1" s="87" t="s">
        <v>157</v>
      </c>
      <c r="G1" s="87" t="s">
        <v>158</v>
      </c>
      <c r="H1" s="87" t="s">
        <v>4</v>
      </c>
      <c r="I1" s="88" t="s">
        <v>159</v>
      </c>
    </row>
    <row r="2" ht="15.75" customHeight="1">
      <c r="A2" s="28" t="str">
        <f>Requirements!B3</f>
        <v>System [Mission level]</v>
      </c>
      <c r="B2" s="28" t="str">
        <f>Requirements!A3</f>
        <v>REQ.01.01</v>
      </c>
      <c r="C2" s="89"/>
      <c r="D2" s="89"/>
      <c r="E2" s="89"/>
      <c r="F2" s="74"/>
      <c r="G2" s="74"/>
      <c r="H2" s="90"/>
      <c r="I2" s="89" t="s">
        <v>160</v>
      </c>
    </row>
    <row r="3" ht="15.75" customHeight="1">
      <c r="A3" s="28" t="str">
        <f>Requirements!B12</f>
        <v/>
      </c>
      <c r="B3" s="28" t="str">
        <f>Requirements!A12</f>
        <v/>
      </c>
      <c r="C3" s="89"/>
      <c r="D3" s="89"/>
      <c r="E3" s="89"/>
      <c r="F3" s="74"/>
      <c r="G3" s="74"/>
      <c r="H3" s="90"/>
      <c r="I3" s="90" t="s">
        <v>161</v>
      </c>
    </row>
    <row r="4" ht="15.75" customHeight="1">
      <c r="A4" s="28" t="str">
        <f t="shared" ref="A4:B4" si="1">#REF!</f>
        <v>#REF!</v>
      </c>
      <c r="B4" s="28" t="str">
        <f t="shared" si="1"/>
        <v>#REF!</v>
      </c>
      <c r="C4" s="89"/>
      <c r="D4" s="89"/>
      <c r="E4" s="89"/>
      <c r="F4" s="74"/>
      <c r="G4" s="74"/>
      <c r="H4" s="90"/>
      <c r="I4" s="90" t="s">
        <v>162</v>
      </c>
    </row>
    <row r="5" ht="15.75" customHeight="1">
      <c r="A5" s="28" t="str">
        <f t="shared" ref="A5:B5" si="2">#REF!</f>
        <v>#REF!</v>
      </c>
      <c r="B5" s="28" t="str">
        <f t="shared" si="2"/>
        <v>#REF!</v>
      </c>
      <c r="C5" s="89"/>
      <c r="D5" s="89"/>
      <c r="E5" s="89"/>
      <c r="F5" s="74"/>
      <c r="G5" s="74"/>
      <c r="H5" s="90"/>
      <c r="I5" s="90" t="s">
        <v>163</v>
      </c>
    </row>
    <row r="6" ht="15.75" customHeight="1">
      <c r="A6" s="28" t="str">
        <f>Requirements!B13</f>
        <v/>
      </c>
      <c r="B6" s="28" t="str">
        <f>Requirements!A13</f>
        <v/>
      </c>
      <c r="C6" s="89"/>
      <c r="D6" s="89"/>
      <c r="E6" s="89"/>
      <c r="F6" s="74"/>
      <c r="G6" s="74"/>
      <c r="H6" s="90"/>
      <c r="I6" s="90" t="s">
        <v>164</v>
      </c>
    </row>
    <row r="7" ht="15.75" customHeight="1">
      <c r="A7" s="28" t="str">
        <f>Requirements!B14</f>
        <v/>
      </c>
      <c r="B7" s="28" t="str">
        <f>Requirements!A14</f>
        <v/>
      </c>
      <c r="C7" s="89"/>
      <c r="D7" s="89"/>
      <c r="E7" s="89"/>
      <c r="F7" s="74"/>
      <c r="G7" s="74"/>
      <c r="H7" s="90"/>
      <c r="I7" s="90"/>
    </row>
    <row r="8" ht="15.75" customHeight="1">
      <c r="A8" s="28" t="str">
        <f t="shared" ref="A8:B8" si="3">#REF!</f>
        <v>#REF!</v>
      </c>
      <c r="B8" s="28" t="str">
        <f t="shared" si="3"/>
        <v>#REF!</v>
      </c>
      <c r="C8" s="89"/>
      <c r="D8" s="89"/>
      <c r="E8" s="89"/>
      <c r="F8" s="74"/>
      <c r="G8" s="74"/>
      <c r="H8" s="90"/>
      <c r="I8" s="90"/>
    </row>
    <row r="9" ht="15.75" customHeight="1">
      <c r="A9" s="28" t="str">
        <f t="shared" ref="A9:B9" si="4">#REF!</f>
        <v>#REF!</v>
      </c>
      <c r="B9" s="28" t="str">
        <f t="shared" si="4"/>
        <v>#REF!</v>
      </c>
      <c r="C9" s="89"/>
      <c r="D9" s="89"/>
      <c r="E9" s="89"/>
      <c r="F9" s="74"/>
      <c r="G9" s="74"/>
      <c r="H9" s="90"/>
      <c r="I9" s="90"/>
    </row>
    <row r="10" ht="15.75" customHeight="1">
      <c r="A10" s="28" t="str">
        <f>Requirements!B15</f>
        <v/>
      </c>
      <c r="B10" s="28" t="str">
        <f>Requirements!A15</f>
        <v/>
      </c>
      <c r="C10" s="89"/>
      <c r="D10" s="89"/>
      <c r="E10" s="89"/>
      <c r="F10" s="74"/>
      <c r="G10" s="74"/>
      <c r="H10" s="90"/>
      <c r="I10" s="90"/>
    </row>
    <row r="11" ht="15.75" customHeight="1">
      <c r="A11" s="28" t="str">
        <f>Requirements!B16</f>
        <v/>
      </c>
      <c r="B11" s="28" t="str">
        <f>Requirements!A16</f>
        <v/>
      </c>
      <c r="C11" s="89"/>
      <c r="D11" s="89"/>
      <c r="E11" s="89"/>
      <c r="F11" s="74"/>
      <c r="G11" s="74"/>
      <c r="H11" s="90"/>
      <c r="I11" s="90"/>
    </row>
    <row r="12" ht="15.75" customHeight="1">
      <c r="A12" s="28" t="str">
        <f>Requirements!B17</f>
        <v/>
      </c>
      <c r="B12" s="28" t="str">
        <f>Requirements!A17</f>
        <v/>
      </c>
      <c r="C12" s="89"/>
      <c r="D12" s="89"/>
      <c r="E12" s="89"/>
      <c r="F12" s="74"/>
      <c r="G12" s="74"/>
      <c r="H12" s="90"/>
      <c r="I12" s="90"/>
    </row>
    <row r="13" ht="15.75" customHeight="1">
      <c r="A13" s="28" t="str">
        <f>Requirements!B18</f>
        <v/>
      </c>
      <c r="B13" s="28" t="str">
        <f>Requirements!A18</f>
        <v/>
      </c>
      <c r="C13" s="89"/>
      <c r="D13" s="89"/>
      <c r="E13" s="91"/>
      <c r="F13" s="89"/>
      <c r="G13" s="74"/>
      <c r="H13" s="90"/>
      <c r="I13" s="90"/>
    </row>
    <row r="14" ht="15.75" customHeight="1">
      <c r="A14" s="28" t="str">
        <f t="shared" ref="A14:B14" si="5">#REF!</f>
        <v>#REF!</v>
      </c>
      <c r="B14" s="28" t="str">
        <f t="shared" si="5"/>
        <v>#REF!</v>
      </c>
      <c r="C14" s="89"/>
      <c r="D14" s="89"/>
      <c r="E14" s="91"/>
      <c r="F14" s="89"/>
      <c r="G14" s="74"/>
      <c r="H14" s="90"/>
      <c r="I14" s="90"/>
    </row>
    <row r="15" ht="15.75" customHeight="1">
      <c r="A15" s="28" t="str">
        <f t="shared" ref="A15:B15" si="6">#REF!</f>
        <v>#REF!</v>
      </c>
      <c r="B15" s="28" t="str">
        <f t="shared" si="6"/>
        <v>#REF!</v>
      </c>
      <c r="C15" s="89"/>
      <c r="D15" s="89"/>
      <c r="E15" s="91"/>
      <c r="F15" s="89"/>
      <c r="G15" s="35"/>
      <c r="H15" s="92"/>
      <c r="I15" s="92"/>
    </row>
    <row r="16" ht="15.75" customHeight="1">
      <c r="A16" s="28" t="str">
        <f t="shared" ref="A16:B16" si="7">#REF!</f>
        <v>#REF!</v>
      </c>
      <c r="B16" s="28" t="str">
        <f t="shared" si="7"/>
        <v>#REF!</v>
      </c>
      <c r="C16" s="89"/>
      <c r="D16" s="89"/>
      <c r="E16" s="91"/>
      <c r="F16" s="89"/>
      <c r="G16" s="74"/>
      <c r="H16" s="90"/>
      <c r="I16" s="90"/>
    </row>
    <row r="17" ht="15.75" customHeight="1">
      <c r="A17" s="28" t="str">
        <f t="shared" ref="A17:B17" si="8">#REF!</f>
        <v>#REF!</v>
      </c>
      <c r="B17" s="28" t="str">
        <f t="shared" si="8"/>
        <v>#REF!</v>
      </c>
      <c r="C17" s="89"/>
      <c r="D17" s="89"/>
      <c r="E17" s="89"/>
      <c r="F17" s="74"/>
      <c r="G17" s="74"/>
      <c r="H17" s="90"/>
      <c r="I17" s="90"/>
    </row>
    <row r="18" ht="15.75" customHeight="1">
      <c r="A18" s="28" t="str">
        <f t="shared" ref="A18:B18" si="9">#REF!</f>
        <v>#REF!</v>
      </c>
      <c r="B18" s="28" t="str">
        <f t="shared" si="9"/>
        <v>#REF!</v>
      </c>
      <c r="C18" s="89"/>
      <c r="D18" s="89"/>
      <c r="E18" s="89"/>
      <c r="F18" s="74"/>
      <c r="G18" s="74"/>
      <c r="H18" s="93"/>
      <c r="I18" s="90"/>
    </row>
    <row r="19" ht="15.75" customHeight="1">
      <c r="A19" s="28" t="str">
        <f t="shared" ref="A19:B19" si="10">#REF!</f>
        <v>#REF!</v>
      </c>
      <c r="B19" s="28" t="str">
        <f t="shared" si="10"/>
        <v>#REF!</v>
      </c>
      <c r="C19" s="89"/>
      <c r="D19" s="89"/>
      <c r="E19" s="89"/>
      <c r="F19" s="74"/>
      <c r="G19" s="74"/>
      <c r="H19" s="90"/>
      <c r="I19" s="90"/>
    </row>
    <row r="20" ht="15.75" customHeight="1">
      <c r="A20" s="28" t="str">
        <f t="shared" ref="A20:B20" si="11">#REF!</f>
        <v>#REF!</v>
      </c>
      <c r="B20" s="28" t="str">
        <f t="shared" si="11"/>
        <v>#REF!</v>
      </c>
      <c r="C20" s="89"/>
      <c r="D20" s="89"/>
      <c r="E20" s="89"/>
      <c r="F20" s="74"/>
      <c r="G20" s="74"/>
      <c r="H20" s="94"/>
      <c r="I20" s="90"/>
    </row>
    <row r="21" ht="15.75" customHeight="1">
      <c r="A21" s="28" t="str">
        <f t="shared" ref="A21:B21" si="12">#REF!</f>
        <v>#REF!</v>
      </c>
      <c r="B21" s="28" t="str">
        <f t="shared" si="12"/>
        <v>#REF!</v>
      </c>
      <c r="C21" s="89"/>
      <c r="D21" s="89"/>
      <c r="E21" s="89"/>
      <c r="F21" s="74"/>
      <c r="G21" s="74"/>
      <c r="H21" s="90"/>
      <c r="I21" s="90"/>
    </row>
    <row r="22" ht="15.75" customHeight="1">
      <c r="A22" s="28" t="str">
        <f t="shared" ref="A22:B22" si="13">#REF!</f>
        <v>#REF!</v>
      </c>
      <c r="B22" s="28" t="str">
        <f t="shared" si="13"/>
        <v>#REF!</v>
      </c>
      <c r="C22" s="89"/>
      <c r="D22" s="89"/>
      <c r="E22" s="89"/>
      <c r="F22" s="74"/>
      <c r="G22" s="74"/>
      <c r="H22" s="90"/>
      <c r="I22" s="90"/>
    </row>
    <row r="23" ht="15.75" customHeight="1">
      <c r="A23" s="28" t="str">
        <f t="shared" ref="A23:B23" si="14">#REF!</f>
        <v>#REF!</v>
      </c>
      <c r="B23" s="28" t="str">
        <f t="shared" si="14"/>
        <v>#REF!</v>
      </c>
      <c r="C23" s="89"/>
      <c r="D23" s="89"/>
      <c r="E23" s="89"/>
      <c r="F23" s="74"/>
      <c r="G23" s="74"/>
      <c r="H23" s="90"/>
      <c r="I23" s="90"/>
    </row>
    <row r="24" ht="15.75" customHeight="1">
      <c r="A24" s="28" t="str">
        <f t="shared" ref="A24:B24" si="15">#REF!</f>
        <v>#REF!</v>
      </c>
      <c r="B24" s="28" t="str">
        <f t="shared" si="15"/>
        <v>#REF!</v>
      </c>
      <c r="C24" s="89"/>
      <c r="D24" s="89"/>
      <c r="E24" s="89"/>
      <c r="F24" s="74"/>
      <c r="G24" s="74"/>
      <c r="H24" s="90"/>
      <c r="I24" s="90"/>
    </row>
    <row r="25" ht="56.25" customHeight="1">
      <c r="A25" s="28" t="str">
        <f t="shared" ref="A25:B25" si="16">#REF!</f>
        <v>#REF!</v>
      </c>
      <c r="B25" s="28" t="str">
        <f t="shared" si="16"/>
        <v>#REF!</v>
      </c>
      <c r="C25" s="89"/>
      <c r="D25" s="89"/>
      <c r="E25" s="89"/>
      <c r="F25" s="74"/>
      <c r="G25" s="74"/>
      <c r="H25" s="90"/>
      <c r="I25" s="90"/>
    </row>
    <row r="26" ht="56.25" customHeight="1">
      <c r="A26" s="28" t="str">
        <f t="shared" ref="A26:B26" si="17">#REF!</f>
        <v>#REF!</v>
      </c>
      <c r="B26" s="28" t="str">
        <f t="shared" si="17"/>
        <v>#REF!</v>
      </c>
      <c r="C26" s="89"/>
      <c r="D26" s="89"/>
      <c r="E26" s="89"/>
      <c r="F26" s="74"/>
      <c r="G26" s="74"/>
      <c r="H26" s="90"/>
      <c r="I26" s="90"/>
    </row>
    <row r="27" ht="15.75" customHeight="1">
      <c r="A27" s="28" t="str">
        <f t="shared" ref="A27:B27" si="18">#REF!</f>
        <v>#REF!</v>
      </c>
      <c r="B27" s="28" t="str">
        <f t="shared" si="18"/>
        <v>#REF!</v>
      </c>
      <c r="C27" s="89"/>
      <c r="D27" s="89"/>
      <c r="E27" s="89"/>
      <c r="F27" s="89"/>
      <c r="G27" s="74"/>
      <c r="H27" s="90"/>
      <c r="I27" s="90"/>
    </row>
    <row r="28" ht="15.75" customHeight="1">
      <c r="A28" s="28" t="str">
        <f t="shared" ref="A28:B28" si="19">#REF!</f>
        <v>#REF!</v>
      </c>
      <c r="B28" s="28" t="str">
        <f t="shared" si="19"/>
        <v>#REF!</v>
      </c>
      <c r="C28" s="89"/>
      <c r="D28" s="89"/>
      <c r="E28" s="89"/>
      <c r="F28" s="89"/>
      <c r="G28" s="74"/>
      <c r="H28" s="90"/>
      <c r="I28" s="90"/>
    </row>
    <row r="29" ht="15.75" customHeight="1">
      <c r="A29" s="28" t="str">
        <f t="shared" ref="A29:B29" si="20">#REF!</f>
        <v>#REF!</v>
      </c>
      <c r="B29" s="28" t="str">
        <f t="shared" si="20"/>
        <v>#REF!</v>
      </c>
      <c r="C29" s="89"/>
      <c r="D29" s="89"/>
      <c r="E29" s="89"/>
      <c r="F29" s="74"/>
      <c r="G29" s="74"/>
      <c r="H29" s="90"/>
      <c r="I29" s="90"/>
    </row>
    <row r="30" ht="15.75" customHeight="1">
      <c r="A30" s="28" t="str">
        <f t="shared" ref="A30:B30" si="21">#REF!</f>
        <v>#REF!</v>
      </c>
      <c r="B30" s="28" t="str">
        <f t="shared" si="21"/>
        <v>#REF!</v>
      </c>
      <c r="C30" s="89"/>
      <c r="D30" s="89"/>
      <c r="E30" s="89"/>
      <c r="F30" s="35"/>
      <c r="G30" s="35"/>
      <c r="H30" s="95"/>
      <c r="I30" s="92"/>
    </row>
    <row r="31" ht="15.75" customHeight="1">
      <c r="A31" s="28" t="str">
        <f t="shared" ref="A31:B31" si="22">#REF!</f>
        <v>#REF!</v>
      </c>
      <c r="B31" s="28" t="str">
        <f t="shared" si="22"/>
        <v>#REF!</v>
      </c>
      <c r="C31" s="89"/>
      <c r="D31" s="89"/>
      <c r="E31" s="89"/>
      <c r="F31" s="74"/>
      <c r="G31" s="74"/>
      <c r="H31" s="96"/>
      <c r="I31" s="90"/>
    </row>
    <row r="32" ht="15.75" customHeight="1">
      <c r="A32" s="28" t="str">
        <f t="shared" ref="A32:B32" si="23">#REF!</f>
        <v>#REF!</v>
      </c>
      <c r="B32" s="28" t="str">
        <f t="shared" si="23"/>
        <v>#REF!</v>
      </c>
      <c r="C32" s="89"/>
      <c r="D32" s="89"/>
      <c r="E32" s="89"/>
      <c r="F32" s="74"/>
      <c r="G32" s="74"/>
      <c r="H32" s="90"/>
      <c r="I32" s="90"/>
    </row>
    <row r="33" ht="15.75" customHeight="1">
      <c r="A33" s="28" t="str">
        <f t="shared" ref="A33:B33" si="24">#REF!</f>
        <v>#REF!</v>
      </c>
      <c r="B33" s="28" t="str">
        <f t="shared" si="24"/>
        <v>#REF!</v>
      </c>
      <c r="C33" s="89"/>
      <c r="D33" s="89"/>
      <c r="E33" s="89"/>
      <c r="F33" s="74"/>
      <c r="G33" s="74"/>
      <c r="H33" s="90"/>
      <c r="I33" s="90"/>
    </row>
    <row r="34" ht="15.75" customHeight="1">
      <c r="A34" s="28" t="str">
        <f t="shared" ref="A34:B34" si="25">#REF!</f>
        <v>#REF!</v>
      </c>
      <c r="B34" s="28" t="str">
        <f t="shared" si="25"/>
        <v>#REF!</v>
      </c>
      <c r="C34" s="89"/>
      <c r="D34" s="89"/>
      <c r="E34" s="89"/>
      <c r="F34" s="74"/>
      <c r="G34" s="74"/>
      <c r="H34" s="90"/>
      <c r="I34" s="90"/>
    </row>
    <row r="35" ht="15.75" customHeight="1">
      <c r="A35" s="28" t="str">
        <f t="shared" ref="A35:B35" si="26">#REF!</f>
        <v>#REF!</v>
      </c>
      <c r="B35" s="28" t="str">
        <f t="shared" si="26"/>
        <v>#REF!</v>
      </c>
      <c r="C35" s="89"/>
      <c r="D35" s="89"/>
      <c r="E35" s="91"/>
      <c r="F35" s="74"/>
      <c r="G35" s="74"/>
      <c r="H35" s="90"/>
      <c r="I35" s="90"/>
    </row>
    <row r="36" ht="15.75" customHeight="1">
      <c r="A36" s="28" t="str">
        <f t="shared" ref="A36:B36" si="27">#REF!</f>
        <v>#REF!</v>
      </c>
      <c r="B36" s="28" t="str">
        <f t="shared" si="27"/>
        <v>#REF!</v>
      </c>
      <c r="C36" s="89"/>
      <c r="D36" s="89"/>
      <c r="E36" s="91"/>
      <c r="F36" s="74"/>
      <c r="G36" s="74"/>
      <c r="H36" s="90"/>
      <c r="I36" s="90"/>
    </row>
    <row r="37" ht="15.75" customHeight="1">
      <c r="A37" s="28"/>
      <c r="B37" s="28"/>
      <c r="C37" s="25"/>
      <c r="D37" s="25"/>
      <c r="E37" s="25"/>
      <c r="F37" s="35"/>
      <c r="G37" s="35"/>
      <c r="H37" s="92"/>
      <c r="I37" s="92"/>
    </row>
    <row r="38" ht="15.75" customHeight="1">
      <c r="A38" s="28" t="str">
        <f t="shared" ref="A38:B38" si="28">#REF!</f>
        <v>#REF!</v>
      </c>
      <c r="B38" s="28" t="str">
        <f t="shared" si="28"/>
        <v>#REF!</v>
      </c>
      <c r="C38" s="89"/>
      <c r="D38" s="89"/>
      <c r="E38" s="89"/>
      <c r="F38" s="35"/>
      <c r="G38" s="35"/>
      <c r="H38" s="90"/>
      <c r="I38" s="92"/>
    </row>
    <row r="39" ht="15.75" customHeight="1">
      <c r="A39" s="28" t="str">
        <f t="shared" ref="A39:B39" si="29">#REF!</f>
        <v>#REF!</v>
      </c>
      <c r="B39" s="28" t="str">
        <f t="shared" si="29"/>
        <v>#REF!</v>
      </c>
      <c r="C39" s="89"/>
      <c r="D39" s="89"/>
      <c r="E39" s="89"/>
      <c r="F39" s="35"/>
      <c r="G39" s="35"/>
      <c r="H39" s="90"/>
      <c r="I39" s="92"/>
    </row>
    <row r="40" ht="15.75" customHeight="1">
      <c r="A40" s="28"/>
      <c r="B40" s="28"/>
      <c r="C40" s="25"/>
      <c r="D40" s="25"/>
      <c r="E40" s="25"/>
      <c r="F40" s="35"/>
      <c r="G40" s="35"/>
      <c r="H40" s="92"/>
      <c r="I40" s="92"/>
    </row>
    <row r="41" ht="15.75" customHeight="1">
      <c r="A41" s="28"/>
      <c r="B41" s="28"/>
      <c r="C41" s="25"/>
      <c r="D41" s="25"/>
      <c r="E41" s="25"/>
      <c r="F41" s="35"/>
      <c r="G41" s="35"/>
      <c r="H41" s="92"/>
      <c r="I41" s="92"/>
    </row>
    <row r="42" ht="15.75" customHeight="1">
      <c r="A42" s="28"/>
      <c r="B42" s="28"/>
      <c r="C42" s="25"/>
      <c r="D42" s="25"/>
      <c r="E42" s="25"/>
      <c r="F42" s="35"/>
      <c r="G42" s="35"/>
      <c r="H42" s="92"/>
      <c r="I42" s="92"/>
    </row>
    <row r="43" ht="15.75" customHeight="1">
      <c r="A43" s="28"/>
      <c r="B43" s="28"/>
      <c r="C43" s="25"/>
      <c r="D43" s="25"/>
      <c r="E43" s="25"/>
      <c r="F43" s="35"/>
      <c r="G43" s="35"/>
      <c r="H43" s="92"/>
      <c r="I43" s="92"/>
    </row>
    <row r="44" ht="15.75" customHeight="1">
      <c r="A44" s="28"/>
      <c r="B44" s="28"/>
      <c r="C44" s="25"/>
      <c r="D44" s="25"/>
      <c r="E44" s="25"/>
      <c r="F44" s="35"/>
      <c r="G44" s="35"/>
      <c r="H44" s="92"/>
      <c r="I44" s="92"/>
    </row>
    <row r="45" ht="15.75" customHeight="1">
      <c r="A45" s="28"/>
      <c r="B45" s="28"/>
      <c r="C45" s="25"/>
      <c r="D45" s="25"/>
      <c r="E45" s="25"/>
      <c r="F45" s="35"/>
      <c r="G45" s="35"/>
      <c r="H45" s="92"/>
      <c r="I45" s="92"/>
    </row>
    <row r="46" ht="15.75" customHeight="1">
      <c r="A46" s="28"/>
      <c r="B46" s="28"/>
      <c r="C46" s="25"/>
      <c r="D46" s="25"/>
      <c r="E46" s="25"/>
      <c r="F46" s="35"/>
      <c r="G46" s="35"/>
      <c r="H46" s="92"/>
      <c r="I46" s="92"/>
    </row>
    <row r="47" ht="15.75" customHeight="1">
      <c r="A47" s="28"/>
      <c r="B47" s="28"/>
      <c r="C47" s="25"/>
      <c r="D47" s="25"/>
      <c r="E47" s="25"/>
      <c r="F47" s="35"/>
      <c r="G47" s="35"/>
      <c r="H47" s="92"/>
      <c r="I47" s="92"/>
    </row>
    <row r="48" ht="15.75" customHeight="1">
      <c r="A48" s="28"/>
      <c r="B48" s="28"/>
      <c r="C48" s="25"/>
      <c r="D48" s="25"/>
      <c r="E48" s="25"/>
      <c r="F48" s="35"/>
      <c r="G48" s="35"/>
      <c r="H48" s="92"/>
      <c r="I48" s="92"/>
    </row>
    <row r="49" ht="15.75" customHeight="1">
      <c r="A49" s="28"/>
      <c r="B49" s="28"/>
      <c r="C49" s="25"/>
      <c r="D49" s="25"/>
      <c r="E49" s="25"/>
      <c r="F49" s="35"/>
      <c r="G49" s="35"/>
      <c r="H49" s="92"/>
      <c r="I49" s="92"/>
    </row>
    <row r="50" ht="15.75" customHeight="1">
      <c r="A50" s="28"/>
      <c r="B50" s="28"/>
      <c r="C50" s="25"/>
      <c r="D50" s="25"/>
      <c r="E50" s="25"/>
      <c r="F50" s="35"/>
      <c r="G50" s="35"/>
      <c r="H50" s="92"/>
      <c r="I50" s="92"/>
    </row>
    <row r="51" ht="15.75" customHeight="1">
      <c r="A51" s="28"/>
      <c r="B51" s="28"/>
      <c r="C51" s="25"/>
      <c r="D51" s="25"/>
      <c r="E51" s="25"/>
      <c r="F51" s="35"/>
      <c r="G51" s="35"/>
      <c r="H51" s="92"/>
      <c r="I51" s="92"/>
    </row>
    <row r="52" ht="15.75" customHeight="1">
      <c r="A52" s="28"/>
      <c r="B52" s="28"/>
      <c r="C52" s="25"/>
      <c r="D52" s="25"/>
      <c r="E52" s="25"/>
      <c r="F52" s="35"/>
      <c r="G52" s="35"/>
      <c r="H52" s="92"/>
      <c r="I52" s="92"/>
    </row>
    <row r="53" ht="15.75" customHeight="1">
      <c r="A53" s="28"/>
      <c r="B53" s="28"/>
      <c r="C53" s="25"/>
      <c r="D53" s="25"/>
      <c r="E53" s="25"/>
      <c r="F53" s="35"/>
      <c r="G53" s="35"/>
      <c r="H53" s="92"/>
      <c r="I53" s="92"/>
    </row>
    <row r="54" ht="15.75" customHeight="1">
      <c r="A54" s="28"/>
      <c r="B54" s="28"/>
      <c r="C54" s="25"/>
      <c r="D54" s="25"/>
      <c r="E54" s="25"/>
      <c r="F54" s="35"/>
      <c r="G54" s="35"/>
      <c r="H54" s="92"/>
      <c r="I54" s="92"/>
    </row>
    <row r="55" ht="15.75" customHeight="1">
      <c r="A55" s="28"/>
      <c r="B55" s="28"/>
      <c r="C55" s="25"/>
      <c r="D55" s="25"/>
      <c r="E55" s="25"/>
      <c r="F55" s="35"/>
      <c r="G55" s="35"/>
      <c r="H55" s="92"/>
      <c r="I55" s="92"/>
    </row>
    <row r="56" ht="15.75" customHeight="1">
      <c r="A56" s="28"/>
      <c r="B56" s="28"/>
      <c r="C56" s="25"/>
      <c r="D56" s="25"/>
      <c r="E56" s="25"/>
      <c r="F56" s="35"/>
      <c r="G56" s="35"/>
      <c r="H56" s="92"/>
      <c r="I56" s="92"/>
    </row>
    <row r="57" ht="15.75" customHeight="1">
      <c r="A57" s="28"/>
      <c r="B57" s="28"/>
      <c r="C57" s="25"/>
      <c r="D57" s="25"/>
      <c r="E57" s="25"/>
      <c r="F57" s="35"/>
      <c r="G57" s="35"/>
      <c r="H57" s="92"/>
      <c r="I57" s="92"/>
    </row>
    <row r="58" ht="15.75" customHeight="1">
      <c r="A58" s="28"/>
      <c r="B58" s="28"/>
      <c r="C58" s="25"/>
      <c r="D58" s="25"/>
      <c r="E58" s="25"/>
      <c r="F58" s="35"/>
      <c r="G58" s="35"/>
      <c r="H58" s="92"/>
      <c r="I58" s="92"/>
    </row>
    <row r="59" ht="15.75" customHeight="1">
      <c r="A59" s="28"/>
      <c r="B59" s="28"/>
      <c r="C59" s="25"/>
      <c r="D59" s="25"/>
      <c r="E59" s="25"/>
      <c r="F59" s="35"/>
      <c r="G59" s="35"/>
      <c r="H59" s="92"/>
      <c r="I59" s="92"/>
    </row>
    <row r="60" ht="15.75" customHeight="1">
      <c r="A60" s="28"/>
      <c r="B60" s="28"/>
      <c r="C60" s="25"/>
      <c r="D60" s="25"/>
      <c r="E60" s="25"/>
      <c r="F60" s="35"/>
      <c r="G60" s="35"/>
      <c r="H60" s="92"/>
      <c r="I60" s="92"/>
    </row>
    <row r="61" ht="15.75" customHeight="1">
      <c r="A61" s="28"/>
      <c r="B61" s="28"/>
      <c r="C61" s="25"/>
      <c r="D61" s="25"/>
      <c r="E61" s="25"/>
      <c r="F61" s="35"/>
      <c r="G61" s="35"/>
      <c r="H61" s="92"/>
      <c r="I61" s="92"/>
    </row>
    <row r="62" ht="15.75" customHeight="1">
      <c r="A62" s="28"/>
      <c r="B62" s="28"/>
      <c r="C62" s="25"/>
      <c r="D62" s="25"/>
      <c r="E62" s="25"/>
      <c r="F62" s="35"/>
      <c r="G62" s="35"/>
      <c r="H62" s="92"/>
      <c r="I62" s="92"/>
    </row>
    <row r="63" ht="15.75" customHeight="1">
      <c r="A63" s="28"/>
      <c r="B63" s="28"/>
      <c r="C63" s="25"/>
      <c r="D63" s="25"/>
      <c r="E63" s="25"/>
      <c r="F63" s="35"/>
      <c r="G63" s="35"/>
      <c r="H63" s="92"/>
      <c r="I63" s="92"/>
    </row>
    <row r="64" ht="15.75" customHeight="1">
      <c r="A64" s="28"/>
      <c r="B64" s="28"/>
      <c r="C64" s="25"/>
      <c r="D64" s="25"/>
      <c r="E64" s="25"/>
      <c r="F64" s="35"/>
      <c r="G64" s="35"/>
      <c r="H64" s="92"/>
      <c r="I64" s="92"/>
    </row>
    <row r="65" ht="15.75" customHeight="1">
      <c r="A65" s="28"/>
      <c r="B65" s="28"/>
      <c r="C65" s="25"/>
      <c r="D65" s="25"/>
      <c r="E65" s="25"/>
      <c r="F65" s="35"/>
      <c r="G65" s="35"/>
      <c r="H65" s="92"/>
      <c r="I65" s="92"/>
    </row>
    <row r="66" ht="15.75" customHeight="1">
      <c r="A66" s="28"/>
      <c r="B66" s="28"/>
      <c r="C66" s="25"/>
      <c r="D66" s="25"/>
      <c r="E66" s="25"/>
      <c r="F66" s="35"/>
      <c r="G66" s="35"/>
      <c r="H66" s="92"/>
      <c r="I66" s="92"/>
    </row>
    <row r="67" ht="15.75" customHeight="1">
      <c r="A67" s="28"/>
      <c r="B67" s="28"/>
      <c r="C67" s="25"/>
      <c r="D67" s="25"/>
      <c r="E67" s="25"/>
      <c r="F67" s="35"/>
      <c r="G67" s="35"/>
      <c r="H67" s="92"/>
      <c r="I67" s="92"/>
    </row>
    <row r="68" ht="15.75" customHeight="1">
      <c r="A68" s="28"/>
      <c r="B68" s="28"/>
      <c r="C68" s="25"/>
      <c r="D68" s="25"/>
      <c r="E68" s="25"/>
      <c r="F68" s="35"/>
      <c r="G68" s="35"/>
      <c r="H68" s="92"/>
      <c r="I68" s="92"/>
    </row>
    <row r="69" ht="15.75" customHeight="1">
      <c r="A69" s="28"/>
      <c r="B69" s="28"/>
      <c r="C69" s="25"/>
      <c r="D69" s="25"/>
      <c r="E69" s="25"/>
      <c r="F69" s="35"/>
      <c r="G69" s="35"/>
      <c r="H69" s="92"/>
      <c r="I69" s="92"/>
    </row>
    <row r="70" ht="15.75" customHeight="1">
      <c r="A70" s="28"/>
      <c r="B70" s="28"/>
      <c r="C70" s="25"/>
      <c r="D70" s="25"/>
      <c r="E70" s="25"/>
      <c r="F70" s="35"/>
      <c r="G70" s="35"/>
      <c r="H70" s="92"/>
      <c r="I70" s="92"/>
    </row>
    <row r="71" ht="15.75" customHeight="1">
      <c r="A71" s="28"/>
      <c r="B71" s="28"/>
      <c r="C71" s="25"/>
      <c r="D71" s="25"/>
      <c r="E71" s="25"/>
      <c r="F71" s="35"/>
      <c r="G71" s="35"/>
      <c r="H71" s="92"/>
      <c r="I71" s="92"/>
    </row>
    <row r="72" ht="15.75" customHeight="1">
      <c r="A72" s="28"/>
      <c r="B72" s="28"/>
      <c r="C72" s="25"/>
      <c r="D72" s="25"/>
      <c r="E72" s="25"/>
      <c r="F72" s="35"/>
      <c r="G72" s="35"/>
      <c r="H72" s="92"/>
      <c r="I72" s="92"/>
    </row>
    <row r="73" ht="15.75" customHeight="1">
      <c r="A73" s="28"/>
      <c r="B73" s="28"/>
      <c r="C73" s="25"/>
      <c r="D73" s="25"/>
      <c r="E73" s="25"/>
      <c r="F73" s="35"/>
      <c r="G73" s="35"/>
      <c r="H73" s="92"/>
      <c r="I73" s="92"/>
    </row>
    <row r="74" ht="15.75" customHeight="1">
      <c r="A74" s="28"/>
      <c r="B74" s="28"/>
      <c r="C74" s="25"/>
      <c r="D74" s="25"/>
      <c r="E74" s="25"/>
      <c r="F74" s="35"/>
      <c r="G74" s="35"/>
      <c r="H74" s="92"/>
      <c r="I74" s="92"/>
    </row>
    <row r="75" ht="15.75" customHeight="1">
      <c r="A75" s="28"/>
      <c r="B75" s="28"/>
      <c r="C75" s="25"/>
      <c r="D75" s="25"/>
      <c r="E75" s="25"/>
      <c r="F75" s="35"/>
      <c r="G75" s="35"/>
      <c r="H75" s="92"/>
      <c r="I75" s="92"/>
    </row>
    <row r="76" ht="15.75" customHeight="1">
      <c r="A76" s="28"/>
      <c r="B76" s="28"/>
      <c r="C76" s="25"/>
      <c r="D76" s="25"/>
      <c r="E76" s="25"/>
      <c r="F76" s="35"/>
      <c r="G76" s="35"/>
      <c r="H76" s="92"/>
      <c r="I76" s="92"/>
    </row>
    <row r="77" ht="15.75" customHeight="1">
      <c r="A77" s="28"/>
      <c r="B77" s="28"/>
      <c r="C77" s="25"/>
      <c r="D77" s="25"/>
      <c r="E77" s="25"/>
      <c r="F77" s="35"/>
      <c r="G77" s="35"/>
      <c r="H77" s="92"/>
      <c r="I77" s="92"/>
    </row>
    <row r="78" ht="15.75" customHeight="1">
      <c r="A78" s="28"/>
      <c r="B78" s="28"/>
      <c r="C78" s="25"/>
      <c r="D78" s="25"/>
      <c r="E78" s="25"/>
      <c r="F78" s="35"/>
      <c r="G78" s="35"/>
      <c r="H78" s="92"/>
      <c r="I78" s="92"/>
    </row>
    <row r="79" ht="15.75" customHeight="1">
      <c r="A79" s="28"/>
      <c r="B79" s="28"/>
      <c r="C79" s="25"/>
      <c r="D79" s="25"/>
      <c r="E79" s="25"/>
      <c r="F79" s="35"/>
      <c r="G79" s="35"/>
      <c r="H79" s="92"/>
      <c r="I79" s="92"/>
    </row>
    <row r="80" ht="15.75" customHeight="1">
      <c r="A80" s="28"/>
      <c r="B80" s="28"/>
      <c r="C80" s="25"/>
      <c r="D80" s="25"/>
      <c r="E80" s="25"/>
      <c r="F80" s="35"/>
      <c r="G80" s="35"/>
      <c r="H80" s="92"/>
      <c r="I80" s="92"/>
    </row>
    <row r="81" ht="15.75" customHeight="1">
      <c r="A81" s="28"/>
      <c r="B81" s="28"/>
      <c r="C81" s="25"/>
      <c r="D81" s="25"/>
      <c r="E81" s="25"/>
      <c r="F81" s="35"/>
      <c r="G81" s="35"/>
      <c r="H81" s="92"/>
      <c r="I81" s="92"/>
    </row>
    <row r="82" ht="15.75" customHeight="1">
      <c r="A82" s="28"/>
      <c r="B82" s="28"/>
      <c r="C82" s="25"/>
      <c r="D82" s="25"/>
      <c r="E82" s="25"/>
      <c r="F82" s="35"/>
      <c r="G82" s="35"/>
      <c r="H82" s="92"/>
      <c r="I82" s="92"/>
    </row>
    <row r="83" ht="15.75" customHeight="1">
      <c r="A83" s="28"/>
      <c r="B83" s="28"/>
      <c r="C83" s="25"/>
      <c r="D83" s="25"/>
      <c r="E83" s="25"/>
      <c r="F83" s="35"/>
      <c r="G83" s="35"/>
      <c r="H83" s="92"/>
      <c r="I83" s="92"/>
    </row>
    <row r="84" ht="15.75" customHeight="1">
      <c r="A84" s="28"/>
      <c r="B84" s="28"/>
      <c r="C84" s="25"/>
      <c r="D84" s="25"/>
      <c r="E84" s="25"/>
      <c r="F84" s="35"/>
      <c r="G84" s="35"/>
      <c r="H84" s="92"/>
      <c r="I84" s="92"/>
    </row>
    <row r="85" ht="15.75" customHeight="1">
      <c r="A85" s="28"/>
      <c r="B85" s="28"/>
      <c r="C85" s="25"/>
      <c r="D85" s="25"/>
      <c r="E85" s="25"/>
      <c r="F85" s="35"/>
      <c r="G85" s="35"/>
      <c r="H85" s="92"/>
      <c r="I85" s="92"/>
    </row>
    <row r="86" ht="15.75" customHeight="1">
      <c r="A86" s="28"/>
      <c r="B86" s="28"/>
      <c r="C86" s="25"/>
      <c r="D86" s="25"/>
      <c r="E86" s="25"/>
      <c r="F86" s="35"/>
      <c r="G86" s="35"/>
      <c r="H86" s="92"/>
      <c r="I86" s="92"/>
    </row>
    <row r="87" ht="15.75" customHeight="1">
      <c r="A87" s="28"/>
      <c r="B87" s="28"/>
      <c r="C87" s="25"/>
      <c r="D87" s="25"/>
      <c r="E87" s="25"/>
      <c r="F87" s="35"/>
      <c r="G87" s="35"/>
      <c r="H87" s="92"/>
      <c r="I87" s="92"/>
    </row>
    <row r="88" ht="15.75" customHeight="1">
      <c r="A88" s="28"/>
      <c r="B88" s="28"/>
      <c r="C88" s="25"/>
      <c r="D88" s="25"/>
      <c r="E88" s="25"/>
      <c r="F88" s="35"/>
      <c r="G88" s="35"/>
      <c r="H88" s="92"/>
      <c r="I88" s="92"/>
    </row>
    <row r="89" ht="15.75" customHeight="1">
      <c r="A89" s="28"/>
      <c r="B89" s="28"/>
      <c r="C89" s="25"/>
      <c r="D89" s="25"/>
      <c r="E89" s="25"/>
      <c r="F89" s="35"/>
      <c r="G89" s="35"/>
      <c r="H89" s="92"/>
      <c r="I89" s="92"/>
    </row>
    <row r="90" ht="15.75" customHeight="1">
      <c r="A90" s="28"/>
      <c r="B90" s="28"/>
      <c r="C90" s="25"/>
      <c r="D90" s="25"/>
      <c r="E90" s="25"/>
      <c r="F90" s="35"/>
      <c r="G90" s="35"/>
      <c r="H90" s="92"/>
      <c r="I90" s="92"/>
    </row>
    <row r="91" ht="15.75" customHeight="1">
      <c r="A91" s="28"/>
      <c r="B91" s="28"/>
      <c r="C91" s="25"/>
      <c r="D91" s="25"/>
      <c r="E91" s="25"/>
      <c r="F91" s="35"/>
      <c r="G91" s="35"/>
      <c r="H91" s="92"/>
      <c r="I91" s="92"/>
    </row>
    <row r="92" ht="15.75" customHeight="1">
      <c r="A92" s="28"/>
      <c r="B92" s="28"/>
      <c r="C92" s="25"/>
      <c r="D92" s="25"/>
      <c r="E92" s="25"/>
      <c r="F92" s="35"/>
      <c r="G92" s="35"/>
      <c r="H92" s="92"/>
      <c r="I92" s="92"/>
    </row>
    <row r="93" ht="15.75" customHeight="1">
      <c r="A93" s="28"/>
      <c r="B93" s="28"/>
      <c r="C93" s="25"/>
      <c r="D93" s="25"/>
      <c r="E93" s="25"/>
      <c r="F93" s="35"/>
      <c r="G93" s="35"/>
      <c r="H93" s="92"/>
      <c r="I93" s="92"/>
    </row>
    <row r="94" ht="15.75" customHeight="1">
      <c r="A94" s="28"/>
      <c r="B94" s="28"/>
      <c r="C94" s="25"/>
      <c r="D94" s="25"/>
      <c r="E94" s="25"/>
      <c r="F94" s="35"/>
      <c r="G94" s="35"/>
      <c r="H94" s="92"/>
      <c r="I94" s="92"/>
    </row>
    <row r="95" ht="15.75" customHeight="1">
      <c r="A95" s="28"/>
      <c r="B95" s="28"/>
      <c r="C95" s="25"/>
      <c r="D95" s="25"/>
      <c r="E95" s="25"/>
      <c r="F95" s="35"/>
      <c r="G95" s="35"/>
      <c r="H95" s="92"/>
      <c r="I95" s="92"/>
    </row>
    <row r="96" ht="15.75" customHeight="1">
      <c r="A96" s="28"/>
      <c r="B96" s="28"/>
      <c r="C96" s="25"/>
      <c r="D96" s="25"/>
      <c r="E96" s="25"/>
      <c r="F96" s="35"/>
      <c r="G96" s="35"/>
      <c r="H96" s="92"/>
      <c r="I96" s="92"/>
    </row>
    <row r="97" ht="15.75" customHeight="1">
      <c r="A97" s="28"/>
      <c r="B97" s="28"/>
      <c r="C97" s="25"/>
      <c r="D97" s="25"/>
      <c r="E97" s="25"/>
      <c r="F97" s="35"/>
      <c r="G97" s="35"/>
      <c r="H97" s="92"/>
      <c r="I97" s="92"/>
    </row>
    <row r="98" ht="15.75" customHeight="1">
      <c r="A98" s="28"/>
      <c r="B98" s="28"/>
      <c r="C98" s="25"/>
      <c r="D98" s="25"/>
      <c r="E98" s="25"/>
      <c r="F98" s="35"/>
      <c r="G98" s="35"/>
      <c r="H98" s="92"/>
      <c r="I98" s="92"/>
    </row>
    <row r="99" ht="15.75" customHeight="1">
      <c r="A99" s="28"/>
      <c r="B99" s="28"/>
      <c r="C99" s="25"/>
      <c r="D99" s="25"/>
      <c r="E99" s="25"/>
      <c r="F99" s="35"/>
      <c r="G99" s="35"/>
      <c r="H99" s="92"/>
      <c r="I99" s="92"/>
    </row>
    <row r="100" ht="15.75" customHeight="1">
      <c r="A100" s="28"/>
      <c r="B100" s="28"/>
      <c r="C100" s="25"/>
      <c r="D100" s="25"/>
      <c r="E100" s="25"/>
      <c r="F100" s="35"/>
      <c r="G100" s="35"/>
      <c r="H100" s="92"/>
      <c r="I100" s="92"/>
    </row>
    <row r="101" ht="15.75" customHeight="1">
      <c r="A101" s="28"/>
      <c r="B101" s="28"/>
      <c r="C101" s="25"/>
      <c r="D101" s="25"/>
      <c r="E101" s="25"/>
      <c r="F101" s="35"/>
      <c r="G101" s="35"/>
      <c r="H101" s="92"/>
      <c r="I101" s="92"/>
    </row>
    <row r="102" ht="15.75" customHeight="1">
      <c r="A102" s="28"/>
      <c r="B102" s="28"/>
      <c r="C102" s="25"/>
      <c r="D102" s="25"/>
      <c r="E102" s="25"/>
      <c r="F102" s="35"/>
      <c r="G102" s="35"/>
      <c r="H102" s="92"/>
      <c r="I102" s="92"/>
    </row>
    <row r="103" ht="15.75" customHeight="1">
      <c r="A103" s="28"/>
      <c r="B103" s="28"/>
      <c r="C103" s="25"/>
      <c r="D103" s="25"/>
      <c r="E103" s="25"/>
      <c r="F103" s="35"/>
      <c r="G103" s="35"/>
      <c r="H103" s="92"/>
      <c r="I103" s="92"/>
    </row>
    <row r="104" ht="15.75" customHeight="1">
      <c r="A104" s="28"/>
      <c r="B104" s="28"/>
      <c r="C104" s="25"/>
      <c r="D104" s="25"/>
      <c r="E104" s="25"/>
      <c r="F104" s="35"/>
      <c r="G104" s="35"/>
      <c r="H104" s="92"/>
      <c r="I104" s="92"/>
    </row>
    <row r="105" ht="15.75" customHeight="1">
      <c r="A105" s="28"/>
      <c r="B105" s="28"/>
      <c r="C105" s="25"/>
      <c r="D105" s="25"/>
      <c r="E105" s="25"/>
      <c r="F105" s="35"/>
      <c r="G105" s="35"/>
      <c r="H105" s="92"/>
      <c r="I105" s="92"/>
    </row>
    <row r="106" ht="15.75" customHeight="1">
      <c r="A106" s="28"/>
      <c r="B106" s="28"/>
      <c r="C106" s="25"/>
      <c r="D106" s="25"/>
      <c r="E106" s="25"/>
      <c r="F106" s="35"/>
      <c r="G106" s="35"/>
      <c r="H106" s="92"/>
      <c r="I106" s="92"/>
    </row>
    <row r="107" ht="15.75" customHeight="1">
      <c r="A107" s="28"/>
      <c r="B107" s="28"/>
      <c r="C107" s="25"/>
      <c r="D107" s="25"/>
      <c r="E107" s="25"/>
      <c r="F107" s="35"/>
      <c r="G107" s="35"/>
      <c r="H107" s="92"/>
      <c r="I107" s="92"/>
    </row>
    <row r="108" ht="15.75" customHeight="1">
      <c r="A108" s="28"/>
      <c r="B108" s="28"/>
      <c r="C108" s="25"/>
      <c r="D108" s="25"/>
      <c r="E108" s="25"/>
      <c r="F108" s="35"/>
      <c r="G108" s="35"/>
      <c r="H108" s="92"/>
      <c r="I108" s="92"/>
    </row>
    <row r="109" ht="15.75" customHeight="1">
      <c r="A109" s="28"/>
      <c r="B109" s="28"/>
      <c r="C109" s="25"/>
      <c r="D109" s="25"/>
      <c r="E109" s="25"/>
      <c r="F109" s="35"/>
      <c r="G109" s="35"/>
      <c r="H109" s="92"/>
      <c r="I109" s="92"/>
    </row>
    <row r="110" ht="15.75" customHeight="1">
      <c r="A110" s="28"/>
      <c r="B110" s="28"/>
      <c r="C110" s="25"/>
      <c r="D110" s="25"/>
      <c r="E110" s="25"/>
      <c r="F110" s="35"/>
      <c r="G110" s="35"/>
      <c r="H110" s="92"/>
      <c r="I110" s="92"/>
    </row>
    <row r="111" ht="15.75" customHeight="1">
      <c r="A111" s="28"/>
      <c r="B111" s="28"/>
      <c r="C111" s="25"/>
      <c r="D111" s="25"/>
      <c r="E111" s="25"/>
      <c r="F111" s="35"/>
      <c r="G111" s="35"/>
      <c r="H111" s="92"/>
      <c r="I111" s="92"/>
    </row>
    <row r="112" ht="15.75" customHeight="1">
      <c r="A112" s="28"/>
      <c r="B112" s="28"/>
      <c r="C112" s="25"/>
      <c r="D112" s="25"/>
      <c r="E112" s="25"/>
      <c r="F112" s="35"/>
      <c r="G112" s="35"/>
      <c r="H112" s="92"/>
      <c r="I112" s="92"/>
    </row>
    <row r="113" ht="15.75" customHeight="1">
      <c r="A113" s="28"/>
      <c r="B113" s="28"/>
      <c r="C113" s="25"/>
      <c r="D113" s="25"/>
      <c r="E113" s="25"/>
      <c r="F113" s="35"/>
      <c r="G113" s="35"/>
      <c r="H113" s="92"/>
      <c r="I113" s="92"/>
    </row>
    <row r="114" ht="15.75" customHeight="1">
      <c r="A114" s="28"/>
      <c r="B114" s="28"/>
      <c r="C114" s="25"/>
      <c r="D114" s="25"/>
      <c r="E114" s="25"/>
      <c r="F114" s="35"/>
      <c r="G114" s="35"/>
      <c r="H114" s="92"/>
      <c r="I114" s="92"/>
    </row>
    <row r="115" ht="15.75" customHeight="1">
      <c r="A115" s="28"/>
      <c r="B115" s="28"/>
      <c r="C115" s="25"/>
      <c r="D115" s="25"/>
      <c r="E115" s="25"/>
      <c r="F115" s="35"/>
      <c r="G115" s="35"/>
      <c r="H115" s="92"/>
      <c r="I115" s="92"/>
    </row>
    <row r="116" ht="15.75" customHeight="1">
      <c r="A116" s="28"/>
      <c r="B116" s="28"/>
      <c r="C116" s="25"/>
      <c r="D116" s="25"/>
      <c r="E116" s="25"/>
      <c r="F116" s="35"/>
      <c r="G116" s="35"/>
      <c r="H116" s="92"/>
      <c r="I116" s="92"/>
    </row>
    <row r="117" ht="15.75" customHeight="1">
      <c r="A117" s="28"/>
      <c r="B117" s="28"/>
      <c r="C117" s="25"/>
      <c r="D117" s="25"/>
      <c r="E117" s="25"/>
      <c r="F117" s="35"/>
      <c r="G117" s="35"/>
      <c r="H117" s="92"/>
      <c r="I117" s="92"/>
    </row>
    <row r="118" ht="15.75" customHeight="1">
      <c r="A118" s="28"/>
      <c r="B118" s="28"/>
      <c r="C118" s="25"/>
      <c r="D118" s="25"/>
      <c r="E118" s="25"/>
      <c r="F118" s="35"/>
      <c r="G118" s="35"/>
      <c r="H118" s="92"/>
      <c r="I118" s="92"/>
    </row>
    <row r="119" ht="15.75" customHeight="1">
      <c r="A119" s="28"/>
      <c r="B119" s="28"/>
      <c r="C119" s="25"/>
      <c r="D119" s="25"/>
      <c r="E119" s="25"/>
      <c r="F119" s="35"/>
      <c r="G119" s="35"/>
      <c r="H119" s="92"/>
      <c r="I119" s="92"/>
    </row>
    <row r="120" ht="15.75" customHeight="1">
      <c r="A120" s="28"/>
      <c r="B120" s="28"/>
      <c r="C120" s="25"/>
      <c r="D120" s="25"/>
      <c r="E120" s="25"/>
      <c r="F120" s="35"/>
      <c r="G120" s="35"/>
      <c r="H120" s="92"/>
      <c r="I120" s="92"/>
    </row>
    <row r="121" ht="15.75" customHeight="1">
      <c r="A121" s="28"/>
      <c r="B121" s="28"/>
      <c r="C121" s="25"/>
      <c r="D121" s="25"/>
      <c r="E121" s="25"/>
      <c r="F121" s="35"/>
      <c r="G121" s="35"/>
      <c r="H121" s="92"/>
      <c r="I121" s="92"/>
    </row>
    <row r="122" ht="15.75" customHeight="1">
      <c r="A122" s="28"/>
      <c r="B122" s="28"/>
      <c r="C122" s="25"/>
      <c r="D122" s="25"/>
      <c r="E122" s="25"/>
      <c r="F122" s="35"/>
      <c r="G122" s="35"/>
      <c r="H122" s="92"/>
      <c r="I122" s="92"/>
    </row>
    <row r="123" ht="15.75" customHeight="1">
      <c r="A123" s="28"/>
      <c r="B123" s="28"/>
      <c r="C123" s="25"/>
      <c r="D123" s="25"/>
      <c r="E123" s="25"/>
      <c r="F123" s="35"/>
      <c r="G123" s="35"/>
      <c r="H123" s="92"/>
      <c r="I123" s="92"/>
    </row>
    <row r="124" ht="15.75" customHeight="1">
      <c r="A124" s="28"/>
      <c r="B124" s="28"/>
      <c r="C124" s="25"/>
      <c r="D124" s="25"/>
      <c r="E124" s="25"/>
      <c r="F124" s="35"/>
      <c r="G124" s="35"/>
      <c r="H124" s="92"/>
      <c r="I124" s="92"/>
    </row>
    <row r="125" ht="15.75" customHeight="1">
      <c r="A125" s="28"/>
      <c r="B125" s="28"/>
      <c r="C125" s="25"/>
      <c r="D125" s="25"/>
      <c r="E125" s="25"/>
      <c r="F125" s="35"/>
      <c r="G125" s="35"/>
      <c r="H125" s="92"/>
      <c r="I125" s="92"/>
    </row>
    <row r="126" ht="15.75" customHeight="1">
      <c r="A126" s="28"/>
      <c r="B126" s="28"/>
      <c r="C126" s="25"/>
      <c r="D126" s="25"/>
      <c r="E126" s="25"/>
      <c r="F126" s="35"/>
      <c r="G126" s="35"/>
      <c r="H126" s="92"/>
      <c r="I126" s="92"/>
    </row>
    <row r="127" ht="15.75" customHeight="1">
      <c r="A127" s="28"/>
      <c r="B127" s="28"/>
      <c r="C127" s="25"/>
      <c r="D127" s="25"/>
      <c r="E127" s="25"/>
      <c r="F127" s="35"/>
      <c r="G127" s="35"/>
      <c r="H127" s="92"/>
      <c r="I127" s="92"/>
    </row>
    <row r="128" ht="15.75" customHeight="1">
      <c r="A128" s="28"/>
      <c r="B128" s="28"/>
      <c r="C128" s="25"/>
      <c r="D128" s="25"/>
      <c r="E128" s="25"/>
      <c r="F128" s="35"/>
      <c r="G128" s="35"/>
      <c r="H128" s="92"/>
      <c r="I128" s="92"/>
    </row>
    <row r="129" ht="15.75" customHeight="1">
      <c r="A129" s="28"/>
      <c r="B129" s="28"/>
      <c r="C129" s="25"/>
      <c r="D129" s="25"/>
      <c r="E129" s="25"/>
      <c r="F129" s="35"/>
      <c r="G129" s="35"/>
      <c r="H129" s="92"/>
      <c r="I129" s="92"/>
    </row>
    <row r="130" ht="15.75" customHeight="1">
      <c r="A130" s="28"/>
      <c r="B130" s="28"/>
      <c r="C130" s="25"/>
      <c r="D130" s="25"/>
      <c r="E130" s="25"/>
      <c r="F130" s="35"/>
      <c r="G130" s="35"/>
      <c r="H130" s="92"/>
      <c r="I130" s="92"/>
    </row>
    <row r="131" ht="15.75" customHeight="1">
      <c r="A131" s="28"/>
      <c r="B131" s="28"/>
      <c r="C131" s="25"/>
      <c r="D131" s="25"/>
      <c r="E131" s="25"/>
      <c r="F131" s="35"/>
      <c r="G131" s="35"/>
      <c r="H131" s="92"/>
      <c r="I131" s="92"/>
    </row>
    <row r="132" ht="15.75" customHeight="1">
      <c r="A132" s="28"/>
      <c r="B132" s="28"/>
      <c r="C132" s="25"/>
      <c r="D132" s="25"/>
      <c r="E132" s="25"/>
      <c r="F132" s="35"/>
      <c r="G132" s="35"/>
      <c r="H132" s="92"/>
      <c r="I132" s="92"/>
    </row>
    <row r="133" ht="15.75" customHeight="1">
      <c r="A133" s="28"/>
      <c r="B133" s="28"/>
      <c r="C133" s="25"/>
      <c r="D133" s="25"/>
      <c r="E133" s="25"/>
      <c r="F133" s="35"/>
      <c r="G133" s="35"/>
      <c r="H133" s="92"/>
      <c r="I133" s="92"/>
    </row>
    <row r="134" ht="15.75" customHeight="1">
      <c r="A134" s="28"/>
      <c r="B134" s="28"/>
      <c r="C134" s="25"/>
      <c r="D134" s="25"/>
      <c r="E134" s="25"/>
      <c r="F134" s="35"/>
      <c r="G134" s="35"/>
      <c r="H134" s="92"/>
      <c r="I134" s="92"/>
    </row>
    <row r="135" ht="15.75" customHeight="1">
      <c r="A135" s="28"/>
      <c r="B135" s="28"/>
      <c r="C135" s="25"/>
      <c r="D135" s="25"/>
      <c r="E135" s="25"/>
      <c r="F135" s="35"/>
      <c r="G135" s="35"/>
      <c r="H135" s="92"/>
      <c r="I135" s="92"/>
    </row>
    <row r="136" ht="15.75" customHeight="1">
      <c r="A136" s="28"/>
      <c r="B136" s="28"/>
      <c r="C136" s="25"/>
      <c r="D136" s="25"/>
      <c r="E136" s="25"/>
      <c r="F136" s="35"/>
      <c r="G136" s="35"/>
      <c r="H136" s="92"/>
      <c r="I136" s="92"/>
    </row>
    <row r="137" ht="15.75" customHeight="1">
      <c r="A137" s="28"/>
      <c r="B137" s="28"/>
      <c r="C137" s="25"/>
      <c r="D137" s="25"/>
      <c r="E137" s="25"/>
      <c r="F137" s="35"/>
      <c r="G137" s="35"/>
      <c r="H137" s="92"/>
      <c r="I137" s="92"/>
    </row>
    <row r="138" ht="15.75" customHeight="1">
      <c r="A138" s="28"/>
      <c r="B138" s="28"/>
      <c r="C138" s="25"/>
      <c r="D138" s="25"/>
      <c r="E138" s="25"/>
      <c r="F138" s="35"/>
      <c r="G138" s="35"/>
      <c r="H138" s="92"/>
      <c r="I138" s="92"/>
    </row>
    <row r="139" ht="15.75" customHeight="1">
      <c r="A139" s="28"/>
      <c r="B139" s="28"/>
      <c r="C139" s="25"/>
      <c r="D139" s="25"/>
      <c r="E139" s="25"/>
      <c r="F139" s="35"/>
      <c r="G139" s="35"/>
      <c r="H139" s="92"/>
      <c r="I139" s="92"/>
    </row>
    <row r="140" ht="15.75" customHeight="1">
      <c r="A140" s="28"/>
      <c r="B140" s="28"/>
      <c r="C140" s="25"/>
      <c r="D140" s="25"/>
      <c r="E140" s="25"/>
      <c r="F140" s="35"/>
      <c r="G140" s="35"/>
      <c r="H140" s="92"/>
      <c r="I140" s="92"/>
    </row>
    <row r="141" ht="15.75" customHeight="1">
      <c r="A141" s="28"/>
      <c r="B141" s="28"/>
      <c r="C141" s="25"/>
      <c r="D141" s="25"/>
      <c r="E141" s="25"/>
      <c r="F141" s="35"/>
      <c r="G141" s="35"/>
      <c r="H141" s="92"/>
      <c r="I141" s="92"/>
    </row>
    <row r="142" ht="15.75" customHeight="1">
      <c r="A142" s="28"/>
      <c r="B142" s="28"/>
      <c r="C142" s="25"/>
      <c r="D142" s="25"/>
      <c r="E142" s="25"/>
      <c r="F142" s="35"/>
      <c r="G142" s="35"/>
      <c r="H142" s="92"/>
      <c r="I142" s="92"/>
    </row>
    <row r="143" ht="15.75" customHeight="1">
      <c r="A143" s="28"/>
      <c r="B143" s="28"/>
      <c r="C143" s="25"/>
      <c r="D143" s="25"/>
      <c r="E143" s="25"/>
      <c r="F143" s="35"/>
      <c r="G143" s="35"/>
      <c r="H143" s="92"/>
      <c r="I143" s="92"/>
    </row>
    <row r="144" ht="15.75" customHeight="1">
      <c r="A144" s="28"/>
      <c r="B144" s="28"/>
      <c r="C144" s="25"/>
      <c r="D144" s="25"/>
      <c r="E144" s="25"/>
      <c r="F144" s="35"/>
      <c r="G144" s="35"/>
      <c r="H144" s="92"/>
      <c r="I144" s="92"/>
    </row>
    <row r="145" ht="15.75" customHeight="1">
      <c r="A145" s="28"/>
      <c r="B145" s="28"/>
      <c r="C145" s="25"/>
      <c r="D145" s="25"/>
      <c r="E145" s="25"/>
      <c r="F145" s="35"/>
      <c r="G145" s="35"/>
      <c r="H145" s="92"/>
      <c r="I145" s="92"/>
    </row>
    <row r="146" ht="15.75" customHeight="1">
      <c r="A146" s="28"/>
      <c r="B146" s="28"/>
      <c r="C146" s="25"/>
      <c r="D146" s="25"/>
      <c r="E146" s="25"/>
      <c r="F146" s="35"/>
      <c r="G146" s="35"/>
      <c r="H146" s="92"/>
      <c r="I146" s="92"/>
    </row>
    <row r="147" ht="15.75" customHeight="1">
      <c r="A147" s="28"/>
      <c r="B147" s="28"/>
      <c r="C147" s="25"/>
      <c r="D147" s="25"/>
      <c r="E147" s="25"/>
      <c r="F147" s="35"/>
      <c r="G147" s="35"/>
      <c r="H147" s="92"/>
      <c r="I147" s="92"/>
    </row>
    <row r="148" ht="15.75" customHeight="1">
      <c r="A148" s="28"/>
      <c r="B148" s="28"/>
      <c r="C148" s="25"/>
      <c r="D148" s="25"/>
      <c r="E148" s="25"/>
      <c r="F148" s="35"/>
      <c r="G148" s="35"/>
      <c r="H148" s="92"/>
      <c r="I148" s="92"/>
    </row>
    <row r="149" ht="15.75" customHeight="1">
      <c r="A149" s="28"/>
      <c r="B149" s="28"/>
      <c r="C149" s="25"/>
      <c r="D149" s="25"/>
      <c r="E149" s="25"/>
      <c r="F149" s="35"/>
      <c r="G149" s="35"/>
      <c r="H149" s="92"/>
      <c r="I149" s="92"/>
    </row>
    <row r="150" ht="15.75" customHeight="1">
      <c r="A150" s="28"/>
      <c r="B150" s="28"/>
      <c r="C150" s="25"/>
      <c r="D150" s="25"/>
      <c r="E150" s="25"/>
      <c r="F150" s="35"/>
      <c r="G150" s="35"/>
      <c r="H150" s="92"/>
      <c r="I150" s="92"/>
    </row>
    <row r="151" ht="15.75" customHeight="1">
      <c r="A151" s="28"/>
      <c r="B151" s="28"/>
      <c r="C151" s="25"/>
      <c r="D151" s="25"/>
      <c r="E151" s="25"/>
      <c r="F151" s="35"/>
      <c r="G151" s="35"/>
      <c r="H151" s="92"/>
      <c r="I151" s="92"/>
    </row>
    <row r="152" ht="15.75" customHeight="1">
      <c r="A152" s="28"/>
      <c r="B152" s="28"/>
      <c r="C152" s="25"/>
      <c r="D152" s="25"/>
      <c r="E152" s="25"/>
      <c r="F152" s="35"/>
      <c r="G152" s="35"/>
      <c r="H152" s="92"/>
      <c r="I152" s="92"/>
    </row>
    <row r="153" ht="15.75" customHeight="1">
      <c r="A153" s="28"/>
      <c r="B153" s="28"/>
      <c r="C153" s="25"/>
      <c r="D153" s="25"/>
      <c r="E153" s="25"/>
      <c r="F153" s="35"/>
      <c r="G153" s="35"/>
      <c r="H153" s="92"/>
      <c r="I153" s="92"/>
    </row>
    <row r="154" ht="15.75" customHeight="1">
      <c r="A154" s="28"/>
      <c r="B154" s="28"/>
      <c r="C154" s="25"/>
      <c r="D154" s="25"/>
      <c r="E154" s="25"/>
      <c r="F154" s="35"/>
      <c r="G154" s="35"/>
      <c r="H154" s="92"/>
      <c r="I154" s="92"/>
    </row>
    <row r="155" ht="15.75" customHeight="1">
      <c r="A155" s="28"/>
      <c r="B155" s="28"/>
      <c r="C155" s="25"/>
      <c r="D155" s="25"/>
      <c r="E155" s="25"/>
      <c r="F155" s="35"/>
      <c r="G155" s="35"/>
      <c r="H155" s="92"/>
      <c r="I155" s="92"/>
    </row>
    <row r="156" ht="15.75" customHeight="1">
      <c r="A156" s="28"/>
      <c r="B156" s="28"/>
      <c r="C156" s="25"/>
      <c r="D156" s="25"/>
      <c r="E156" s="25"/>
      <c r="F156" s="35"/>
      <c r="G156" s="35"/>
      <c r="H156" s="92"/>
      <c r="I156" s="92"/>
    </row>
    <row r="157" ht="15.75" customHeight="1">
      <c r="A157" s="28"/>
      <c r="B157" s="28"/>
      <c r="C157" s="25"/>
      <c r="D157" s="25"/>
      <c r="E157" s="25"/>
      <c r="F157" s="35"/>
      <c r="G157" s="35"/>
      <c r="H157" s="92"/>
      <c r="I157" s="92"/>
    </row>
    <row r="158" ht="15.75" customHeight="1">
      <c r="A158" s="28"/>
      <c r="B158" s="28"/>
      <c r="C158" s="25"/>
      <c r="D158" s="25"/>
      <c r="E158" s="25"/>
      <c r="F158" s="35"/>
      <c r="G158" s="35"/>
      <c r="H158" s="92"/>
      <c r="I158" s="92"/>
    </row>
    <row r="159" ht="15.75" customHeight="1">
      <c r="A159" s="28"/>
      <c r="B159" s="28"/>
      <c r="C159" s="25"/>
      <c r="D159" s="25"/>
      <c r="E159" s="25"/>
      <c r="F159" s="35"/>
      <c r="G159" s="35"/>
      <c r="H159" s="92"/>
      <c r="I159" s="92"/>
    </row>
    <row r="160" ht="15.75" customHeight="1">
      <c r="A160" s="28"/>
      <c r="B160" s="28"/>
      <c r="C160" s="25"/>
      <c r="D160" s="25"/>
      <c r="E160" s="25"/>
      <c r="F160" s="35"/>
      <c r="G160" s="35"/>
      <c r="H160" s="92"/>
      <c r="I160" s="92"/>
    </row>
    <row r="161" ht="15.75" customHeight="1">
      <c r="A161" s="28"/>
      <c r="B161" s="28"/>
      <c r="C161" s="25"/>
      <c r="D161" s="25"/>
      <c r="E161" s="25"/>
      <c r="F161" s="35"/>
      <c r="G161" s="35"/>
      <c r="H161" s="92"/>
      <c r="I161" s="92"/>
    </row>
    <row r="162" ht="15.75" customHeight="1">
      <c r="A162" s="28"/>
      <c r="B162" s="28"/>
      <c r="C162" s="25"/>
      <c r="D162" s="25"/>
      <c r="E162" s="25"/>
      <c r="F162" s="35"/>
      <c r="G162" s="35"/>
      <c r="H162" s="92"/>
      <c r="I162" s="92"/>
    </row>
    <row r="163" ht="15.75" customHeight="1">
      <c r="A163" s="28"/>
      <c r="B163" s="28"/>
      <c r="C163" s="25"/>
      <c r="D163" s="25"/>
      <c r="E163" s="25"/>
      <c r="F163" s="35"/>
      <c r="G163" s="35"/>
      <c r="H163" s="92"/>
      <c r="I163" s="92"/>
    </row>
    <row r="164" ht="15.75" customHeight="1">
      <c r="A164" s="28"/>
      <c r="B164" s="28"/>
      <c r="C164" s="25"/>
      <c r="D164" s="25"/>
      <c r="E164" s="25"/>
      <c r="F164" s="35"/>
      <c r="G164" s="35"/>
      <c r="H164" s="92"/>
      <c r="I164" s="92"/>
    </row>
    <row r="165" ht="15.75" customHeight="1">
      <c r="A165" s="28"/>
      <c r="B165" s="28"/>
      <c r="C165" s="25"/>
      <c r="D165" s="25"/>
      <c r="E165" s="25"/>
      <c r="F165" s="35"/>
      <c r="G165" s="35"/>
      <c r="H165" s="92"/>
      <c r="I165" s="92"/>
    </row>
    <row r="166" ht="15.75" customHeight="1">
      <c r="A166" s="28"/>
      <c r="B166" s="28"/>
      <c r="C166" s="25"/>
      <c r="D166" s="25"/>
      <c r="E166" s="25"/>
      <c r="F166" s="35"/>
      <c r="G166" s="35"/>
      <c r="H166" s="92"/>
      <c r="I166" s="92"/>
    </row>
    <row r="167" ht="15.75" customHeight="1">
      <c r="A167" s="28"/>
      <c r="B167" s="28"/>
      <c r="C167" s="25"/>
      <c r="D167" s="25"/>
      <c r="E167" s="25"/>
      <c r="F167" s="35"/>
      <c r="G167" s="35"/>
      <c r="H167" s="92"/>
      <c r="I167" s="92"/>
    </row>
    <row r="168" ht="15.75" customHeight="1">
      <c r="A168" s="28"/>
      <c r="B168" s="28"/>
      <c r="C168" s="25"/>
      <c r="D168" s="25"/>
      <c r="E168" s="25"/>
      <c r="F168" s="35"/>
      <c r="G168" s="35"/>
      <c r="H168" s="92"/>
      <c r="I168" s="92"/>
    </row>
    <row r="169" ht="15.75" customHeight="1">
      <c r="A169" s="28"/>
      <c r="B169" s="28"/>
      <c r="C169" s="25"/>
      <c r="D169" s="25"/>
      <c r="E169" s="25"/>
      <c r="F169" s="35"/>
      <c r="G169" s="35"/>
      <c r="H169" s="92"/>
      <c r="I169" s="92"/>
    </row>
    <row r="170" ht="15.75" customHeight="1">
      <c r="A170" s="28"/>
      <c r="B170" s="28"/>
      <c r="C170" s="25"/>
      <c r="D170" s="25"/>
      <c r="E170" s="25"/>
      <c r="F170" s="35"/>
      <c r="G170" s="35"/>
      <c r="H170" s="92"/>
      <c r="I170" s="92"/>
    </row>
    <row r="171" ht="15.75" customHeight="1">
      <c r="A171" s="28"/>
      <c r="B171" s="28"/>
      <c r="C171" s="25"/>
      <c r="D171" s="25"/>
      <c r="E171" s="25"/>
      <c r="F171" s="35"/>
      <c r="G171" s="35"/>
      <c r="H171" s="92"/>
      <c r="I171" s="92"/>
    </row>
    <row r="172" ht="15.75" customHeight="1">
      <c r="A172" s="28"/>
      <c r="B172" s="28"/>
      <c r="C172" s="25"/>
      <c r="D172" s="25"/>
      <c r="E172" s="25"/>
      <c r="F172" s="35"/>
      <c r="G172" s="35"/>
      <c r="H172" s="92"/>
      <c r="I172" s="92"/>
    </row>
    <row r="173" ht="15.75" customHeight="1">
      <c r="A173" s="28"/>
      <c r="B173" s="28"/>
      <c r="C173" s="25"/>
      <c r="D173" s="25"/>
      <c r="E173" s="25"/>
      <c r="F173" s="35"/>
      <c r="G173" s="35"/>
      <c r="H173" s="92"/>
      <c r="I173" s="92"/>
    </row>
    <row r="174" ht="15.75" customHeight="1">
      <c r="A174" s="28"/>
      <c r="B174" s="28"/>
      <c r="C174" s="25"/>
      <c r="D174" s="25"/>
      <c r="E174" s="25"/>
      <c r="F174" s="35"/>
      <c r="G174" s="35"/>
      <c r="H174" s="92"/>
      <c r="I174" s="92"/>
    </row>
    <row r="175" ht="15.75" customHeight="1">
      <c r="A175" s="28"/>
      <c r="B175" s="28"/>
      <c r="C175" s="25"/>
      <c r="D175" s="25"/>
      <c r="E175" s="25"/>
      <c r="F175" s="35"/>
      <c r="G175" s="35"/>
      <c r="H175" s="92"/>
      <c r="I175" s="92"/>
    </row>
    <row r="176" ht="15.75" customHeight="1">
      <c r="A176" s="28"/>
      <c r="B176" s="28"/>
      <c r="C176" s="25"/>
      <c r="D176" s="25"/>
      <c r="E176" s="25"/>
      <c r="F176" s="35"/>
      <c r="G176" s="35"/>
      <c r="H176" s="92"/>
      <c r="I176" s="92"/>
    </row>
    <row r="177" ht="15.75" customHeight="1">
      <c r="A177" s="28"/>
      <c r="B177" s="28"/>
      <c r="C177" s="25"/>
      <c r="D177" s="25"/>
      <c r="E177" s="25"/>
      <c r="F177" s="35"/>
      <c r="G177" s="35"/>
      <c r="H177" s="92"/>
      <c r="I177" s="92"/>
    </row>
    <row r="178" ht="15.75" customHeight="1">
      <c r="A178" s="28"/>
      <c r="B178" s="28"/>
      <c r="C178" s="25"/>
      <c r="D178" s="25"/>
      <c r="E178" s="25"/>
      <c r="F178" s="35"/>
      <c r="G178" s="35"/>
      <c r="H178" s="92"/>
      <c r="I178" s="92"/>
    </row>
    <row r="179" ht="15.75" customHeight="1">
      <c r="A179" s="28"/>
      <c r="B179" s="28"/>
      <c r="C179" s="25"/>
      <c r="D179" s="25"/>
      <c r="E179" s="25"/>
      <c r="F179" s="35"/>
      <c r="G179" s="35"/>
      <c r="H179" s="92"/>
      <c r="I179" s="92"/>
    </row>
    <row r="180" ht="15.75" customHeight="1">
      <c r="A180" s="28"/>
      <c r="B180" s="28"/>
      <c r="C180" s="25"/>
      <c r="D180" s="25"/>
      <c r="E180" s="25"/>
      <c r="F180" s="35"/>
      <c r="G180" s="35"/>
      <c r="H180" s="92"/>
      <c r="I180" s="92"/>
    </row>
    <row r="181" ht="15.75" customHeight="1">
      <c r="A181" s="28"/>
      <c r="B181" s="28"/>
      <c r="C181" s="25"/>
      <c r="D181" s="25"/>
      <c r="E181" s="25"/>
      <c r="F181" s="35"/>
      <c r="G181" s="35"/>
      <c r="H181" s="92"/>
      <c r="I181" s="92"/>
    </row>
    <row r="182" ht="15.75" customHeight="1">
      <c r="A182" s="28"/>
      <c r="B182" s="28"/>
      <c r="C182" s="25"/>
      <c r="D182" s="25"/>
      <c r="E182" s="25"/>
      <c r="F182" s="35"/>
      <c r="G182" s="35"/>
      <c r="H182" s="92"/>
      <c r="I182" s="92"/>
    </row>
    <row r="183" ht="15.75" customHeight="1">
      <c r="A183" s="28"/>
      <c r="B183" s="28"/>
      <c r="C183" s="25"/>
      <c r="D183" s="25"/>
      <c r="E183" s="25"/>
      <c r="F183" s="35"/>
      <c r="G183" s="35"/>
      <c r="H183" s="92"/>
      <c r="I183" s="92"/>
    </row>
    <row r="184" ht="15.75" customHeight="1">
      <c r="A184" s="28"/>
      <c r="B184" s="28"/>
      <c r="C184" s="25"/>
      <c r="D184" s="25"/>
      <c r="E184" s="25"/>
      <c r="F184" s="35"/>
      <c r="G184" s="35"/>
      <c r="H184" s="92"/>
      <c r="I184" s="92"/>
    </row>
    <row r="185" ht="15.75" customHeight="1">
      <c r="A185" s="28"/>
      <c r="B185" s="28"/>
      <c r="C185" s="25"/>
      <c r="D185" s="25"/>
      <c r="E185" s="25"/>
      <c r="F185" s="35"/>
      <c r="G185" s="35"/>
      <c r="H185" s="92"/>
      <c r="I185" s="92"/>
    </row>
    <row r="186" ht="15.75" customHeight="1">
      <c r="A186" s="28"/>
      <c r="B186" s="28"/>
      <c r="C186" s="25"/>
      <c r="D186" s="25"/>
      <c r="E186" s="25"/>
      <c r="F186" s="35"/>
      <c r="G186" s="35"/>
      <c r="H186" s="92"/>
      <c r="I186" s="92"/>
    </row>
    <row r="187" ht="15.75" customHeight="1">
      <c r="A187" s="28"/>
      <c r="B187" s="28"/>
      <c r="C187" s="25"/>
      <c r="D187" s="25"/>
      <c r="E187" s="25"/>
      <c r="F187" s="35"/>
      <c r="G187" s="35"/>
      <c r="H187" s="92"/>
      <c r="I187" s="92"/>
    </row>
    <row r="188" ht="15.75" customHeight="1">
      <c r="A188" s="28"/>
      <c r="B188" s="28"/>
      <c r="C188" s="25"/>
      <c r="D188" s="25"/>
      <c r="E188" s="25"/>
      <c r="F188" s="35"/>
      <c r="G188" s="35"/>
      <c r="H188" s="92"/>
      <c r="I188" s="92"/>
    </row>
    <row r="189" ht="15.75" customHeight="1">
      <c r="A189" s="28"/>
      <c r="B189" s="28"/>
      <c r="C189" s="25"/>
      <c r="D189" s="25"/>
      <c r="E189" s="25"/>
      <c r="F189" s="35"/>
      <c r="G189" s="35"/>
      <c r="H189" s="92"/>
      <c r="I189" s="92"/>
    </row>
    <row r="190" ht="15.75" customHeight="1">
      <c r="A190" s="28"/>
      <c r="B190" s="28"/>
      <c r="C190" s="25"/>
      <c r="D190" s="25"/>
      <c r="E190" s="25"/>
      <c r="F190" s="35"/>
      <c r="G190" s="35"/>
      <c r="H190" s="92"/>
      <c r="I190" s="92"/>
    </row>
    <row r="191" ht="15.75" customHeight="1">
      <c r="A191" s="28"/>
      <c r="B191" s="28"/>
      <c r="C191" s="25"/>
      <c r="D191" s="25"/>
      <c r="E191" s="25"/>
      <c r="F191" s="35"/>
      <c r="G191" s="35"/>
      <c r="H191" s="92"/>
      <c r="I191" s="92"/>
    </row>
    <row r="192" ht="15.75" customHeight="1">
      <c r="A192" s="28"/>
      <c r="B192" s="28"/>
      <c r="C192" s="25"/>
      <c r="D192" s="25"/>
      <c r="E192" s="25"/>
      <c r="F192" s="35"/>
      <c r="G192" s="35"/>
      <c r="H192" s="92"/>
      <c r="I192" s="92"/>
    </row>
    <row r="193" ht="15.75" customHeight="1">
      <c r="A193" s="28"/>
      <c r="B193" s="28"/>
      <c r="C193" s="25"/>
      <c r="D193" s="25"/>
      <c r="E193" s="25"/>
      <c r="F193" s="35"/>
      <c r="G193" s="35"/>
      <c r="H193" s="92"/>
      <c r="I193" s="92"/>
    </row>
    <row r="194" ht="15.75" customHeight="1">
      <c r="A194" s="28"/>
      <c r="B194" s="28"/>
      <c r="C194" s="25"/>
      <c r="D194" s="25"/>
      <c r="E194" s="25"/>
      <c r="F194" s="35"/>
      <c r="G194" s="35"/>
      <c r="H194" s="92"/>
      <c r="I194" s="92"/>
    </row>
    <row r="195" ht="15.75" customHeight="1">
      <c r="A195" s="28"/>
      <c r="B195" s="28"/>
      <c r="C195" s="25"/>
      <c r="D195" s="25"/>
      <c r="E195" s="25"/>
      <c r="F195" s="35"/>
      <c r="G195" s="35"/>
      <c r="H195" s="92"/>
      <c r="I195" s="92"/>
    </row>
    <row r="196" ht="15.75" customHeight="1">
      <c r="A196" s="28"/>
      <c r="B196" s="28"/>
      <c r="C196" s="25"/>
      <c r="D196" s="25"/>
      <c r="E196" s="25"/>
      <c r="F196" s="35"/>
      <c r="G196" s="35"/>
      <c r="H196" s="92"/>
      <c r="I196" s="92"/>
    </row>
    <row r="197" ht="15.75" customHeight="1">
      <c r="A197" s="28"/>
      <c r="B197" s="28"/>
      <c r="C197" s="25"/>
      <c r="D197" s="25"/>
      <c r="E197" s="25"/>
      <c r="F197" s="35"/>
      <c r="G197" s="35"/>
      <c r="H197" s="92"/>
      <c r="I197" s="92"/>
    </row>
    <row r="198" ht="15.75" customHeight="1">
      <c r="A198" s="28"/>
      <c r="B198" s="28"/>
      <c r="C198" s="25"/>
      <c r="D198" s="25"/>
      <c r="E198" s="25"/>
      <c r="F198" s="35"/>
      <c r="G198" s="35"/>
      <c r="H198" s="92"/>
      <c r="I198" s="92"/>
    </row>
    <row r="199" ht="15.75" customHeight="1">
      <c r="A199" s="28"/>
      <c r="B199" s="28"/>
      <c r="C199" s="25"/>
      <c r="D199" s="25"/>
      <c r="E199" s="25"/>
      <c r="F199" s="35"/>
      <c r="G199" s="35"/>
      <c r="H199" s="92"/>
      <c r="I199" s="92"/>
    </row>
    <row r="200" ht="15.75" customHeight="1">
      <c r="A200" s="28"/>
      <c r="B200" s="28"/>
      <c r="C200" s="25"/>
      <c r="D200" s="25"/>
      <c r="E200" s="25"/>
      <c r="F200" s="35"/>
      <c r="G200" s="35"/>
      <c r="H200" s="92"/>
      <c r="I200" s="92"/>
    </row>
    <row r="201" ht="15.75" customHeight="1">
      <c r="A201" s="28"/>
      <c r="B201" s="28"/>
      <c r="C201" s="25"/>
      <c r="D201" s="25"/>
      <c r="E201" s="25"/>
      <c r="F201" s="35"/>
      <c r="G201" s="35"/>
      <c r="H201" s="92"/>
      <c r="I201" s="92"/>
    </row>
    <row r="202" ht="15.75" customHeight="1">
      <c r="A202" s="28"/>
      <c r="B202" s="28"/>
      <c r="C202" s="25"/>
      <c r="D202" s="25"/>
      <c r="E202" s="25"/>
      <c r="F202" s="35"/>
      <c r="G202" s="35"/>
      <c r="H202" s="92"/>
      <c r="I202" s="92"/>
    </row>
    <row r="203" ht="15.75" customHeight="1">
      <c r="A203" s="28"/>
      <c r="B203" s="28"/>
      <c r="C203" s="25"/>
      <c r="D203" s="25"/>
      <c r="E203" s="25"/>
      <c r="F203" s="35"/>
      <c r="G203" s="35"/>
      <c r="H203" s="92"/>
      <c r="I203" s="92"/>
    </row>
    <row r="204" ht="15.75" customHeight="1">
      <c r="A204" s="28"/>
      <c r="B204" s="28"/>
      <c r="C204" s="25"/>
      <c r="D204" s="25"/>
      <c r="E204" s="25"/>
      <c r="F204" s="35"/>
      <c r="G204" s="35"/>
      <c r="H204" s="92"/>
      <c r="I204" s="92"/>
    </row>
    <row r="205" ht="15.75" customHeight="1">
      <c r="A205" s="28"/>
      <c r="B205" s="28"/>
      <c r="C205" s="25"/>
      <c r="D205" s="25"/>
      <c r="E205" s="25"/>
      <c r="F205" s="35"/>
      <c r="G205" s="35"/>
      <c r="H205" s="92"/>
      <c r="I205" s="92"/>
    </row>
    <row r="206" ht="15.75" customHeight="1">
      <c r="A206" s="28"/>
      <c r="B206" s="28"/>
      <c r="C206" s="25"/>
      <c r="D206" s="25"/>
      <c r="E206" s="25"/>
      <c r="F206" s="35"/>
      <c r="G206" s="35"/>
      <c r="H206" s="92"/>
      <c r="I206" s="92"/>
    </row>
    <row r="207" ht="15.75" customHeight="1">
      <c r="A207" s="28"/>
      <c r="B207" s="28"/>
      <c r="C207" s="25"/>
      <c r="D207" s="25"/>
      <c r="E207" s="25"/>
      <c r="F207" s="35"/>
      <c r="G207" s="35"/>
      <c r="H207" s="92"/>
      <c r="I207" s="92"/>
    </row>
    <row r="208" ht="15.75" customHeight="1">
      <c r="A208" s="28"/>
      <c r="B208" s="28"/>
      <c r="C208" s="25"/>
      <c r="D208" s="25"/>
      <c r="E208" s="25"/>
      <c r="F208" s="35"/>
      <c r="G208" s="35"/>
      <c r="H208" s="92"/>
      <c r="I208" s="92"/>
    </row>
    <row r="209" ht="15.75" customHeight="1">
      <c r="A209" s="28"/>
      <c r="B209" s="28"/>
      <c r="C209" s="25"/>
      <c r="D209" s="25"/>
      <c r="E209" s="25"/>
      <c r="F209" s="35"/>
      <c r="G209" s="35"/>
      <c r="H209" s="92"/>
      <c r="I209" s="92"/>
    </row>
    <row r="210" ht="15.75" customHeight="1">
      <c r="A210" s="28"/>
      <c r="B210" s="28"/>
      <c r="C210" s="25"/>
      <c r="D210" s="25"/>
      <c r="E210" s="25"/>
      <c r="F210" s="35"/>
      <c r="G210" s="35"/>
      <c r="H210" s="92"/>
      <c r="I210" s="92"/>
    </row>
    <row r="211" ht="15.75" customHeight="1">
      <c r="A211" s="28"/>
      <c r="B211" s="28"/>
      <c r="C211" s="25"/>
      <c r="D211" s="25"/>
      <c r="E211" s="25"/>
      <c r="F211" s="35"/>
      <c r="G211" s="35"/>
      <c r="H211" s="92"/>
      <c r="I211" s="92"/>
    </row>
    <row r="212" ht="15.75" customHeight="1">
      <c r="A212" s="28"/>
      <c r="B212" s="28"/>
      <c r="C212" s="25"/>
      <c r="D212" s="25"/>
      <c r="E212" s="25"/>
      <c r="F212" s="35"/>
      <c r="G212" s="35"/>
      <c r="H212" s="92"/>
      <c r="I212" s="92"/>
    </row>
    <row r="213" ht="15.75" customHeight="1">
      <c r="A213" s="28"/>
      <c r="B213" s="28"/>
      <c r="C213" s="25"/>
      <c r="D213" s="25"/>
      <c r="E213" s="25"/>
      <c r="F213" s="35"/>
      <c r="G213" s="35"/>
      <c r="H213" s="92"/>
      <c r="I213" s="92"/>
    </row>
    <row r="214" ht="15.75" customHeight="1">
      <c r="A214" s="28"/>
      <c r="B214" s="28"/>
      <c r="C214" s="25"/>
      <c r="D214" s="25"/>
      <c r="E214" s="25"/>
      <c r="F214" s="35"/>
      <c r="G214" s="35"/>
      <c r="H214" s="92"/>
      <c r="I214" s="92"/>
    </row>
    <row r="215" ht="15.75" customHeight="1">
      <c r="A215" s="28"/>
      <c r="B215" s="28"/>
      <c r="C215" s="25"/>
      <c r="D215" s="25"/>
      <c r="E215" s="25"/>
      <c r="F215" s="35"/>
      <c r="G215" s="35"/>
      <c r="H215" s="92"/>
      <c r="I215" s="92"/>
    </row>
    <row r="216" ht="15.75" customHeight="1">
      <c r="A216" s="28"/>
      <c r="B216" s="28"/>
      <c r="C216" s="25"/>
      <c r="D216" s="25"/>
      <c r="E216" s="25"/>
      <c r="F216" s="35"/>
      <c r="G216" s="35"/>
      <c r="H216" s="92"/>
      <c r="I216" s="92"/>
    </row>
    <row r="217" ht="15.75" customHeight="1">
      <c r="A217" s="28"/>
      <c r="B217" s="28"/>
      <c r="C217" s="25"/>
      <c r="D217" s="25"/>
      <c r="E217" s="25"/>
      <c r="F217" s="35"/>
      <c r="G217" s="35"/>
      <c r="H217" s="92"/>
      <c r="I217" s="92"/>
    </row>
    <row r="218" ht="15.75" customHeight="1">
      <c r="A218" s="28"/>
      <c r="B218" s="28"/>
      <c r="C218" s="25"/>
      <c r="D218" s="25"/>
      <c r="E218" s="25"/>
      <c r="F218" s="35"/>
      <c r="G218" s="35"/>
      <c r="H218" s="92"/>
      <c r="I218" s="92"/>
    </row>
    <row r="219" ht="15.75" customHeight="1">
      <c r="A219" s="28"/>
      <c r="B219" s="28"/>
      <c r="C219" s="25"/>
      <c r="D219" s="25"/>
      <c r="E219" s="25"/>
      <c r="F219" s="35"/>
      <c r="G219" s="35"/>
      <c r="H219" s="92"/>
      <c r="I219" s="92"/>
    </row>
    <row r="220" ht="15.75" customHeight="1">
      <c r="A220" s="28"/>
      <c r="B220" s="28"/>
      <c r="C220" s="25"/>
      <c r="D220" s="25"/>
      <c r="E220" s="25"/>
      <c r="F220" s="35"/>
      <c r="G220" s="35"/>
      <c r="H220" s="92"/>
      <c r="I220" s="92"/>
    </row>
    <row r="221" ht="15.75" customHeight="1">
      <c r="A221" s="28"/>
      <c r="B221" s="28"/>
      <c r="C221" s="25"/>
      <c r="D221" s="25"/>
      <c r="E221" s="25"/>
      <c r="F221" s="35"/>
      <c r="G221" s="35"/>
      <c r="H221" s="92"/>
      <c r="I221" s="92"/>
    </row>
    <row r="222" ht="15.75" customHeight="1">
      <c r="A222" s="28"/>
      <c r="B222" s="28"/>
      <c r="C222" s="25"/>
      <c r="D222" s="25"/>
      <c r="E222" s="25"/>
      <c r="F222" s="35"/>
      <c r="G222" s="35"/>
      <c r="H222" s="92"/>
      <c r="I222" s="92"/>
    </row>
    <row r="223" ht="15.75" customHeight="1">
      <c r="A223" s="28"/>
      <c r="B223" s="28"/>
      <c r="C223" s="25"/>
      <c r="D223" s="25"/>
      <c r="E223" s="25"/>
      <c r="F223" s="35"/>
      <c r="G223" s="35"/>
      <c r="H223" s="92"/>
      <c r="I223" s="92"/>
    </row>
    <row r="224" ht="15.75" customHeight="1">
      <c r="A224" s="28"/>
      <c r="B224" s="28"/>
      <c r="C224" s="25"/>
      <c r="D224" s="25"/>
      <c r="E224" s="25"/>
      <c r="F224" s="35"/>
      <c r="G224" s="35"/>
      <c r="H224" s="92"/>
      <c r="I224" s="92"/>
    </row>
    <row r="225" ht="15.75" customHeight="1">
      <c r="A225" s="28"/>
      <c r="B225" s="28"/>
      <c r="C225" s="25"/>
      <c r="D225" s="25"/>
      <c r="E225" s="25"/>
      <c r="F225" s="35"/>
      <c r="G225" s="35"/>
      <c r="H225" s="92"/>
      <c r="I225" s="92"/>
    </row>
    <row r="226" ht="15.75" customHeight="1">
      <c r="A226" s="28"/>
      <c r="B226" s="28"/>
      <c r="C226" s="25"/>
      <c r="D226" s="25"/>
      <c r="E226" s="25"/>
      <c r="F226" s="35"/>
      <c r="G226" s="35"/>
      <c r="H226" s="92"/>
      <c r="I226" s="92"/>
    </row>
    <row r="227" ht="15.75" customHeight="1">
      <c r="A227" s="28"/>
      <c r="B227" s="28"/>
      <c r="C227" s="25"/>
      <c r="D227" s="25"/>
      <c r="E227" s="25"/>
      <c r="F227" s="35"/>
      <c r="G227" s="35"/>
      <c r="H227" s="92"/>
      <c r="I227" s="92"/>
    </row>
    <row r="228" ht="15.75" customHeight="1">
      <c r="A228" s="28"/>
      <c r="B228" s="28"/>
      <c r="C228" s="25"/>
      <c r="D228" s="25"/>
      <c r="E228" s="25"/>
      <c r="F228" s="35"/>
      <c r="G228" s="35"/>
      <c r="H228" s="92"/>
      <c r="I228" s="92"/>
    </row>
    <row r="229" ht="15.75" customHeight="1">
      <c r="A229" s="28"/>
      <c r="B229" s="28"/>
      <c r="C229" s="25"/>
      <c r="D229" s="25"/>
      <c r="E229" s="25"/>
      <c r="F229" s="35"/>
      <c r="G229" s="35"/>
      <c r="H229" s="92"/>
      <c r="I229" s="92"/>
    </row>
    <row r="230" ht="15.75" customHeight="1">
      <c r="A230" s="28"/>
      <c r="B230" s="28"/>
      <c r="C230" s="25"/>
      <c r="D230" s="25"/>
      <c r="E230" s="25"/>
      <c r="F230" s="35"/>
      <c r="G230" s="35"/>
      <c r="H230" s="92"/>
      <c r="I230" s="92"/>
    </row>
    <row r="231" ht="15.75" customHeight="1">
      <c r="A231" s="28"/>
      <c r="B231" s="28"/>
      <c r="C231" s="25"/>
      <c r="D231" s="25"/>
      <c r="E231" s="25"/>
      <c r="F231" s="35"/>
      <c r="G231" s="35"/>
      <c r="H231" s="92"/>
      <c r="I231" s="92"/>
    </row>
    <row r="232" ht="15.75" customHeight="1">
      <c r="A232" s="28"/>
      <c r="B232" s="28"/>
      <c r="C232" s="25"/>
      <c r="D232" s="25"/>
      <c r="E232" s="25"/>
      <c r="F232" s="35"/>
      <c r="G232" s="35"/>
      <c r="H232" s="92"/>
      <c r="I232" s="92"/>
    </row>
    <row r="233" ht="15.75" customHeight="1">
      <c r="A233" s="28"/>
      <c r="B233" s="28"/>
      <c r="C233" s="25"/>
      <c r="D233" s="25"/>
      <c r="E233" s="25"/>
      <c r="F233" s="35"/>
      <c r="G233" s="35"/>
      <c r="H233" s="92"/>
      <c r="I233" s="92"/>
    </row>
    <row r="234" ht="15.75" customHeight="1">
      <c r="A234" s="28"/>
      <c r="B234" s="28"/>
      <c r="C234" s="25"/>
      <c r="D234" s="25"/>
      <c r="E234" s="25"/>
      <c r="F234" s="35"/>
      <c r="G234" s="35"/>
      <c r="H234" s="92"/>
      <c r="I234" s="92"/>
    </row>
    <row r="235" ht="15.75" customHeight="1">
      <c r="A235" s="28"/>
      <c r="B235" s="28"/>
      <c r="C235" s="25"/>
      <c r="D235" s="25"/>
      <c r="E235" s="25"/>
      <c r="F235" s="35"/>
      <c r="G235" s="35"/>
      <c r="H235" s="92"/>
      <c r="I235" s="92"/>
    </row>
    <row r="236" ht="15.75" customHeight="1">
      <c r="A236" s="28"/>
      <c r="B236" s="28"/>
      <c r="C236" s="25"/>
      <c r="D236" s="25"/>
      <c r="E236" s="25"/>
      <c r="F236" s="35"/>
      <c r="G236" s="35"/>
      <c r="H236" s="92"/>
      <c r="I236" s="92"/>
    </row>
    <row r="237" ht="15.75" customHeight="1">
      <c r="A237" s="28"/>
      <c r="B237" s="28"/>
      <c r="C237" s="25"/>
      <c r="D237" s="25"/>
      <c r="E237" s="25"/>
      <c r="F237" s="35"/>
      <c r="G237" s="35"/>
      <c r="H237" s="92"/>
      <c r="I237" s="92"/>
    </row>
    <row r="238" ht="15.75" customHeight="1">
      <c r="A238" s="28"/>
      <c r="B238" s="28"/>
      <c r="C238" s="25"/>
      <c r="D238" s="25"/>
      <c r="E238" s="25"/>
      <c r="F238" s="35"/>
      <c r="G238" s="35"/>
      <c r="H238" s="92"/>
      <c r="I238" s="92"/>
    </row>
    <row r="239" ht="15.75" customHeight="1">
      <c r="A239" s="28"/>
      <c r="B239" s="28"/>
      <c r="C239" s="25"/>
      <c r="D239" s="25"/>
      <c r="E239" s="25"/>
      <c r="F239" s="35"/>
      <c r="G239" s="35"/>
      <c r="H239" s="92"/>
      <c r="I239" s="92"/>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2 F17:F26 F28:F1000 G2:I1000">
    <cfRule type="beginsWith" dxfId="0" priority="1" operator="beginsWith" text="MET">
      <formula>LEFT((F2),LEN("MET"))=("MET")</formula>
    </cfRule>
  </conditionalFormatting>
  <conditionalFormatting sqref="F2:F12 F17:F26 F28:F1000 G2:I1000">
    <cfRule type="beginsWith" dxfId="1" priority="2" operator="beginsWith" text="UNMET">
      <formula>LEFT((F2),LEN("UNMET"))=("UNMET")</formula>
    </cfRule>
  </conditionalFormatting>
  <conditionalFormatting sqref="F2:F12 F17:F26 F28:F1000 G2:I1000">
    <cfRule type="beginsWith" dxfId="2" priority="3" operator="beginsWith" text="WIP">
      <formula>LEFT((F2),LEN("WIP"))=("WIP")</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40.25"/>
    <col customWidth="1" min="3" max="3" width="24.88"/>
    <col customWidth="1" min="4" max="4" width="11.5"/>
    <col customWidth="1" min="5" max="5" width="16.25"/>
    <col customWidth="1" min="6" max="6" width="16.13"/>
    <col customWidth="1" min="7" max="7" width="14.25"/>
    <col customWidth="1" min="8" max="8" width="18.0"/>
    <col customWidth="1" min="9" max="9" width="14.75"/>
    <col customWidth="1" min="10" max="10" width="14.88"/>
    <col customWidth="1" min="11" max="11" width="8.63"/>
    <col customWidth="1" min="12" max="12" width="5.5"/>
    <col customWidth="1" min="13" max="13" width="4.13"/>
  </cols>
  <sheetData>
    <row r="1">
      <c r="A1" s="97" t="s">
        <v>165</v>
      </c>
      <c r="B1" s="97" t="s">
        <v>166</v>
      </c>
      <c r="C1" s="97" t="s">
        <v>167</v>
      </c>
      <c r="D1" s="97" t="s">
        <v>168</v>
      </c>
      <c r="E1" s="97" t="s">
        <v>169</v>
      </c>
      <c r="F1" s="97" t="s">
        <v>170</v>
      </c>
      <c r="G1" s="97" t="s">
        <v>171</v>
      </c>
      <c r="H1" s="97" t="s">
        <v>172</v>
      </c>
      <c r="I1" s="97" t="s">
        <v>173</v>
      </c>
      <c r="J1" s="97" t="s">
        <v>174</v>
      </c>
      <c r="K1" s="97" t="s">
        <v>175</v>
      </c>
      <c r="L1" s="97" t="s">
        <v>176</v>
      </c>
      <c r="M1" s="98"/>
    </row>
    <row r="2">
      <c r="A2" s="98" t="s">
        <v>177</v>
      </c>
      <c r="B2" s="99" t="s">
        <v>178</v>
      </c>
      <c r="C2" s="98" t="s">
        <v>179</v>
      </c>
      <c r="D2" s="53" t="s">
        <v>180</v>
      </c>
      <c r="E2" s="53" t="s">
        <v>181</v>
      </c>
      <c r="F2" s="53" t="s">
        <v>182</v>
      </c>
      <c r="G2" s="53" t="s">
        <v>183</v>
      </c>
      <c r="H2" s="53" t="s">
        <v>184</v>
      </c>
      <c r="I2" s="53" t="s">
        <v>185</v>
      </c>
      <c r="J2" s="53" t="s">
        <v>186</v>
      </c>
      <c r="K2" s="53" t="s">
        <v>187</v>
      </c>
      <c r="L2" s="100"/>
      <c r="M2" s="53"/>
    </row>
    <row r="3">
      <c r="A3" s="101" t="s">
        <v>188</v>
      </c>
      <c r="B3" s="99" t="s">
        <v>189</v>
      </c>
      <c r="C3" s="101" t="s">
        <v>190</v>
      </c>
      <c r="D3" s="53" t="s">
        <v>191</v>
      </c>
      <c r="E3" s="53" t="s">
        <v>192</v>
      </c>
      <c r="F3" s="53" t="s">
        <v>193</v>
      </c>
      <c r="G3" s="53" t="s">
        <v>194</v>
      </c>
      <c r="H3" s="53" t="s">
        <v>195</v>
      </c>
      <c r="I3" s="53" t="s">
        <v>196</v>
      </c>
      <c r="J3" s="53" t="s">
        <v>197</v>
      </c>
      <c r="K3" s="53" t="s">
        <v>198</v>
      </c>
      <c r="L3" s="100"/>
      <c r="M3" s="100"/>
    </row>
    <row r="4">
      <c r="A4" s="101" t="s">
        <v>199</v>
      </c>
      <c r="B4" s="99" t="s">
        <v>200</v>
      </c>
      <c r="C4" s="101" t="s">
        <v>201</v>
      </c>
      <c r="D4" s="53" t="s">
        <v>202</v>
      </c>
      <c r="E4" s="53" t="s">
        <v>203</v>
      </c>
      <c r="F4" s="53" t="s">
        <v>204</v>
      </c>
      <c r="G4" s="53" t="s">
        <v>205</v>
      </c>
      <c r="H4" s="53" t="s">
        <v>206</v>
      </c>
      <c r="I4" s="53" t="s">
        <v>185</v>
      </c>
      <c r="J4" s="53" t="s">
        <v>207</v>
      </c>
      <c r="K4" s="53" t="s">
        <v>208</v>
      </c>
      <c r="L4" s="100"/>
      <c r="M4" s="100"/>
    </row>
    <row r="5">
      <c r="A5" s="101" t="s">
        <v>209</v>
      </c>
      <c r="B5" s="99" t="s">
        <v>210</v>
      </c>
      <c r="C5" s="101" t="s">
        <v>211</v>
      </c>
      <c r="D5" s="53" t="s">
        <v>202</v>
      </c>
      <c r="E5" s="53" t="s">
        <v>212</v>
      </c>
      <c r="F5" s="53" t="s">
        <v>213</v>
      </c>
      <c r="G5" s="53" t="s">
        <v>214</v>
      </c>
      <c r="H5" s="53" t="s">
        <v>215</v>
      </c>
      <c r="I5" s="53" t="s">
        <v>185</v>
      </c>
      <c r="J5" s="53" t="s">
        <v>216</v>
      </c>
      <c r="K5" s="53" t="s">
        <v>217</v>
      </c>
      <c r="L5" s="100"/>
      <c r="M5" s="100"/>
    </row>
    <row r="6">
      <c r="A6" s="101" t="s">
        <v>218</v>
      </c>
      <c r="B6" s="99" t="s">
        <v>219</v>
      </c>
      <c r="C6" s="101" t="s">
        <v>220</v>
      </c>
      <c r="D6" s="53" t="s">
        <v>202</v>
      </c>
      <c r="E6" s="53" t="s">
        <v>221</v>
      </c>
      <c r="F6" s="53" t="s">
        <v>222</v>
      </c>
      <c r="G6" s="53" t="s">
        <v>223</v>
      </c>
      <c r="H6" s="53" t="s">
        <v>224</v>
      </c>
      <c r="I6" s="53" t="s">
        <v>196</v>
      </c>
      <c r="J6" s="53" t="s">
        <v>225</v>
      </c>
      <c r="K6" s="53" t="s">
        <v>208</v>
      </c>
      <c r="L6" s="100"/>
      <c r="M6" s="100"/>
    </row>
    <row r="7">
      <c r="A7" s="101" t="s">
        <v>226</v>
      </c>
      <c r="B7" s="99" t="s">
        <v>227</v>
      </c>
      <c r="C7" s="101" t="s">
        <v>228</v>
      </c>
      <c r="D7" s="53" t="s">
        <v>191</v>
      </c>
      <c r="E7" s="53" t="s">
        <v>229</v>
      </c>
      <c r="F7" s="53" t="s">
        <v>230</v>
      </c>
      <c r="G7" s="53" t="s">
        <v>231</v>
      </c>
      <c r="H7" s="53" t="s">
        <v>232</v>
      </c>
      <c r="I7" s="53" t="s">
        <v>233</v>
      </c>
      <c r="J7" s="53" t="s">
        <v>234</v>
      </c>
      <c r="K7" s="53" t="s">
        <v>235</v>
      </c>
      <c r="L7" s="100"/>
      <c r="M7" s="100"/>
    </row>
    <row r="8" ht="14.25" customHeight="1">
      <c r="A8" s="102"/>
      <c r="B8" s="102"/>
      <c r="C8" s="98"/>
      <c r="D8" s="102"/>
      <c r="E8" s="102"/>
      <c r="F8" s="102"/>
      <c r="G8" s="102"/>
      <c r="H8" s="102"/>
      <c r="I8" s="102"/>
      <c r="J8" s="102"/>
      <c r="K8" s="102"/>
      <c r="L8" s="102"/>
      <c r="M8" s="102"/>
    </row>
  </sheetData>
  <printOptions/>
  <pageMargins bottom="0.75" footer="0.0" header="0.0" left="0.7" right="0.7" top="0.75"/>
  <pageSetup paperSize="8"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38"/>
    <col customWidth="1" min="2" max="2" width="18.0"/>
    <col customWidth="1" min="3" max="3" width="19.0"/>
    <col customWidth="1" min="4" max="4" width="16.38"/>
    <col customWidth="1" min="5" max="5" width="15.63"/>
    <col customWidth="1" min="6" max="6" width="16.13"/>
    <col customWidth="1" min="7" max="7" width="15.88"/>
    <col customWidth="1" min="8" max="8" width="16.25"/>
    <col customWidth="1" min="9" max="9" width="12.75"/>
    <col customWidth="1" min="10" max="10" width="16.25"/>
    <col customWidth="1" min="11" max="11" width="8.63"/>
    <col customWidth="1" min="12" max="12" width="15.13"/>
    <col customWidth="1" min="13" max="13" width="4.75"/>
  </cols>
  <sheetData>
    <row r="1">
      <c r="A1" s="103" t="s">
        <v>165</v>
      </c>
      <c r="B1" s="103" t="s">
        <v>166</v>
      </c>
      <c r="C1" s="103" t="s">
        <v>167</v>
      </c>
      <c r="D1" s="103" t="s">
        <v>168</v>
      </c>
      <c r="E1" s="103" t="s">
        <v>169</v>
      </c>
      <c r="F1" s="104" t="s">
        <v>170</v>
      </c>
      <c r="G1" s="105" t="s">
        <v>171</v>
      </c>
      <c r="H1" s="106" t="s">
        <v>172</v>
      </c>
      <c r="I1" s="103" t="s">
        <v>173</v>
      </c>
      <c r="J1" s="103" t="s">
        <v>174</v>
      </c>
      <c r="K1" s="103" t="s">
        <v>236</v>
      </c>
      <c r="L1" s="103" t="s">
        <v>176</v>
      </c>
      <c r="M1" s="107"/>
    </row>
    <row r="2">
      <c r="A2" s="108" t="s">
        <v>237</v>
      </c>
      <c r="B2" s="108" t="s">
        <v>238</v>
      </c>
      <c r="C2" s="108" t="s">
        <v>239</v>
      </c>
      <c r="D2" s="108" t="s">
        <v>180</v>
      </c>
      <c r="E2" s="108" t="s">
        <v>240</v>
      </c>
      <c r="F2" s="108" t="s">
        <v>241</v>
      </c>
      <c r="G2" s="108" t="s">
        <v>242</v>
      </c>
      <c r="H2" s="108" t="s">
        <v>243</v>
      </c>
      <c r="I2" s="108" t="s">
        <v>185</v>
      </c>
      <c r="J2" s="108" t="s">
        <v>244</v>
      </c>
      <c r="K2" s="108" t="s">
        <v>187</v>
      </c>
      <c r="L2" s="108" t="s">
        <v>245</v>
      </c>
      <c r="M2" s="107"/>
    </row>
    <row r="3">
      <c r="A3" s="108" t="s">
        <v>246</v>
      </c>
      <c r="B3" s="108" t="s">
        <v>247</v>
      </c>
      <c r="C3" s="108" t="s">
        <v>248</v>
      </c>
      <c r="D3" s="108" t="s">
        <v>191</v>
      </c>
      <c r="E3" s="108" t="s">
        <v>249</v>
      </c>
      <c r="F3" s="108" t="s">
        <v>250</v>
      </c>
      <c r="G3" s="108" t="s">
        <v>251</v>
      </c>
      <c r="H3" s="108" t="s">
        <v>252</v>
      </c>
      <c r="I3" s="108" t="s">
        <v>196</v>
      </c>
      <c r="J3" s="108" t="s">
        <v>253</v>
      </c>
      <c r="K3" s="108" t="s">
        <v>254</v>
      </c>
      <c r="L3" s="108" t="s">
        <v>255</v>
      </c>
      <c r="M3" s="107"/>
    </row>
    <row r="4">
      <c r="A4" s="108" t="s">
        <v>256</v>
      </c>
      <c r="B4" s="108" t="s">
        <v>257</v>
      </c>
      <c r="C4" s="108" t="s">
        <v>258</v>
      </c>
      <c r="D4" s="108" t="s">
        <v>202</v>
      </c>
      <c r="E4" s="108" t="s">
        <v>259</v>
      </c>
      <c r="F4" s="108" t="s">
        <v>260</v>
      </c>
      <c r="G4" s="108" t="s">
        <v>261</v>
      </c>
      <c r="H4" s="108" t="s">
        <v>262</v>
      </c>
      <c r="I4" s="108" t="s">
        <v>185</v>
      </c>
      <c r="J4" s="108" t="s">
        <v>263</v>
      </c>
      <c r="K4" s="108" t="s">
        <v>187</v>
      </c>
      <c r="L4" s="108" t="s">
        <v>264</v>
      </c>
      <c r="M4" s="109"/>
    </row>
    <row r="5">
      <c r="A5" s="108" t="s">
        <v>265</v>
      </c>
      <c r="B5" s="108" t="s">
        <v>266</v>
      </c>
      <c r="C5" s="108" t="s">
        <v>267</v>
      </c>
      <c r="D5" s="108" t="s">
        <v>202</v>
      </c>
      <c r="E5" s="108" t="s">
        <v>268</v>
      </c>
      <c r="F5" s="108" t="s">
        <v>269</v>
      </c>
      <c r="G5" s="108" t="s">
        <v>270</v>
      </c>
      <c r="H5" s="108" t="s">
        <v>271</v>
      </c>
      <c r="I5" s="108" t="s">
        <v>196</v>
      </c>
      <c r="J5" s="108" t="s">
        <v>272</v>
      </c>
      <c r="K5" s="108" t="s">
        <v>273</v>
      </c>
      <c r="L5" s="108" t="s">
        <v>274</v>
      </c>
      <c r="M5" s="109"/>
    </row>
    <row r="6">
      <c r="A6" s="108" t="s">
        <v>275</v>
      </c>
      <c r="B6" s="108" t="s">
        <v>276</v>
      </c>
      <c r="C6" s="108" t="s">
        <v>277</v>
      </c>
      <c r="D6" s="108" t="s">
        <v>202</v>
      </c>
      <c r="E6" s="108" t="s">
        <v>278</v>
      </c>
      <c r="F6" s="108" t="s">
        <v>279</v>
      </c>
      <c r="G6" s="108" t="s">
        <v>280</v>
      </c>
      <c r="H6" s="108" t="s">
        <v>281</v>
      </c>
      <c r="I6" s="108" t="s">
        <v>196</v>
      </c>
      <c r="J6" s="108" t="s">
        <v>282</v>
      </c>
      <c r="K6" s="108" t="s">
        <v>235</v>
      </c>
      <c r="L6" s="108" t="s">
        <v>283</v>
      </c>
      <c r="M6" s="109"/>
    </row>
    <row r="7">
      <c r="A7" s="108" t="s">
        <v>284</v>
      </c>
      <c r="B7" s="108" t="s">
        <v>285</v>
      </c>
      <c r="C7" s="108" t="s">
        <v>286</v>
      </c>
      <c r="D7" s="108" t="s">
        <v>202</v>
      </c>
      <c r="E7" s="108" t="s">
        <v>287</v>
      </c>
      <c r="F7" s="108" t="s">
        <v>288</v>
      </c>
      <c r="G7" s="108" t="s">
        <v>289</v>
      </c>
      <c r="H7" s="108" t="s">
        <v>290</v>
      </c>
      <c r="I7" s="108" t="s">
        <v>185</v>
      </c>
      <c r="J7" s="108" t="s">
        <v>291</v>
      </c>
      <c r="K7" s="108" t="s">
        <v>292</v>
      </c>
      <c r="L7" s="108" t="s">
        <v>293</v>
      </c>
      <c r="M7" s="109"/>
    </row>
    <row r="8">
      <c r="A8" s="108" t="s">
        <v>294</v>
      </c>
      <c r="B8" s="108" t="s">
        <v>295</v>
      </c>
      <c r="C8" s="108" t="s">
        <v>296</v>
      </c>
      <c r="D8" s="108" t="s">
        <v>202</v>
      </c>
      <c r="E8" s="108" t="s">
        <v>297</v>
      </c>
      <c r="F8" s="108" t="s">
        <v>298</v>
      </c>
      <c r="G8" s="108" t="s">
        <v>299</v>
      </c>
      <c r="H8" s="108" t="s">
        <v>300</v>
      </c>
      <c r="I8" s="108" t="s">
        <v>196</v>
      </c>
      <c r="J8" s="108" t="s">
        <v>301</v>
      </c>
      <c r="K8" s="108" t="s">
        <v>302</v>
      </c>
      <c r="L8" s="108" t="s">
        <v>303</v>
      </c>
      <c r="M8" s="109"/>
    </row>
    <row r="9">
      <c r="A9" s="108" t="s">
        <v>304</v>
      </c>
      <c r="B9" s="108" t="s">
        <v>305</v>
      </c>
      <c r="C9" s="108" t="s">
        <v>306</v>
      </c>
      <c r="D9" s="108" t="s">
        <v>202</v>
      </c>
      <c r="E9" s="108" t="s">
        <v>307</v>
      </c>
      <c r="F9" s="108" t="s">
        <v>308</v>
      </c>
      <c r="G9" s="108" t="s">
        <v>309</v>
      </c>
      <c r="H9" s="108" t="s">
        <v>310</v>
      </c>
      <c r="I9" s="108" t="s">
        <v>233</v>
      </c>
      <c r="J9" s="108" t="s">
        <v>311</v>
      </c>
      <c r="K9" s="108" t="s">
        <v>187</v>
      </c>
      <c r="L9" s="108" t="s">
        <v>303</v>
      </c>
      <c r="M9" s="109"/>
    </row>
    <row r="10">
      <c r="A10" s="108" t="s">
        <v>312</v>
      </c>
      <c r="B10" s="108" t="s">
        <v>313</v>
      </c>
      <c r="C10" s="108" t="s">
        <v>314</v>
      </c>
      <c r="D10" s="108" t="s">
        <v>202</v>
      </c>
      <c r="E10" s="108" t="s">
        <v>315</v>
      </c>
      <c r="F10" s="108" t="s">
        <v>316</v>
      </c>
      <c r="G10" s="108" t="s">
        <v>317</v>
      </c>
      <c r="H10" s="108" t="s">
        <v>318</v>
      </c>
      <c r="I10" s="108" t="s">
        <v>196</v>
      </c>
      <c r="J10" s="108" t="s">
        <v>319</v>
      </c>
      <c r="K10" s="108" t="s">
        <v>320</v>
      </c>
      <c r="L10" s="108" t="s">
        <v>303</v>
      </c>
      <c r="M10" s="109"/>
    </row>
    <row r="11">
      <c r="A11" s="108" t="s">
        <v>321</v>
      </c>
      <c r="B11" s="108" t="s">
        <v>322</v>
      </c>
      <c r="C11" s="108" t="s">
        <v>323</v>
      </c>
      <c r="D11" s="108" t="s">
        <v>202</v>
      </c>
      <c r="E11" s="108" t="s">
        <v>324</v>
      </c>
      <c r="F11" s="108" t="s">
        <v>325</v>
      </c>
      <c r="G11" s="108" t="s">
        <v>326</v>
      </c>
      <c r="H11" s="108" t="s">
        <v>327</v>
      </c>
      <c r="I11" s="108" t="s">
        <v>196</v>
      </c>
      <c r="J11" s="108" t="s">
        <v>328</v>
      </c>
      <c r="K11" s="108" t="s">
        <v>235</v>
      </c>
      <c r="L11" s="108" t="s">
        <v>329</v>
      </c>
      <c r="M11" s="109"/>
    </row>
    <row r="12">
      <c r="A12" s="108" t="s">
        <v>321</v>
      </c>
      <c r="B12" s="108" t="s">
        <v>330</v>
      </c>
      <c r="C12" s="108" t="s">
        <v>331</v>
      </c>
      <c r="D12" s="108" t="s">
        <v>202</v>
      </c>
      <c r="E12" s="108" t="s">
        <v>332</v>
      </c>
      <c r="F12" s="108" t="s">
        <v>333</v>
      </c>
      <c r="G12" s="108" t="s">
        <v>334</v>
      </c>
      <c r="H12" s="108" t="s">
        <v>335</v>
      </c>
      <c r="I12" s="108" t="s">
        <v>196</v>
      </c>
      <c r="J12" s="108" t="s">
        <v>336</v>
      </c>
      <c r="K12" s="108" t="s">
        <v>235</v>
      </c>
      <c r="L12" s="108" t="s">
        <v>329</v>
      </c>
      <c r="M12" s="109"/>
    </row>
    <row r="13">
      <c r="A13" s="108" t="s">
        <v>337</v>
      </c>
      <c r="B13" s="108" t="s">
        <v>338</v>
      </c>
      <c r="C13" s="108" t="s">
        <v>339</v>
      </c>
      <c r="D13" s="108" t="s">
        <v>202</v>
      </c>
      <c r="E13" s="108" t="s">
        <v>334</v>
      </c>
      <c r="F13" s="108" t="s">
        <v>340</v>
      </c>
      <c r="G13" s="108" t="s">
        <v>341</v>
      </c>
      <c r="H13" s="108" t="s">
        <v>342</v>
      </c>
      <c r="I13" s="108" t="s">
        <v>196</v>
      </c>
      <c r="J13" s="108" t="s">
        <v>343</v>
      </c>
      <c r="K13" s="108" t="s">
        <v>344</v>
      </c>
      <c r="L13" s="108" t="s">
        <v>329</v>
      </c>
      <c r="M13" s="109"/>
    </row>
    <row r="14">
      <c r="A14" s="108" t="s">
        <v>345</v>
      </c>
      <c r="B14" s="108" t="s">
        <v>346</v>
      </c>
      <c r="C14" s="108" t="s">
        <v>347</v>
      </c>
      <c r="D14" s="108" t="s">
        <v>202</v>
      </c>
      <c r="E14" s="108" t="s">
        <v>348</v>
      </c>
      <c r="F14" s="108" t="s">
        <v>349</v>
      </c>
      <c r="G14" s="108" t="s">
        <v>350</v>
      </c>
      <c r="H14" s="108" t="s">
        <v>351</v>
      </c>
      <c r="I14" s="108" t="s">
        <v>233</v>
      </c>
      <c r="J14" s="108" t="s">
        <v>352</v>
      </c>
      <c r="K14" s="108" t="s">
        <v>353</v>
      </c>
      <c r="L14" s="108" t="s">
        <v>303</v>
      </c>
      <c r="M14" s="109"/>
    </row>
    <row r="15">
      <c r="A15" s="108" t="s">
        <v>354</v>
      </c>
      <c r="B15" s="110" t="s">
        <v>355</v>
      </c>
      <c r="C15" s="108" t="s">
        <v>356</v>
      </c>
      <c r="D15" s="108" t="s">
        <v>202</v>
      </c>
      <c r="E15" s="108" t="s">
        <v>357</v>
      </c>
      <c r="F15" s="108" t="s">
        <v>358</v>
      </c>
      <c r="G15" s="108" t="s">
        <v>359</v>
      </c>
      <c r="H15" s="108" t="s">
        <v>360</v>
      </c>
      <c r="I15" s="108" t="s">
        <v>233</v>
      </c>
      <c r="J15" s="108" t="s">
        <v>361</v>
      </c>
      <c r="K15" s="108" t="s">
        <v>362</v>
      </c>
      <c r="L15" s="108" t="s">
        <v>363</v>
      </c>
      <c r="M15" s="109"/>
    </row>
    <row r="16">
      <c r="A16" s="108" t="s">
        <v>364</v>
      </c>
      <c r="B16" s="108" t="s">
        <v>365</v>
      </c>
      <c r="C16" s="108" t="s">
        <v>366</v>
      </c>
      <c r="D16" s="108" t="s">
        <v>191</v>
      </c>
      <c r="E16" s="108" t="s">
        <v>367</v>
      </c>
      <c r="F16" s="108" t="s">
        <v>368</v>
      </c>
      <c r="G16" s="108" t="s">
        <v>369</v>
      </c>
      <c r="H16" s="108" t="s">
        <v>370</v>
      </c>
      <c r="I16" s="108" t="s">
        <v>233</v>
      </c>
      <c r="J16" s="108" t="s">
        <v>371</v>
      </c>
      <c r="K16" s="108" t="s">
        <v>187</v>
      </c>
      <c r="L16" s="108" t="s">
        <v>372</v>
      </c>
      <c r="M16" s="111"/>
    </row>
    <row r="17" ht="23.25" customHeight="1">
      <c r="A17" s="98"/>
      <c r="B17" s="98"/>
      <c r="C17" s="98"/>
      <c r="D17" s="98"/>
      <c r="E17" s="98"/>
      <c r="F17" s="98"/>
      <c r="G17" s="98"/>
      <c r="H17" s="98"/>
      <c r="I17" s="98"/>
      <c r="J17" s="98"/>
      <c r="K17" s="98"/>
      <c r="L17" s="98"/>
      <c r="M17" s="111"/>
    </row>
  </sheetData>
  <printOptions/>
  <pageMargins bottom="0.75" footer="0.0" header="0.0" left="0.7" right="0.7" top="0.75"/>
  <pageSetup paperSize="3" scale="91"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8"/>
    <col customWidth="1" min="2" max="2" width="16.88"/>
    <col customWidth="1" min="3" max="3" width="37.88"/>
    <col customWidth="1" min="4" max="4" width="7.63"/>
    <col customWidth="1" min="5" max="5" width="63.0"/>
    <col customWidth="1" min="6" max="6" width="13.38"/>
    <col customWidth="1" min="7" max="7" width="7.63"/>
  </cols>
  <sheetData>
    <row r="1" ht="14.25" customHeight="1">
      <c r="A1" s="112" t="s">
        <v>143</v>
      </c>
      <c r="B1" s="113" t="s">
        <v>373</v>
      </c>
      <c r="C1" s="105" t="s">
        <v>374</v>
      </c>
      <c r="E1" s="114" t="s">
        <v>375</v>
      </c>
      <c r="F1" s="115"/>
    </row>
    <row r="2" ht="14.25" customHeight="1">
      <c r="A2" s="116">
        <v>0.0</v>
      </c>
      <c r="B2" s="117" t="s">
        <v>376</v>
      </c>
      <c r="C2" s="118" t="s">
        <v>377</v>
      </c>
      <c r="E2" s="119" t="s">
        <v>378</v>
      </c>
      <c r="F2" s="120" t="s">
        <v>379</v>
      </c>
    </row>
    <row r="3" ht="14.25" customHeight="1">
      <c r="A3" s="121">
        <v>0.0</v>
      </c>
      <c r="B3" s="99" t="s">
        <v>380</v>
      </c>
      <c r="C3" s="122" t="s">
        <v>381</v>
      </c>
      <c r="E3" s="123" t="s">
        <v>382</v>
      </c>
      <c r="F3" s="115"/>
    </row>
    <row r="4" ht="14.25" customHeight="1">
      <c r="A4" s="121">
        <v>0.0</v>
      </c>
      <c r="B4" s="99" t="s">
        <v>383</v>
      </c>
      <c r="C4" s="122" t="s">
        <v>384</v>
      </c>
      <c r="E4" s="124" t="s">
        <v>377</v>
      </c>
      <c r="F4" s="125">
        <v>15.0</v>
      </c>
    </row>
    <row r="5" ht="14.25" customHeight="1">
      <c r="A5" s="121">
        <v>0.0</v>
      </c>
      <c r="B5" s="99" t="s">
        <v>385</v>
      </c>
      <c r="C5" s="122" t="s">
        <v>386</v>
      </c>
      <c r="E5" s="124" t="s">
        <v>381</v>
      </c>
      <c r="F5" s="125">
        <v>15.0</v>
      </c>
    </row>
    <row r="6" ht="14.25" customHeight="1">
      <c r="A6" s="121">
        <v>0.0</v>
      </c>
      <c r="B6" s="99" t="s">
        <v>387</v>
      </c>
      <c r="C6" s="122" t="s">
        <v>388</v>
      </c>
      <c r="E6" s="124" t="s">
        <v>384</v>
      </c>
      <c r="F6" s="125">
        <v>90.0</v>
      </c>
    </row>
    <row r="7" ht="14.25" customHeight="1">
      <c r="A7" s="121">
        <v>0.0</v>
      </c>
      <c r="B7" s="99" t="s">
        <v>389</v>
      </c>
      <c r="C7" s="122" t="s">
        <v>390</v>
      </c>
      <c r="E7" s="124" t="s">
        <v>386</v>
      </c>
      <c r="F7" s="125">
        <v>60.0</v>
      </c>
    </row>
    <row r="8" ht="14.25" customHeight="1">
      <c r="A8" s="121">
        <v>0.0</v>
      </c>
      <c r="B8" s="99" t="s">
        <v>391</v>
      </c>
      <c r="C8" s="122" t="s">
        <v>392</v>
      </c>
      <c r="E8" s="124" t="s">
        <v>388</v>
      </c>
      <c r="F8" s="125">
        <v>120.0</v>
      </c>
    </row>
    <row r="9" ht="14.25" customHeight="1">
      <c r="A9" s="121">
        <v>0.0</v>
      </c>
      <c r="B9" s="99" t="s">
        <v>393</v>
      </c>
      <c r="C9" s="122" t="s">
        <v>394</v>
      </c>
      <c r="E9" s="124" t="s">
        <v>390</v>
      </c>
      <c r="F9" s="125">
        <v>120.0</v>
      </c>
    </row>
    <row r="10" ht="14.25" customHeight="1">
      <c r="A10" s="126">
        <v>0.0</v>
      </c>
      <c r="B10" s="127" t="s">
        <v>395</v>
      </c>
      <c r="C10" s="128" t="s">
        <v>396</v>
      </c>
      <c r="E10" s="124" t="s">
        <v>392</v>
      </c>
      <c r="F10" s="129">
        <v>120.0</v>
      </c>
    </row>
    <row r="11" ht="14.25" customHeight="1">
      <c r="A11" s="116">
        <v>1.0</v>
      </c>
      <c r="B11" s="130" t="s">
        <v>397</v>
      </c>
      <c r="C11" s="118" t="s">
        <v>398</v>
      </c>
      <c r="E11" s="124" t="s">
        <v>394</v>
      </c>
      <c r="F11" s="129">
        <v>180.0</v>
      </c>
    </row>
    <row r="12" ht="14.25" customHeight="1">
      <c r="A12" s="121">
        <v>1.0</v>
      </c>
      <c r="B12" s="99" t="s">
        <v>399</v>
      </c>
      <c r="C12" s="122" t="s">
        <v>400</v>
      </c>
      <c r="E12" s="131" t="s">
        <v>396</v>
      </c>
      <c r="F12" s="129">
        <v>720.0</v>
      </c>
    </row>
    <row r="13" ht="14.25" customHeight="1">
      <c r="A13" s="121">
        <v>1.0</v>
      </c>
      <c r="B13" s="99" t="s">
        <v>401</v>
      </c>
      <c r="C13" s="122" t="s">
        <v>402</v>
      </c>
      <c r="E13" s="123" t="s">
        <v>403</v>
      </c>
      <c r="F13" s="115"/>
    </row>
    <row r="14" ht="14.25" customHeight="1">
      <c r="A14" s="121">
        <v>1.0</v>
      </c>
      <c r="B14" s="99" t="s">
        <v>404</v>
      </c>
      <c r="C14" s="122" t="s">
        <v>405</v>
      </c>
      <c r="E14" s="124" t="s">
        <v>398</v>
      </c>
      <c r="F14" s="125">
        <v>60.0</v>
      </c>
    </row>
    <row r="15" ht="14.25" customHeight="1">
      <c r="A15" s="121">
        <v>1.0</v>
      </c>
      <c r="B15" s="99" t="s">
        <v>406</v>
      </c>
      <c r="C15" s="122" t="s">
        <v>407</v>
      </c>
      <c r="E15" s="124" t="s">
        <v>400</v>
      </c>
      <c r="F15" s="125">
        <v>60.0</v>
      </c>
    </row>
    <row r="16" ht="14.25" customHeight="1">
      <c r="A16" s="121">
        <v>1.0</v>
      </c>
      <c r="B16" s="99" t="s">
        <v>408</v>
      </c>
      <c r="C16" s="122" t="s">
        <v>409</v>
      </c>
      <c r="E16" s="124" t="s">
        <v>402</v>
      </c>
      <c r="F16" s="125">
        <v>240.0</v>
      </c>
    </row>
    <row r="17" ht="14.25" customHeight="1">
      <c r="A17" s="121">
        <v>1.0</v>
      </c>
      <c r="B17" s="99" t="s">
        <v>410</v>
      </c>
      <c r="C17" s="122" t="s">
        <v>411</v>
      </c>
      <c r="E17" s="124" t="s">
        <v>405</v>
      </c>
      <c r="F17" s="125">
        <v>60.0</v>
      </c>
    </row>
    <row r="18" ht="14.25" customHeight="1">
      <c r="A18" s="126">
        <v>1.0</v>
      </c>
      <c r="B18" s="127" t="s">
        <v>412</v>
      </c>
      <c r="C18" s="128" t="s">
        <v>396</v>
      </c>
      <c r="E18" s="124" t="s">
        <v>407</v>
      </c>
      <c r="F18" s="129">
        <v>240.0</v>
      </c>
    </row>
    <row r="19" ht="14.25" customHeight="1">
      <c r="A19" s="116">
        <v>2.0</v>
      </c>
      <c r="B19" s="117" t="s">
        <v>413</v>
      </c>
      <c r="C19" s="118" t="s">
        <v>414</v>
      </c>
      <c r="E19" s="124" t="s">
        <v>409</v>
      </c>
      <c r="F19" s="125">
        <v>90.0</v>
      </c>
    </row>
    <row r="20" ht="14.25" customHeight="1">
      <c r="A20" s="121">
        <v>2.0</v>
      </c>
      <c r="B20" s="99" t="s">
        <v>415</v>
      </c>
      <c r="C20" s="122" t="s">
        <v>416</v>
      </c>
      <c r="E20" s="124" t="s">
        <v>411</v>
      </c>
      <c r="F20" s="125">
        <v>210.0</v>
      </c>
    </row>
    <row r="21" ht="14.25" customHeight="1">
      <c r="A21" s="121">
        <v>2.0</v>
      </c>
      <c r="B21" s="99" t="s">
        <v>417</v>
      </c>
      <c r="C21" s="122" t="s">
        <v>418</v>
      </c>
      <c r="E21" s="124" t="s">
        <v>414</v>
      </c>
      <c r="F21" s="125">
        <v>60.0</v>
      </c>
    </row>
    <row r="22" ht="14.25" customHeight="1">
      <c r="A22" s="121">
        <v>2.0</v>
      </c>
      <c r="B22" s="99" t="s">
        <v>419</v>
      </c>
      <c r="C22" s="122" t="s">
        <v>420</v>
      </c>
      <c r="E22" s="124" t="s">
        <v>416</v>
      </c>
      <c r="F22" s="125">
        <v>300.0</v>
      </c>
    </row>
    <row r="23" ht="14.25" customHeight="1">
      <c r="A23" s="121">
        <v>2.0</v>
      </c>
      <c r="B23" s="99" t="s">
        <v>421</v>
      </c>
      <c r="C23" s="122" t="s">
        <v>409</v>
      </c>
      <c r="E23" s="124" t="s">
        <v>418</v>
      </c>
      <c r="F23" s="125">
        <v>60.0</v>
      </c>
    </row>
    <row r="24" ht="14.25" customHeight="1">
      <c r="A24" s="121">
        <v>2.0</v>
      </c>
      <c r="B24" s="99" t="s">
        <v>422</v>
      </c>
      <c r="C24" s="122" t="s">
        <v>423</v>
      </c>
      <c r="E24" s="124" t="s">
        <v>420</v>
      </c>
      <c r="F24" s="125">
        <v>240.0</v>
      </c>
    </row>
    <row r="25" ht="14.25" customHeight="1">
      <c r="A25" s="126">
        <v>2.0</v>
      </c>
      <c r="B25" s="127" t="s">
        <v>424</v>
      </c>
      <c r="C25" s="132" t="s">
        <v>396</v>
      </c>
      <c r="E25" s="124" t="s">
        <v>409</v>
      </c>
      <c r="F25" s="129">
        <v>90.0</v>
      </c>
    </row>
    <row r="26" ht="14.25" customHeight="1">
      <c r="A26" s="133" t="s">
        <v>425</v>
      </c>
      <c r="C26" s="134"/>
      <c r="E26" s="124" t="s">
        <v>423</v>
      </c>
      <c r="F26" s="129">
        <v>270.0</v>
      </c>
    </row>
    <row r="27" ht="14.25" customHeight="1">
      <c r="A27" s="135">
        <v>46106.0</v>
      </c>
      <c r="B27" s="117" t="s">
        <v>426</v>
      </c>
      <c r="C27" s="136" t="s">
        <v>313</v>
      </c>
      <c r="E27" s="123" t="s">
        <v>427</v>
      </c>
      <c r="F27" s="115"/>
    </row>
    <row r="28" ht="14.25" customHeight="1">
      <c r="A28" s="137">
        <v>46106.0</v>
      </c>
      <c r="B28" s="99" t="s">
        <v>426</v>
      </c>
      <c r="C28" s="138" t="s">
        <v>428</v>
      </c>
      <c r="E28" s="125" t="s">
        <v>313</v>
      </c>
      <c r="F28" s="125">
        <v>60.0</v>
      </c>
    </row>
    <row r="29" ht="14.25" customHeight="1">
      <c r="A29" s="137">
        <v>46106.0</v>
      </c>
      <c r="B29" s="99" t="s">
        <v>426</v>
      </c>
      <c r="C29" s="138" t="s">
        <v>429</v>
      </c>
      <c r="E29" s="125" t="s">
        <v>428</v>
      </c>
      <c r="F29" s="125">
        <v>240.0</v>
      </c>
    </row>
    <row r="30" ht="14.25" customHeight="1">
      <c r="A30" s="137">
        <v>46106.0</v>
      </c>
      <c r="B30" s="99" t="s">
        <v>426</v>
      </c>
      <c r="C30" s="138" t="s">
        <v>430</v>
      </c>
      <c r="E30" s="125" t="s">
        <v>429</v>
      </c>
      <c r="F30" s="125">
        <v>300.0</v>
      </c>
    </row>
    <row r="31" ht="14.25" customHeight="1">
      <c r="A31" s="137">
        <v>46106.0</v>
      </c>
      <c r="B31" s="99" t="s">
        <v>426</v>
      </c>
      <c r="C31" s="138" t="s">
        <v>431</v>
      </c>
      <c r="E31" s="125" t="s">
        <v>430</v>
      </c>
      <c r="F31" s="125">
        <v>90.0</v>
      </c>
    </row>
    <row r="32" ht="14.25" customHeight="1">
      <c r="A32" s="139">
        <v>46106.0</v>
      </c>
      <c r="B32" s="127" t="s">
        <v>426</v>
      </c>
      <c r="C32" s="132" t="s">
        <v>396</v>
      </c>
      <c r="E32" s="125" t="s">
        <v>431</v>
      </c>
      <c r="F32" s="125">
        <v>270.0</v>
      </c>
    </row>
    <row r="33" ht="14.25" customHeight="1">
      <c r="A33" s="140" t="s">
        <v>432</v>
      </c>
      <c r="E33" s="125" t="s">
        <v>433</v>
      </c>
      <c r="F33" s="125">
        <v>120.0</v>
      </c>
    </row>
    <row r="34" ht="14.25" customHeight="1">
      <c r="A34" s="116">
        <v>26.0</v>
      </c>
      <c r="B34" s="117" t="s">
        <v>434</v>
      </c>
      <c r="C34" s="136" t="s">
        <v>435</v>
      </c>
      <c r="E34" s="125" t="s">
        <v>435</v>
      </c>
      <c r="F34" s="125">
        <v>120.0</v>
      </c>
    </row>
    <row r="35" ht="14.25" customHeight="1">
      <c r="A35" s="121">
        <v>26.0</v>
      </c>
      <c r="B35" s="99" t="s">
        <v>436</v>
      </c>
      <c r="C35" s="138" t="s">
        <v>433</v>
      </c>
      <c r="E35" s="125" t="s">
        <v>396</v>
      </c>
      <c r="F35" s="125">
        <v>240.0</v>
      </c>
    </row>
    <row r="36" ht="14.25" customHeight="1">
      <c r="A36" s="121">
        <v>26.0</v>
      </c>
      <c r="B36" s="99" t="s">
        <v>437</v>
      </c>
      <c r="C36" s="138" t="s">
        <v>396</v>
      </c>
      <c r="E36" s="123" t="s">
        <v>432</v>
      </c>
      <c r="F36" s="115"/>
    </row>
    <row r="37" ht="14.25" customHeight="1">
      <c r="A37" s="116">
        <v>27.0</v>
      </c>
      <c r="B37" s="117" t="s">
        <v>438</v>
      </c>
      <c r="C37" s="136" t="s">
        <v>435</v>
      </c>
      <c r="E37" s="125" t="s">
        <v>435</v>
      </c>
      <c r="F37" s="129">
        <v>360.0</v>
      </c>
    </row>
    <row r="38" ht="14.25" customHeight="1">
      <c r="A38" s="121">
        <v>27.0</v>
      </c>
      <c r="B38" s="99" t="s">
        <v>439</v>
      </c>
      <c r="C38" s="138" t="s">
        <v>433</v>
      </c>
      <c r="E38" s="125" t="s">
        <v>433</v>
      </c>
      <c r="F38" s="129">
        <v>360.0</v>
      </c>
    </row>
    <row r="39" ht="14.25" customHeight="1">
      <c r="A39" s="121">
        <v>27.0</v>
      </c>
      <c r="B39" s="99" t="s">
        <v>440</v>
      </c>
      <c r="C39" s="138" t="s">
        <v>396</v>
      </c>
      <c r="E39" s="125" t="s">
        <v>441</v>
      </c>
      <c r="F39" s="129">
        <v>360.0</v>
      </c>
    </row>
    <row r="40" ht="14.25" customHeight="1">
      <c r="A40" s="116">
        <v>28.0</v>
      </c>
      <c r="B40" s="117" t="s">
        <v>442</v>
      </c>
      <c r="C40" s="136" t="s">
        <v>441</v>
      </c>
      <c r="E40" s="125" t="s">
        <v>443</v>
      </c>
      <c r="F40" s="129">
        <v>360.0</v>
      </c>
    </row>
    <row r="41" ht="14.25" customHeight="1">
      <c r="A41" s="121">
        <v>28.0</v>
      </c>
      <c r="B41" s="99" t="s">
        <v>444</v>
      </c>
      <c r="C41" s="138" t="s">
        <v>443</v>
      </c>
      <c r="E41" s="141" t="s">
        <v>445</v>
      </c>
      <c r="F41" s="142"/>
    </row>
    <row r="42" ht="14.25" customHeight="1">
      <c r="A42" s="121">
        <v>28.0</v>
      </c>
      <c r="B42" s="99" t="s">
        <v>446</v>
      </c>
      <c r="C42" s="138" t="s">
        <v>396</v>
      </c>
      <c r="E42" s="125" t="s">
        <v>447</v>
      </c>
      <c r="F42" s="125">
        <v>360.0</v>
      </c>
    </row>
    <row r="43" ht="14.25" customHeight="1">
      <c r="A43" s="116">
        <v>29.0</v>
      </c>
      <c r="B43" s="117" t="s">
        <v>448</v>
      </c>
      <c r="C43" s="136" t="s">
        <v>447</v>
      </c>
      <c r="E43" s="125" t="s">
        <v>449</v>
      </c>
      <c r="F43" s="125">
        <v>360.0</v>
      </c>
    </row>
    <row r="44" ht="14.25" customHeight="1">
      <c r="A44" s="121">
        <v>29.0</v>
      </c>
      <c r="B44" s="99" t="s">
        <v>450</v>
      </c>
      <c r="C44" s="138" t="s">
        <v>449</v>
      </c>
      <c r="E44" s="125" t="s">
        <v>451</v>
      </c>
      <c r="F44" s="125">
        <v>90.0</v>
      </c>
    </row>
    <row r="45" ht="14.25" customHeight="1">
      <c r="A45" s="126">
        <v>29.0</v>
      </c>
      <c r="B45" s="127" t="s">
        <v>452</v>
      </c>
      <c r="C45" s="138" t="s">
        <v>396</v>
      </c>
      <c r="E45" s="129" t="s">
        <v>453</v>
      </c>
      <c r="F45" s="125">
        <v>30.0</v>
      </c>
    </row>
    <row r="46" ht="14.25" customHeight="1">
      <c r="A46" s="143" t="s">
        <v>454</v>
      </c>
      <c r="C46" s="144"/>
      <c r="E46" s="125" t="s">
        <v>455</v>
      </c>
      <c r="F46" s="125">
        <v>30.0</v>
      </c>
    </row>
    <row r="47" ht="14.25" customHeight="1">
      <c r="A47" s="116">
        <v>30.0</v>
      </c>
      <c r="B47" s="117" t="s">
        <v>456</v>
      </c>
      <c r="C47" s="138" t="s">
        <v>451</v>
      </c>
      <c r="E47" s="125" t="s">
        <v>457</v>
      </c>
      <c r="F47" s="129">
        <v>30.0</v>
      </c>
    </row>
    <row r="48" ht="14.25" customHeight="1">
      <c r="A48" s="121">
        <v>30.0</v>
      </c>
      <c r="B48" s="145" t="s">
        <v>458</v>
      </c>
      <c r="C48" s="146" t="s">
        <v>453</v>
      </c>
      <c r="E48" s="125" t="s">
        <v>459</v>
      </c>
      <c r="F48" s="129">
        <v>60.0</v>
      </c>
    </row>
    <row r="49" ht="14.25" customHeight="1">
      <c r="A49" s="121">
        <v>30.0</v>
      </c>
      <c r="B49" s="99" t="s">
        <v>460</v>
      </c>
      <c r="C49" s="138" t="s">
        <v>455</v>
      </c>
      <c r="F49" s="147"/>
    </row>
    <row r="50" ht="14.25" customHeight="1">
      <c r="A50" s="121">
        <v>30.0</v>
      </c>
      <c r="B50" s="99" t="s">
        <v>461</v>
      </c>
      <c r="C50" s="138" t="s">
        <v>457</v>
      </c>
      <c r="F50" s="147"/>
    </row>
    <row r="51" ht="14.25" customHeight="1">
      <c r="A51" s="126">
        <v>30.0</v>
      </c>
      <c r="B51" s="127" t="s">
        <v>462</v>
      </c>
      <c r="C51" s="132" t="s">
        <v>459</v>
      </c>
      <c r="F51" s="147"/>
    </row>
    <row r="52" ht="14.25" customHeight="1">
      <c r="A52" s="148"/>
      <c r="B52" s="148"/>
      <c r="C52" s="134"/>
      <c r="F52" s="147"/>
    </row>
    <row r="53" ht="14.25" customHeight="1">
      <c r="A53" s="148"/>
      <c r="B53" s="148"/>
      <c r="C53" s="134"/>
      <c r="F53" s="147"/>
    </row>
  </sheetData>
  <mergeCells count="7">
    <mergeCell ref="E27:F27"/>
    <mergeCell ref="E36:F36"/>
    <mergeCell ref="E1:F1"/>
    <mergeCell ref="E3:F3"/>
    <mergeCell ref="A26:B26"/>
    <mergeCell ref="E13:F13"/>
    <mergeCell ref="A46:B46"/>
  </mergeCells>
  <printOptions/>
  <pageMargins bottom="0.75" footer="0.0" header="0.0" left="0.7" right="0.7" top="0.75"/>
  <pageSetup paperSize="3" orientation="portrait"/>
  <drawing r:id="rId1"/>
</worksheet>
</file>
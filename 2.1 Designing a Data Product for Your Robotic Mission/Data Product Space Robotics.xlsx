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dar_Traces" sheetId="1" r:id="rId5"/>
    <sheet state="visible" name="Localization_Log" sheetId="2" r:id="rId6"/>
    <sheet state="visible" name="Terrain_and_Health" sheetId="3" r:id="rId7"/>
    <sheet state="visible" name="Daily_Summary" sheetId="4" r:id="rId8"/>
    <sheet state="visible" name="Units" sheetId="5" r:id="rId9"/>
    <sheet state="visible" name="Metadata" sheetId="6" r:id="rId10"/>
  </sheets>
  <definedNames/>
  <calcPr/>
</workbook>
</file>

<file path=xl/sharedStrings.xml><?xml version="1.0" encoding="utf-8"?>
<sst xmlns="http://schemas.openxmlformats.org/spreadsheetml/2006/main" count="347" uniqueCount="144">
  <si>
    <t>trace_id</t>
  </si>
  <si>
    <t>sol</t>
  </si>
  <si>
    <t>timestamp_s</t>
  </si>
  <si>
    <t>pos_x_m</t>
  </si>
  <si>
    <t>pos_y_m</t>
  </si>
  <si>
    <t>along_track_m</t>
  </si>
  <si>
    <t>twt_ns</t>
  </si>
  <si>
    <t>amplitude_dB</t>
  </si>
  <si>
    <t>permittivity</t>
  </si>
  <si>
    <t>ice_thickness_m</t>
  </si>
  <si>
    <t>tid_krad</t>
  </si>
  <si>
    <t>quality_flag</t>
  </si>
  <si>
    <t>TR-0001</t>
  </si>
  <si>
    <t>NOMINAL</t>
  </si>
  <si>
    <t>TR-0002</t>
  </si>
  <si>
    <t>TR-0003</t>
  </si>
  <si>
    <t>TR-0004</t>
  </si>
  <si>
    <t>NOISE_FLOOR</t>
  </si>
  <si>
    <t>TR-0005</t>
  </si>
  <si>
    <t>TR-0006</t>
  </si>
  <si>
    <t>TR-0007</t>
  </si>
  <si>
    <t>TR-0008</t>
  </si>
  <si>
    <t>TR-0009</t>
  </si>
  <si>
    <t>TR-0010</t>
  </si>
  <si>
    <t>CLUTTER</t>
  </si>
  <si>
    <t>TR-0011</t>
  </si>
  <si>
    <t>TR-0012</t>
  </si>
  <si>
    <t>TR-0013</t>
  </si>
  <si>
    <t>TR-0014</t>
  </si>
  <si>
    <t>TR-0015</t>
  </si>
  <si>
    <t>TR-0016</t>
  </si>
  <si>
    <t>TR-0017</t>
  </si>
  <si>
    <t>TR-0018</t>
  </si>
  <si>
    <t>TR-0019</t>
  </si>
  <si>
    <t>TR-0020</t>
  </si>
  <si>
    <t>TR-0021</t>
  </si>
  <si>
    <t>TR-0022</t>
  </si>
  <si>
    <t>TR-0023</t>
  </si>
  <si>
    <t>TR-0024</t>
  </si>
  <si>
    <t>TR-0025</t>
  </si>
  <si>
    <t>TR-0026</t>
  </si>
  <si>
    <t>TR-0027</t>
  </si>
  <si>
    <t>INVALID</t>
  </si>
  <si>
    <t>TR-0028</t>
  </si>
  <si>
    <t>TR-0029</t>
  </si>
  <si>
    <t>TR-0030</t>
  </si>
  <si>
    <t>TR-0031</t>
  </si>
  <si>
    <t>TR-0032</t>
  </si>
  <si>
    <t>TR-0033</t>
  </si>
  <si>
    <t>TR-0034</t>
  </si>
  <si>
    <t>TR-0035</t>
  </si>
  <si>
    <t>TR-0036</t>
  </si>
  <si>
    <t>TR-0037</t>
  </si>
  <si>
    <t>TR-0038</t>
  </si>
  <si>
    <t>TR-0039</t>
  </si>
  <si>
    <t>TR-0040</t>
  </si>
  <si>
    <t>heading_deg</t>
  </si>
  <si>
    <t>uncertainty_1sigma_m</t>
  </si>
  <si>
    <t>loc_error_flag</t>
  </si>
  <si>
    <t>FALSE</t>
  </si>
  <si>
    <t>TRUE</t>
  </si>
  <si>
    <t>slope_deg</t>
  </si>
  <si>
    <t>roughness_index</t>
  </si>
  <si>
    <t>surface_temp_K</t>
  </si>
  <si>
    <t>tid_accum_krad</t>
  </si>
  <si>
    <t>radar_noise_floor_dB</t>
  </si>
  <si>
    <t>link_packet_loss_pct</t>
  </si>
  <si>
    <t>traverse_dist_m</t>
  </si>
  <si>
    <t>valid_traces</t>
  </si>
  <si>
    <t>bad_traces</t>
  </si>
  <si>
    <t>min_ice_thickness_m</t>
  </si>
  <si>
    <t>candidate_sites</t>
  </si>
  <si>
    <t>mean_packet_loss_pct</t>
  </si>
  <si>
    <t>mean_consensus_time_min</t>
  </si>
  <si>
    <t>column</t>
  </si>
  <si>
    <t>units</t>
  </si>
  <si>
    <t>notes</t>
  </si>
  <si>
    <t>—</t>
  </si>
  <si>
    <t>unique trace identifier</t>
  </si>
  <si>
    <t>sol index</t>
  </si>
  <si>
    <t>sol number since landing</t>
  </si>
  <si>
    <t>s</t>
  </si>
  <si>
    <t>elapsed mission seconds</t>
  </si>
  <si>
    <t>m</t>
  </si>
  <si>
    <t>local ENU east coordinate</t>
  </si>
  <si>
    <t>local ENU north coordinate</t>
  </si>
  <si>
    <t>cumulative along-track distance</t>
  </si>
  <si>
    <t>ns</t>
  </si>
  <si>
    <t>two-way travel time to basal reflector</t>
  </si>
  <si>
    <t>dB</t>
  </si>
  <si>
    <t>received signal amplitude at basal reflector</t>
  </si>
  <si>
    <t>bulk ice dielectric permittivity; pure ice ≈ 3.15</t>
  </si>
  <si>
    <t>derived: d = (c × twt_ns × 1e-9) / (2 × sqrt(eps_r))</t>
  </si>
  <si>
    <t>krad</t>
  </si>
  <si>
    <t>total ionizing dose at radar electronics</t>
  </si>
  <si>
    <t>enum</t>
  </si>
  <si>
    <t>NOMINAL / CLUTTER / NOISE_FLOOR / INVALID</t>
  </si>
  <si>
    <t>deg</t>
  </si>
  <si>
    <t>clockwise from local North</t>
  </si>
  <si>
    <t>1σ position uncertainty from VO</t>
  </si>
  <si>
    <t>Boolean</t>
  </si>
  <si>
    <t>TRUE when uncertainty exceeds ±0.5 m (REQ.02.01)</t>
  </si>
  <si>
    <t>surface slope at measurement site</t>
  </si>
  <si>
    <t>0–1</t>
  </si>
  <si>
    <t>&gt;0.7 flags physically inaccessible terrain</t>
  </si>
  <si>
    <t>K</t>
  </si>
  <si>
    <t>surface temperature at measurement site</t>
  </si>
  <si>
    <t>accumulated TID at time of measurement</t>
  </si>
  <si>
    <t>radar receiver noise floor</t>
  </si>
  <si>
    <t>%</t>
  </si>
  <si>
    <t>&gt;30% triggers REQ.04.01 degraded-mode consensus</t>
  </si>
  <si>
    <t>total traverse distance in sol</t>
  </si>
  <si>
    <t>count</t>
  </si>
  <si>
    <t>NOMINAL quality traces only</t>
  </si>
  <si>
    <t>CLUTTER + NOISE_FLOOR + INVALID</t>
  </si>
  <si>
    <t>mean thickness of NOMINAL traces (proxy for minimum)</t>
  </si>
  <si>
    <t>NOMINAL + thickness&lt;5000m + slope&lt;20° + roughness&lt;0.7</t>
  </si>
  <si>
    <t>mean inter-agent link packet loss for sol</t>
  </si>
  <si>
    <t>min</t>
  </si>
  <si>
    <t>estimated consensus convergence: 2 + 0.2×packet_loss</t>
  </si>
  <si>
    <t>field</t>
  </si>
  <si>
    <t>value</t>
  </si>
  <si>
    <t>mission_name</t>
  </si>
  <si>
    <t>Europa Multi-Agent Ice Characterization Mission</t>
  </si>
  <si>
    <t>mission_objective</t>
  </si>
  <si>
    <t>Autonomously characterize Europa ice shell thickness and identify an optimal cryobot insertion site without real-time Earth support</t>
  </si>
  <si>
    <t>destination</t>
  </si>
  <si>
    <t>Europa surface</t>
  </si>
  <si>
    <t>primary_instrument</t>
  </si>
  <si>
    <t>Ground-penetrating radar sounder (analogous to Europa Clipper REASON)</t>
  </si>
  <si>
    <t>thickness_accuracy_goal</t>
  </si>
  <si>
    <t>±10% for ice depths 1–30 km (REQ.03.01)</t>
  </si>
  <si>
    <t>along_track_resolution_m</t>
  </si>
  <si>
    <t>≤100 m</t>
  </si>
  <si>
    <t>localization_goal_m</t>
  </si>
  <si>
    <t>±0.5 m per 50 m traverse segment (REQ.02.01)</t>
  </si>
  <si>
    <t>autonomy_requirement</t>
  </si>
  <si>
    <t>Fully autonomous; no real-time Earth uplink (REQ.01.01)</t>
  </si>
  <si>
    <t>radiation_design_dose</t>
  </si>
  <si>
    <t>≥100 krad TID (REQ.01.02)</t>
  </si>
  <si>
    <t>consensus_degraded_goal</t>
  </si>
  <si>
    <t>&lt;10 min convergence at 30% packet loss (REQ.04.01)</t>
  </si>
  <si>
    <t>version</t>
  </si>
  <si>
    <t>v1.0 (sample data)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</si>
</sst>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14"/>
    <col customWidth="1" min="2" max="2" width="3.57"/>
    <col customWidth="1" min="3" max="3" width="12.43"/>
    <col customWidth="1" min="4" max="5" width="9.0"/>
    <col customWidth="1" min="6" max="6" width="14.0"/>
    <col customWidth="1" min="7" max="7" width="9.14"/>
    <col customWidth="1" min="8" max="8" width="13.43"/>
    <col customWidth="1" min="9" max="9" width="11.43"/>
    <col customWidth="1" min="10" max="10" width="15.43"/>
    <col customWidth="1" min="11" max="11" width="8.43"/>
    <col customWidth="1" min="12" max="12" width="13.14"/>
    <col customWidth="1" min="13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>
        <v>1.0</v>
      </c>
      <c r="C2" s="2">
        <v>94.4</v>
      </c>
      <c r="D2" s="2">
        <v>93.8</v>
      </c>
      <c r="E2" s="2">
        <v>-7.1</v>
      </c>
      <c r="F2" s="2">
        <v>94.0</v>
      </c>
      <c r="G2" s="2">
        <v>21647.3</v>
      </c>
      <c r="H2" s="2">
        <v>-41.62</v>
      </c>
      <c r="I2" s="2">
        <v>3.0624</v>
      </c>
      <c r="J2" s="2">
        <f t="shared" ref="J2:J41" si="1">((300000000*G2*0.000000001)/(2*SQRT(I2)))</f>
        <v>1855.513151</v>
      </c>
      <c r="K2" s="2">
        <v>0.542</v>
      </c>
      <c r="L2" s="2" t="s">
        <v>13</v>
      </c>
    </row>
    <row r="3">
      <c r="A3" s="2" t="s">
        <v>14</v>
      </c>
      <c r="B3" s="2">
        <v>1.0</v>
      </c>
      <c r="C3" s="2">
        <v>177.5</v>
      </c>
      <c r="D3" s="2">
        <v>185.5</v>
      </c>
      <c r="E3" s="2">
        <v>-3.2</v>
      </c>
      <c r="F3" s="2">
        <v>185.8</v>
      </c>
      <c r="G3" s="2">
        <v>169839.5</v>
      </c>
      <c r="H3" s="2">
        <v>-45.53</v>
      </c>
      <c r="I3" s="2">
        <v>3.0961</v>
      </c>
      <c r="J3" s="2">
        <f t="shared" si="1"/>
        <v>14478.46338</v>
      </c>
      <c r="K3" s="2">
        <v>0.577</v>
      </c>
      <c r="L3" s="2" t="s">
        <v>13</v>
      </c>
    </row>
    <row r="4">
      <c r="A4" s="2" t="s">
        <v>15</v>
      </c>
      <c r="B4" s="2">
        <v>1.0</v>
      </c>
      <c r="C4" s="2">
        <v>284.0</v>
      </c>
      <c r="D4" s="2">
        <v>296.4</v>
      </c>
      <c r="E4" s="2">
        <v>11.4</v>
      </c>
      <c r="F4" s="2">
        <v>297.7</v>
      </c>
      <c r="G4" s="2">
        <v>164535.9</v>
      </c>
      <c r="H4" s="2">
        <v>-25.34</v>
      </c>
      <c r="I4" s="2">
        <v>3.1901</v>
      </c>
      <c r="J4" s="2">
        <f t="shared" si="1"/>
        <v>13818.14615</v>
      </c>
      <c r="K4" s="2">
        <v>0.735</v>
      </c>
      <c r="L4" s="2" t="s">
        <v>13</v>
      </c>
    </row>
    <row r="5">
      <c r="A5" s="2" t="s">
        <v>16</v>
      </c>
      <c r="B5" s="2">
        <v>1.0</v>
      </c>
      <c r="C5" s="2">
        <v>397.3</v>
      </c>
      <c r="D5" s="2">
        <v>382.9</v>
      </c>
      <c r="E5" s="2">
        <v>7.0</v>
      </c>
      <c r="F5" s="2">
        <v>384.3</v>
      </c>
      <c r="G5" s="2">
        <v>131950.8</v>
      </c>
      <c r="H5" s="2">
        <v>-31.93</v>
      </c>
      <c r="I5" s="2">
        <v>3.3418</v>
      </c>
      <c r="J5" s="2">
        <f t="shared" si="1"/>
        <v>10827.12272</v>
      </c>
      <c r="K5" s="2">
        <v>0.817</v>
      </c>
      <c r="L5" s="2" t="s">
        <v>17</v>
      </c>
    </row>
    <row r="6">
      <c r="A6" s="2" t="s">
        <v>18</v>
      </c>
      <c r="B6" s="2">
        <v>1.0</v>
      </c>
      <c r="C6" s="2">
        <v>502.7</v>
      </c>
      <c r="D6" s="2">
        <v>484.3</v>
      </c>
      <c r="E6" s="2">
        <v>-0.6</v>
      </c>
      <c r="F6" s="2">
        <v>486.0</v>
      </c>
      <c r="G6" s="2">
        <v>95357.8</v>
      </c>
      <c r="H6" s="2">
        <v>-49.2</v>
      </c>
      <c r="I6" s="2">
        <v>3.4627</v>
      </c>
      <c r="J6" s="2">
        <f t="shared" si="1"/>
        <v>7686.702069</v>
      </c>
      <c r="K6" s="2">
        <v>0.999</v>
      </c>
      <c r="L6" s="2" t="s">
        <v>13</v>
      </c>
    </row>
    <row r="7">
      <c r="A7" s="2" t="s">
        <v>19</v>
      </c>
      <c r="B7" s="2">
        <v>1.0</v>
      </c>
      <c r="C7" s="2">
        <v>591.5</v>
      </c>
      <c r="D7" s="2">
        <v>577.3</v>
      </c>
      <c r="E7" s="2">
        <v>7.4</v>
      </c>
      <c r="F7" s="2">
        <v>579.3</v>
      </c>
      <c r="G7" s="2">
        <v>23845.1</v>
      </c>
      <c r="H7" s="2">
        <v>-27.13</v>
      </c>
      <c r="I7" s="2">
        <v>3.4025</v>
      </c>
      <c r="J7" s="2">
        <f t="shared" si="1"/>
        <v>1939.060414</v>
      </c>
      <c r="K7" s="2">
        <v>1.09</v>
      </c>
      <c r="L7" s="2" t="s">
        <v>13</v>
      </c>
    </row>
    <row r="8">
      <c r="A8" s="2" t="s">
        <v>20</v>
      </c>
      <c r="B8" s="2">
        <v>1.0</v>
      </c>
      <c r="C8" s="2">
        <v>674.2</v>
      </c>
      <c r="D8" s="2">
        <v>693.8</v>
      </c>
      <c r="E8" s="2">
        <v>9.4</v>
      </c>
      <c r="F8" s="2">
        <v>695.8</v>
      </c>
      <c r="G8" s="2">
        <v>140352.9</v>
      </c>
      <c r="H8" s="2">
        <v>-51.49</v>
      </c>
      <c r="I8" s="2">
        <v>3.2496</v>
      </c>
      <c r="J8" s="2">
        <f t="shared" si="1"/>
        <v>11678.78589</v>
      </c>
      <c r="K8" s="2">
        <v>1.258</v>
      </c>
      <c r="L8" s="2" t="s">
        <v>13</v>
      </c>
    </row>
    <row r="9">
      <c r="A9" s="2" t="s">
        <v>21</v>
      </c>
      <c r="B9" s="2">
        <v>1.0</v>
      </c>
      <c r="C9" s="2">
        <v>779.9</v>
      </c>
      <c r="D9" s="2">
        <v>779.5</v>
      </c>
      <c r="E9" s="2">
        <v>-1.4</v>
      </c>
      <c r="F9" s="2">
        <v>782.2</v>
      </c>
      <c r="G9" s="2">
        <v>145118.1</v>
      </c>
      <c r="H9" s="2">
        <v>-38.44</v>
      </c>
      <c r="I9" s="2">
        <v>3.3735</v>
      </c>
      <c r="J9" s="2">
        <f t="shared" si="1"/>
        <v>11851.4772</v>
      </c>
      <c r="K9" s="2">
        <v>1.333</v>
      </c>
      <c r="L9" s="2" t="s">
        <v>13</v>
      </c>
    </row>
    <row r="10">
      <c r="A10" s="2" t="s">
        <v>22</v>
      </c>
      <c r="B10" s="2">
        <v>1.0</v>
      </c>
      <c r="C10" s="2">
        <v>883.2</v>
      </c>
      <c r="D10" s="2">
        <v>874.0</v>
      </c>
      <c r="E10" s="2">
        <v>13.5</v>
      </c>
      <c r="F10" s="2">
        <v>877.9</v>
      </c>
      <c r="G10" s="2">
        <v>38346.4</v>
      </c>
      <c r="H10" s="2">
        <v>-40.26</v>
      </c>
      <c r="I10" s="2">
        <v>3.3779</v>
      </c>
      <c r="J10" s="2">
        <f t="shared" si="1"/>
        <v>3129.626158</v>
      </c>
      <c r="K10" s="2">
        <v>1.496</v>
      </c>
      <c r="L10" s="2" t="s">
        <v>13</v>
      </c>
    </row>
    <row r="11">
      <c r="A11" s="2" t="s">
        <v>23</v>
      </c>
      <c r="B11" s="2">
        <v>1.0</v>
      </c>
      <c r="C11" s="2">
        <v>969.3</v>
      </c>
      <c r="D11" s="2">
        <v>960.4</v>
      </c>
      <c r="E11" s="2">
        <v>18.9</v>
      </c>
      <c r="F11" s="2">
        <v>964.5</v>
      </c>
      <c r="G11" s="2">
        <v>118968.0</v>
      </c>
      <c r="H11" s="2">
        <v>-44.61</v>
      </c>
      <c r="I11" s="2">
        <v>3.2979</v>
      </c>
      <c r="J11" s="2">
        <f t="shared" si="1"/>
        <v>9826.586429</v>
      </c>
      <c r="K11" s="2">
        <v>1.577</v>
      </c>
      <c r="L11" s="2" t="s">
        <v>24</v>
      </c>
    </row>
    <row r="12">
      <c r="A12" s="2" t="s">
        <v>25</v>
      </c>
      <c r="B12" s="2">
        <v>1.0</v>
      </c>
      <c r="C12" s="2">
        <v>1059.4</v>
      </c>
      <c r="D12" s="2">
        <v>1062.5</v>
      </c>
      <c r="E12" s="2">
        <v>32.2</v>
      </c>
      <c r="F12" s="2">
        <v>1067.4</v>
      </c>
      <c r="G12" s="2">
        <v>133729.9</v>
      </c>
      <c r="H12" s="2">
        <v>-55.42</v>
      </c>
      <c r="I12" s="2">
        <v>3.4424</v>
      </c>
      <c r="J12" s="2">
        <f t="shared" si="1"/>
        <v>10811.57866</v>
      </c>
      <c r="K12" s="2">
        <v>1.725</v>
      </c>
      <c r="L12" s="2" t="s">
        <v>13</v>
      </c>
    </row>
    <row r="13">
      <c r="A13" s="2" t="s">
        <v>26</v>
      </c>
      <c r="B13" s="2">
        <v>1.0</v>
      </c>
      <c r="C13" s="2">
        <v>1170.1</v>
      </c>
      <c r="D13" s="2">
        <v>1156.1</v>
      </c>
      <c r="E13" s="2">
        <v>26.0</v>
      </c>
      <c r="F13" s="2">
        <v>1161.3</v>
      </c>
      <c r="G13" s="2">
        <v>41835.8</v>
      </c>
      <c r="H13" s="2">
        <v>-59.87</v>
      </c>
      <c r="I13" s="2">
        <v>3.361</v>
      </c>
      <c r="J13" s="2">
        <f t="shared" si="1"/>
        <v>3422.98567</v>
      </c>
      <c r="K13" s="2">
        <v>1.842</v>
      </c>
      <c r="L13" s="2" t="s">
        <v>13</v>
      </c>
    </row>
    <row r="14">
      <c r="A14" s="2" t="s">
        <v>27</v>
      </c>
      <c r="B14" s="2">
        <v>1.0</v>
      </c>
      <c r="C14" s="2">
        <v>1289.0</v>
      </c>
      <c r="D14" s="2">
        <v>1266.6</v>
      </c>
      <c r="E14" s="2">
        <v>26.3</v>
      </c>
      <c r="F14" s="2">
        <v>1271.7</v>
      </c>
      <c r="G14" s="2">
        <v>32728.3</v>
      </c>
      <c r="H14" s="2">
        <v>-34.99</v>
      </c>
      <c r="I14" s="2">
        <v>3.4208</v>
      </c>
      <c r="J14" s="2">
        <f t="shared" si="1"/>
        <v>2654.305242</v>
      </c>
      <c r="K14" s="2">
        <v>1.941</v>
      </c>
      <c r="L14" s="2" t="s">
        <v>13</v>
      </c>
    </row>
    <row r="15">
      <c r="A15" s="2" t="s">
        <v>28</v>
      </c>
      <c r="B15" s="2">
        <v>1.0</v>
      </c>
      <c r="C15" s="2">
        <v>1377.0</v>
      </c>
      <c r="D15" s="2">
        <v>1361.5</v>
      </c>
      <c r="E15" s="2">
        <v>16.1</v>
      </c>
      <c r="F15" s="2">
        <v>1367.2</v>
      </c>
      <c r="G15" s="2">
        <v>181816.0</v>
      </c>
      <c r="H15" s="2">
        <v>-23.1</v>
      </c>
      <c r="I15" s="2">
        <v>3.4592</v>
      </c>
      <c r="J15" s="2">
        <f t="shared" si="1"/>
        <v>14663.42836</v>
      </c>
      <c r="K15" s="2">
        <v>2.07</v>
      </c>
      <c r="L15" s="2" t="s">
        <v>13</v>
      </c>
    </row>
    <row r="16">
      <c r="A16" s="2" t="s">
        <v>29</v>
      </c>
      <c r="B16" s="2">
        <v>1.0</v>
      </c>
      <c r="C16" s="2">
        <v>1476.5</v>
      </c>
      <c r="D16" s="2">
        <v>1446.0</v>
      </c>
      <c r="E16" s="2">
        <v>12.0</v>
      </c>
      <c r="F16" s="2">
        <v>1451.8</v>
      </c>
      <c r="G16" s="2">
        <v>187416.6</v>
      </c>
      <c r="H16" s="2">
        <v>-27.73</v>
      </c>
      <c r="I16" s="2">
        <v>3.1197</v>
      </c>
      <c r="J16" s="2">
        <f t="shared" si="1"/>
        <v>15916.32863</v>
      </c>
      <c r="K16" s="2">
        <v>2.154</v>
      </c>
      <c r="L16" s="2" t="s">
        <v>13</v>
      </c>
    </row>
    <row r="17">
      <c r="A17" s="2" t="s">
        <v>30</v>
      </c>
      <c r="B17" s="2">
        <v>1.0</v>
      </c>
      <c r="C17" s="2">
        <v>1579.2</v>
      </c>
      <c r="D17" s="2">
        <v>1529.2</v>
      </c>
      <c r="E17" s="2">
        <v>18.9</v>
      </c>
      <c r="F17" s="2">
        <v>1535.2</v>
      </c>
      <c r="G17" s="2">
        <v>157620.1</v>
      </c>
      <c r="H17" s="2">
        <v>-20.88</v>
      </c>
      <c r="I17" s="2">
        <v>3.2664</v>
      </c>
      <c r="J17" s="2">
        <f t="shared" si="1"/>
        <v>13081.82016</v>
      </c>
      <c r="K17" s="2">
        <v>2.263</v>
      </c>
      <c r="L17" s="2" t="s">
        <v>24</v>
      </c>
    </row>
    <row r="18">
      <c r="A18" s="2" t="s">
        <v>31</v>
      </c>
      <c r="B18" s="2">
        <v>1.0</v>
      </c>
      <c r="C18" s="2">
        <v>1685.6</v>
      </c>
      <c r="D18" s="2">
        <v>1647.0</v>
      </c>
      <c r="E18" s="2">
        <v>8.9</v>
      </c>
      <c r="F18" s="2">
        <v>1653.5</v>
      </c>
      <c r="G18" s="2">
        <v>106870.6</v>
      </c>
      <c r="H18" s="2">
        <v>-35.74</v>
      </c>
      <c r="I18" s="2">
        <v>3.4822</v>
      </c>
      <c r="J18" s="2">
        <f t="shared" si="1"/>
        <v>8590.583255</v>
      </c>
      <c r="K18" s="2">
        <v>2.463</v>
      </c>
      <c r="L18" s="2" t="s">
        <v>24</v>
      </c>
    </row>
    <row r="19">
      <c r="A19" s="2" t="s">
        <v>32</v>
      </c>
      <c r="B19" s="2">
        <v>1.0</v>
      </c>
      <c r="C19" s="2">
        <v>1795.8</v>
      </c>
      <c r="D19" s="2">
        <v>1754.6</v>
      </c>
      <c r="E19" s="2">
        <v>15.3</v>
      </c>
      <c r="F19" s="2">
        <v>1761.3</v>
      </c>
      <c r="G19" s="2">
        <v>84222.6</v>
      </c>
      <c r="H19" s="2">
        <v>-33.13</v>
      </c>
      <c r="I19" s="2">
        <v>3.1867</v>
      </c>
      <c r="J19" s="2">
        <f t="shared" si="1"/>
        <v>7077.001914</v>
      </c>
      <c r="K19" s="2">
        <v>2.58</v>
      </c>
      <c r="L19" s="2" t="s">
        <v>13</v>
      </c>
    </row>
    <row r="20">
      <c r="A20" s="2" t="s">
        <v>33</v>
      </c>
      <c r="B20" s="2">
        <v>1.0</v>
      </c>
      <c r="C20" s="2">
        <v>1893.9</v>
      </c>
      <c r="D20" s="2">
        <v>1844.6</v>
      </c>
      <c r="E20" s="2">
        <v>2.2</v>
      </c>
      <c r="F20" s="2">
        <v>1852.2</v>
      </c>
      <c r="G20" s="2">
        <v>17702.0</v>
      </c>
      <c r="H20" s="2">
        <v>-37.84</v>
      </c>
      <c r="I20" s="2">
        <v>3.2942</v>
      </c>
      <c r="J20" s="2">
        <f t="shared" si="1"/>
        <v>1462.980758</v>
      </c>
      <c r="K20" s="2">
        <v>2.611</v>
      </c>
      <c r="L20" s="2" t="s">
        <v>13</v>
      </c>
    </row>
    <row r="21" ht="15.75" customHeight="1">
      <c r="A21" s="2" t="s">
        <v>34</v>
      </c>
      <c r="B21" s="2">
        <v>1.0</v>
      </c>
      <c r="C21" s="2">
        <v>2002.2</v>
      </c>
      <c r="D21" s="2">
        <v>1926.9</v>
      </c>
      <c r="E21" s="2">
        <v>-10.8</v>
      </c>
      <c r="F21" s="2">
        <v>1935.6</v>
      </c>
      <c r="G21" s="2">
        <v>19528.7</v>
      </c>
      <c r="H21" s="2">
        <v>-46.78</v>
      </c>
      <c r="I21" s="2">
        <v>3.2571</v>
      </c>
      <c r="J21" s="2">
        <f t="shared" si="1"/>
        <v>1623.114086</v>
      </c>
      <c r="K21" s="2">
        <v>2.758</v>
      </c>
      <c r="L21" s="2" t="s">
        <v>13</v>
      </c>
    </row>
    <row r="22" ht="15.75" customHeight="1">
      <c r="A22" s="2" t="s">
        <v>35</v>
      </c>
      <c r="B22" s="2">
        <v>2.0</v>
      </c>
      <c r="C22" s="2">
        <v>2101.6</v>
      </c>
      <c r="D22" s="2">
        <v>2028.5</v>
      </c>
      <c r="E22" s="2">
        <v>-4.1</v>
      </c>
      <c r="F22" s="2">
        <v>2037.4</v>
      </c>
      <c r="G22" s="2">
        <v>169299.4</v>
      </c>
      <c r="H22" s="2">
        <v>-36.95</v>
      </c>
      <c r="I22" s="2">
        <v>3.1215</v>
      </c>
      <c r="J22" s="2">
        <f t="shared" si="1"/>
        <v>14373.58192</v>
      </c>
      <c r="K22" s="2">
        <v>2.897</v>
      </c>
      <c r="L22" s="2" t="s">
        <v>13</v>
      </c>
    </row>
    <row r="23" ht="15.75" customHeight="1">
      <c r="A23" s="2" t="s">
        <v>36</v>
      </c>
      <c r="B23" s="2">
        <v>2.0</v>
      </c>
      <c r="C23" s="2">
        <v>2197.9</v>
      </c>
      <c r="D23" s="2">
        <v>2112.2</v>
      </c>
      <c r="E23" s="2">
        <v>0.7</v>
      </c>
      <c r="F23" s="2">
        <v>2121.3</v>
      </c>
      <c r="G23" s="2">
        <v>76356.4</v>
      </c>
      <c r="H23" s="2">
        <v>-43.56</v>
      </c>
      <c r="I23" s="2">
        <v>3.4319</v>
      </c>
      <c r="J23" s="2">
        <f t="shared" si="1"/>
        <v>6182.574966</v>
      </c>
      <c r="K23" s="2">
        <v>2.975</v>
      </c>
      <c r="L23" s="2" t="s">
        <v>13</v>
      </c>
    </row>
    <row r="24" ht="15.75" customHeight="1">
      <c r="A24" s="2" t="s">
        <v>37</v>
      </c>
      <c r="B24" s="2">
        <v>2.0</v>
      </c>
      <c r="C24" s="2">
        <v>2304.0</v>
      </c>
      <c r="D24" s="2">
        <v>2218.1</v>
      </c>
      <c r="E24" s="2">
        <v>-12.5</v>
      </c>
      <c r="F24" s="2">
        <v>2227.9</v>
      </c>
      <c r="G24" s="2">
        <v>142165.6</v>
      </c>
      <c r="H24" s="2">
        <v>-27.98</v>
      </c>
      <c r="I24" s="2">
        <v>3.0546</v>
      </c>
      <c r="J24" s="2">
        <f t="shared" si="1"/>
        <v>12201.3703</v>
      </c>
      <c r="K24" s="2">
        <v>3.109</v>
      </c>
      <c r="L24" s="2" t="s">
        <v>17</v>
      </c>
    </row>
    <row r="25" ht="15.75" customHeight="1">
      <c r="A25" s="2" t="s">
        <v>38</v>
      </c>
      <c r="B25" s="2">
        <v>2.0</v>
      </c>
      <c r="C25" s="2">
        <v>2405.5</v>
      </c>
      <c r="D25" s="2">
        <v>2303.7</v>
      </c>
      <c r="E25" s="2">
        <v>-22.0</v>
      </c>
      <c r="F25" s="2">
        <v>2314.1</v>
      </c>
      <c r="G25" s="2">
        <v>95422.5</v>
      </c>
      <c r="H25" s="2">
        <v>-25.02</v>
      </c>
      <c r="I25" s="2">
        <v>3.0377</v>
      </c>
      <c r="J25" s="2">
        <f t="shared" si="1"/>
        <v>8212.390823</v>
      </c>
      <c r="K25" s="2">
        <v>3.291</v>
      </c>
      <c r="L25" s="2" t="s">
        <v>13</v>
      </c>
    </row>
    <row r="26" ht="15.75" customHeight="1">
      <c r="A26" s="2" t="s">
        <v>39</v>
      </c>
      <c r="B26" s="2">
        <v>2.0</v>
      </c>
      <c r="C26" s="2">
        <v>2519.7</v>
      </c>
      <c r="D26" s="2">
        <v>2387.6</v>
      </c>
      <c r="E26" s="2">
        <v>-17.4</v>
      </c>
      <c r="F26" s="2">
        <v>2398.1</v>
      </c>
      <c r="G26" s="2">
        <v>109143.5</v>
      </c>
      <c r="H26" s="2">
        <v>-59.41</v>
      </c>
      <c r="I26" s="2">
        <v>3.0466</v>
      </c>
      <c r="J26" s="2">
        <f t="shared" si="1"/>
        <v>9379.537342</v>
      </c>
      <c r="K26" s="2">
        <v>3.405</v>
      </c>
      <c r="L26" s="2" t="s">
        <v>13</v>
      </c>
    </row>
    <row r="27" ht="15.75" customHeight="1">
      <c r="A27" s="2" t="s">
        <v>40</v>
      </c>
      <c r="B27" s="2">
        <v>2.0</v>
      </c>
      <c r="C27" s="2">
        <v>2609.2</v>
      </c>
      <c r="D27" s="2">
        <v>2483.9</v>
      </c>
      <c r="E27" s="2">
        <v>-18.0</v>
      </c>
      <c r="F27" s="2">
        <v>2494.4</v>
      </c>
      <c r="G27" s="2">
        <v>166178.5</v>
      </c>
      <c r="H27" s="2">
        <v>-23.9</v>
      </c>
      <c r="I27" s="2">
        <v>3.0823</v>
      </c>
      <c r="J27" s="2">
        <f t="shared" si="1"/>
        <v>14198.04801</v>
      </c>
      <c r="K27" s="2">
        <v>3.45</v>
      </c>
      <c r="L27" s="2" t="s">
        <v>13</v>
      </c>
    </row>
    <row r="28" ht="15.75" customHeight="1">
      <c r="A28" s="2" t="s">
        <v>41</v>
      </c>
      <c r="B28" s="2">
        <v>2.0</v>
      </c>
      <c r="C28" s="2">
        <v>2704.8</v>
      </c>
      <c r="D28" s="2">
        <v>2600.9</v>
      </c>
      <c r="E28" s="2">
        <v>-9.4</v>
      </c>
      <c r="F28" s="2">
        <v>2611.7</v>
      </c>
      <c r="G28" s="2">
        <v>64203.9</v>
      </c>
      <c r="H28" s="2">
        <v>-32.14</v>
      </c>
      <c r="I28" s="2">
        <v>3.3653</v>
      </c>
      <c r="J28" s="2">
        <f t="shared" si="1"/>
        <v>5249.776034</v>
      </c>
      <c r="K28" s="2">
        <v>3.648</v>
      </c>
      <c r="L28" s="2" t="s">
        <v>42</v>
      </c>
    </row>
    <row r="29" ht="15.75" customHeight="1">
      <c r="A29" s="2" t="s">
        <v>43</v>
      </c>
      <c r="B29" s="2">
        <v>2.0</v>
      </c>
      <c r="C29" s="2">
        <v>2811.2</v>
      </c>
      <c r="D29" s="2">
        <v>2700.4</v>
      </c>
      <c r="E29" s="2">
        <v>-18.7</v>
      </c>
      <c r="F29" s="2">
        <v>2711.6</v>
      </c>
      <c r="G29" s="2">
        <v>52315.4</v>
      </c>
      <c r="H29" s="2">
        <v>-57.66</v>
      </c>
      <c r="I29" s="2">
        <v>3.3679</v>
      </c>
      <c r="J29" s="2">
        <f t="shared" si="1"/>
        <v>4276.034646</v>
      </c>
      <c r="K29" s="2">
        <v>3.696</v>
      </c>
      <c r="L29" s="2" t="s">
        <v>24</v>
      </c>
    </row>
    <row r="30" ht="15.75" customHeight="1">
      <c r="A30" s="2" t="s">
        <v>44</v>
      </c>
      <c r="B30" s="2">
        <v>2.0</v>
      </c>
      <c r="C30" s="2">
        <v>2903.8</v>
      </c>
      <c r="D30" s="2">
        <v>2782.4</v>
      </c>
      <c r="E30" s="2">
        <v>-19.4</v>
      </c>
      <c r="F30" s="2">
        <v>2793.6</v>
      </c>
      <c r="G30" s="2">
        <v>175812.1</v>
      </c>
      <c r="H30" s="2">
        <v>-38.75</v>
      </c>
      <c r="I30" s="2">
        <v>3.0284</v>
      </c>
      <c r="J30" s="2">
        <f t="shared" si="1"/>
        <v>15154.21351</v>
      </c>
      <c r="K30" s="2">
        <v>3.861</v>
      </c>
      <c r="L30" s="2" t="s">
        <v>13</v>
      </c>
    </row>
    <row r="31" ht="15.75" customHeight="1">
      <c r="A31" s="2" t="s">
        <v>45</v>
      </c>
      <c r="B31" s="2">
        <v>2.0</v>
      </c>
      <c r="C31" s="2">
        <v>3017.8</v>
      </c>
      <c r="D31" s="2">
        <v>2865.2</v>
      </c>
      <c r="E31" s="2">
        <v>-32.4</v>
      </c>
      <c r="F31" s="2">
        <v>2877.4</v>
      </c>
      <c r="G31" s="2">
        <v>165680.2</v>
      </c>
      <c r="H31" s="2">
        <v>-43.85</v>
      </c>
      <c r="I31" s="2">
        <v>3.4708</v>
      </c>
      <c r="J31" s="2">
        <f t="shared" si="1"/>
        <v>13339.73109</v>
      </c>
      <c r="K31" s="2">
        <v>3.987</v>
      </c>
      <c r="L31" s="2" t="s">
        <v>13</v>
      </c>
    </row>
    <row r="32" ht="15.75" customHeight="1">
      <c r="A32" s="2" t="s">
        <v>46</v>
      </c>
      <c r="B32" s="2">
        <v>2.0</v>
      </c>
      <c r="C32" s="2">
        <v>3121.0</v>
      </c>
      <c r="D32" s="2">
        <v>2946.7</v>
      </c>
      <c r="E32" s="2">
        <v>-44.9</v>
      </c>
      <c r="F32" s="2">
        <v>2959.9</v>
      </c>
      <c r="G32" s="2">
        <v>129697.7</v>
      </c>
      <c r="H32" s="2">
        <v>-37.39</v>
      </c>
      <c r="I32" s="2">
        <v>3.1582</v>
      </c>
      <c r="J32" s="2">
        <f t="shared" si="1"/>
        <v>10947.2168</v>
      </c>
      <c r="K32" s="2">
        <v>4.076</v>
      </c>
      <c r="L32" s="2" t="s">
        <v>17</v>
      </c>
    </row>
    <row r="33" ht="15.75" customHeight="1">
      <c r="A33" s="2" t="s">
        <v>47</v>
      </c>
      <c r="B33" s="2">
        <v>2.0</v>
      </c>
      <c r="C33" s="2">
        <v>3227.8</v>
      </c>
      <c r="D33" s="2">
        <v>3039.3</v>
      </c>
      <c r="E33" s="2">
        <v>-52.0</v>
      </c>
      <c r="F33" s="2">
        <v>3052.8</v>
      </c>
      <c r="G33" s="2">
        <v>37034.6</v>
      </c>
      <c r="H33" s="2">
        <v>-34.18</v>
      </c>
      <c r="I33" s="2">
        <v>3.2286</v>
      </c>
      <c r="J33" s="2">
        <f t="shared" si="1"/>
        <v>3091.660492</v>
      </c>
      <c r="K33" s="2">
        <v>4.263</v>
      </c>
      <c r="L33" s="2" t="s">
        <v>13</v>
      </c>
    </row>
    <row r="34" ht="15.75" customHeight="1">
      <c r="A34" s="2" t="s">
        <v>48</v>
      </c>
      <c r="B34" s="2">
        <v>2.0</v>
      </c>
      <c r="C34" s="2">
        <v>3345.2</v>
      </c>
      <c r="D34" s="2">
        <v>3119.7</v>
      </c>
      <c r="E34" s="2">
        <v>-48.3</v>
      </c>
      <c r="F34" s="2">
        <v>3133.2</v>
      </c>
      <c r="G34" s="2">
        <v>113086.9</v>
      </c>
      <c r="H34" s="2">
        <v>-56.0</v>
      </c>
      <c r="I34" s="2">
        <v>3.2688</v>
      </c>
      <c r="J34" s="2">
        <f t="shared" si="1"/>
        <v>9382.301471</v>
      </c>
      <c r="K34" s="2">
        <v>4.341</v>
      </c>
      <c r="L34" s="2" t="s">
        <v>13</v>
      </c>
    </row>
    <row r="35" ht="15.75" customHeight="1">
      <c r="A35" s="2" t="s">
        <v>49</v>
      </c>
      <c r="B35" s="2">
        <v>2.0</v>
      </c>
      <c r="C35" s="2">
        <v>3430.5</v>
      </c>
      <c r="D35" s="2">
        <v>3213.6</v>
      </c>
      <c r="E35" s="2">
        <v>-61.3</v>
      </c>
      <c r="F35" s="2">
        <v>3228.1</v>
      </c>
      <c r="G35" s="2">
        <v>56994.1</v>
      </c>
      <c r="H35" s="2">
        <v>-48.6</v>
      </c>
      <c r="I35" s="2">
        <v>3.2191</v>
      </c>
      <c r="J35" s="2">
        <f t="shared" si="1"/>
        <v>4764.901475</v>
      </c>
      <c r="K35" s="2">
        <v>4.464</v>
      </c>
      <c r="L35" s="2" t="s">
        <v>13</v>
      </c>
    </row>
    <row r="36" ht="15.75" customHeight="1">
      <c r="A36" s="2" t="s">
        <v>50</v>
      </c>
      <c r="B36" s="2">
        <v>2.0</v>
      </c>
      <c r="C36" s="2">
        <v>3522.6</v>
      </c>
      <c r="D36" s="2">
        <v>3333.0</v>
      </c>
      <c r="E36" s="2">
        <v>-52.0</v>
      </c>
      <c r="F36" s="2">
        <v>3347.8</v>
      </c>
      <c r="G36" s="2">
        <v>107093.6</v>
      </c>
      <c r="H36" s="2">
        <v>-33.29</v>
      </c>
      <c r="I36" s="2">
        <v>3.2773</v>
      </c>
      <c r="J36" s="2">
        <f t="shared" si="1"/>
        <v>8873.53523</v>
      </c>
      <c r="K36" s="2">
        <v>4.623</v>
      </c>
      <c r="L36" s="2" t="s">
        <v>13</v>
      </c>
    </row>
    <row r="37" ht="15.75" customHeight="1">
      <c r="A37" s="2" t="s">
        <v>51</v>
      </c>
      <c r="B37" s="2">
        <v>2.0</v>
      </c>
      <c r="C37" s="2">
        <v>3606.8</v>
      </c>
      <c r="D37" s="2">
        <v>3448.1</v>
      </c>
      <c r="E37" s="2">
        <v>-59.1</v>
      </c>
      <c r="F37" s="2">
        <v>3463.1</v>
      </c>
      <c r="G37" s="2">
        <v>170589.4</v>
      </c>
      <c r="H37" s="2">
        <v>-30.3</v>
      </c>
      <c r="I37" s="2">
        <v>3.0777</v>
      </c>
      <c r="J37" s="2">
        <f t="shared" si="1"/>
        <v>14585.79678</v>
      </c>
      <c r="K37" s="2">
        <v>4.678</v>
      </c>
      <c r="L37" s="2" t="s">
        <v>13</v>
      </c>
    </row>
    <row r="38" ht="15.75" customHeight="1">
      <c r="A38" s="2" t="s">
        <v>52</v>
      </c>
      <c r="B38" s="2">
        <v>2.0</v>
      </c>
      <c r="C38" s="2">
        <v>3695.2</v>
      </c>
      <c r="D38" s="2">
        <v>3541.8</v>
      </c>
      <c r="E38" s="2">
        <v>-53.5</v>
      </c>
      <c r="F38" s="2">
        <v>3557.0</v>
      </c>
      <c r="G38" s="2">
        <v>164112.7</v>
      </c>
      <c r="H38" s="2">
        <v>-39.78</v>
      </c>
      <c r="I38" s="2">
        <v>3.1256</v>
      </c>
      <c r="J38" s="2">
        <f t="shared" si="1"/>
        <v>13924.08772</v>
      </c>
      <c r="K38" s="2">
        <v>4.861</v>
      </c>
      <c r="L38" s="2" t="s">
        <v>13</v>
      </c>
    </row>
    <row r="39" ht="15.75" customHeight="1">
      <c r="A39" s="2" t="s">
        <v>53</v>
      </c>
      <c r="B39" s="2">
        <v>2.0</v>
      </c>
      <c r="C39" s="2">
        <v>3777.2</v>
      </c>
      <c r="D39" s="2">
        <v>3647.2</v>
      </c>
      <c r="E39" s="2">
        <v>-43.6</v>
      </c>
      <c r="F39" s="2">
        <v>3662.8</v>
      </c>
      <c r="G39" s="2">
        <v>21759.3</v>
      </c>
      <c r="H39" s="2">
        <v>-46.66</v>
      </c>
      <c r="I39" s="2">
        <v>3.0654</v>
      </c>
      <c r="J39" s="2">
        <f t="shared" si="1"/>
        <v>1864.200424</v>
      </c>
      <c r="K39" s="2">
        <v>4.988</v>
      </c>
      <c r="L39" s="2" t="s">
        <v>13</v>
      </c>
    </row>
    <row r="40" ht="15.75" customHeight="1">
      <c r="A40" s="2" t="s">
        <v>54</v>
      </c>
      <c r="B40" s="2">
        <v>2.0</v>
      </c>
      <c r="C40" s="2">
        <v>3863.7</v>
      </c>
      <c r="D40" s="2">
        <v>3744.9</v>
      </c>
      <c r="E40" s="2">
        <v>-37.4</v>
      </c>
      <c r="F40" s="2">
        <v>3760.7</v>
      </c>
      <c r="G40" s="2">
        <v>112719.6</v>
      </c>
      <c r="H40" s="2">
        <v>-55.53</v>
      </c>
      <c r="I40" s="2">
        <v>3.4725</v>
      </c>
      <c r="J40" s="2">
        <f t="shared" si="1"/>
        <v>9073.38984</v>
      </c>
      <c r="K40" s="2">
        <v>5.079</v>
      </c>
      <c r="L40" s="2" t="s">
        <v>13</v>
      </c>
    </row>
    <row r="41" ht="15.75" customHeight="1">
      <c r="A41" s="2" t="s">
        <v>55</v>
      </c>
      <c r="B41" s="2">
        <v>2.0</v>
      </c>
      <c r="C41" s="2">
        <v>3949.6</v>
      </c>
      <c r="D41" s="2">
        <v>3826.3</v>
      </c>
      <c r="E41" s="2">
        <v>-41.4</v>
      </c>
      <c r="F41" s="2">
        <v>3842.2</v>
      </c>
      <c r="G41" s="2">
        <v>111244.4</v>
      </c>
      <c r="H41" s="2">
        <v>-42.81</v>
      </c>
      <c r="I41" s="2">
        <v>3.0209</v>
      </c>
      <c r="J41" s="2">
        <f t="shared" si="1"/>
        <v>9600.663375</v>
      </c>
      <c r="K41" s="2">
        <v>5.166</v>
      </c>
      <c r="L41" s="2" t="s">
        <v>13</v>
      </c>
    </row>
    <row r="42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14"/>
    <col customWidth="1" min="2" max="2" width="3.57"/>
    <col customWidth="1" min="3" max="3" width="12.43"/>
    <col customWidth="1" min="4" max="5" width="9.0"/>
    <col customWidth="1" min="6" max="6" width="12.29"/>
    <col customWidth="1" min="7" max="7" width="21.14"/>
    <col customWidth="1" min="8" max="8" width="13.29"/>
    <col customWidth="1" min="9" max="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</v>
      </c>
      <c r="G1" s="1" t="s">
        <v>57</v>
      </c>
      <c r="H1" s="1" t="s">
        <v>58</v>
      </c>
    </row>
    <row r="2">
      <c r="A2" s="2" t="s">
        <v>12</v>
      </c>
      <c r="B2" s="2">
        <v>1.0</v>
      </c>
      <c r="C2" s="2">
        <v>117.3</v>
      </c>
      <c r="D2" s="2">
        <v>118.9</v>
      </c>
      <c r="E2" s="2">
        <v>-13.8</v>
      </c>
      <c r="F2" s="2">
        <v>87.16</v>
      </c>
      <c r="G2" s="2">
        <v>0.343</v>
      </c>
      <c r="H2" s="2" t="s">
        <v>59</v>
      </c>
    </row>
    <row r="3">
      <c r="A3" s="2" t="s">
        <v>14</v>
      </c>
      <c r="B3" s="2">
        <v>1.0</v>
      </c>
      <c r="C3" s="2">
        <v>224.0</v>
      </c>
      <c r="D3" s="2">
        <v>213.0</v>
      </c>
      <c r="E3" s="2">
        <v>-12.0</v>
      </c>
      <c r="F3" s="2">
        <v>97.49</v>
      </c>
      <c r="G3" s="2">
        <v>0.469</v>
      </c>
      <c r="H3" s="2" t="s">
        <v>60</v>
      </c>
    </row>
    <row r="4">
      <c r="A4" s="2" t="s">
        <v>15</v>
      </c>
      <c r="B4" s="2">
        <v>1.0</v>
      </c>
      <c r="C4" s="2">
        <v>334.0</v>
      </c>
      <c r="D4" s="2">
        <v>330.1</v>
      </c>
      <c r="E4" s="2">
        <v>-19.9</v>
      </c>
      <c r="F4" s="2">
        <v>83.25</v>
      </c>
      <c r="G4" s="2">
        <v>0.394</v>
      </c>
      <c r="H4" s="2" t="s">
        <v>59</v>
      </c>
    </row>
    <row r="5">
      <c r="A5" s="2" t="s">
        <v>16</v>
      </c>
      <c r="B5" s="2">
        <v>1.0</v>
      </c>
      <c r="C5" s="2">
        <v>421.1</v>
      </c>
      <c r="D5" s="2">
        <v>426.6</v>
      </c>
      <c r="E5" s="2">
        <v>-29.5</v>
      </c>
      <c r="F5" s="2">
        <v>98.49</v>
      </c>
      <c r="G5" s="2">
        <v>0.386</v>
      </c>
      <c r="H5" s="2" t="s">
        <v>59</v>
      </c>
    </row>
    <row r="6">
      <c r="A6" s="2" t="s">
        <v>18</v>
      </c>
      <c r="B6" s="2">
        <v>1.0</v>
      </c>
      <c r="C6" s="2">
        <v>517.5</v>
      </c>
      <c r="D6" s="2">
        <v>533.4</v>
      </c>
      <c r="E6" s="2">
        <v>-22.5</v>
      </c>
      <c r="F6" s="2">
        <v>84.96</v>
      </c>
      <c r="G6" s="2">
        <v>0.118</v>
      </c>
      <c r="H6" s="2" t="s">
        <v>59</v>
      </c>
    </row>
    <row r="7">
      <c r="A7" s="2" t="s">
        <v>19</v>
      </c>
      <c r="B7" s="2">
        <v>1.0</v>
      </c>
      <c r="C7" s="2">
        <v>625.6</v>
      </c>
      <c r="D7" s="2">
        <v>628.7</v>
      </c>
      <c r="E7" s="2">
        <v>-36.3</v>
      </c>
      <c r="F7" s="2">
        <v>89.41</v>
      </c>
      <c r="G7" s="2">
        <v>0.136</v>
      </c>
      <c r="H7" s="2" t="s">
        <v>59</v>
      </c>
    </row>
    <row r="8">
      <c r="A8" s="2" t="s">
        <v>20</v>
      </c>
      <c r="B8" s="2">
        <v>1.0</v>
      </c>
      <c r="C8" s="2">
        <v>742.3</v>
      </c>
      <c r="D8" s="2">
        <v>722.6</v>
      </c>
      <c r="E8" s="2">
        <v>-26.7</v>
      </c>
      <c r="F8" s="2">
        <v>97.43</v>
      </c>
      <c r="G8" s="2">
        <v>0.146</v>
      </c>
      <c r="H8" s="2" t="s">
        <v>59</v>
      </c>
    </row>
    <row r="9">
      <c r="A9" s="2" t="s">
        <v>21</v>
      </c>
      <c r="B9" s="2">
        <v>1.0</v>
      </c>
      <c r="C9" s="2">
        <v>848.7</v>
      </c>
      <c r="D9" s="2">
        <v>818.6</v>
      </c>
      <c r="E9" s="2">
        <v>-33.3</v>
      </c>
      <c r="F9" s="2">
        <v>81.39</v>
      </c>
      <c r="G9" s="2">
        <v>0.383</v>
      </c>
      <c r="H9" s="2" t="s">
        <v>59</v>
      </c>
    </row>
    <row r="10">
      <c r="A10" s="2" t="s">
        <v>22</v>
      </c>
      <c r="B10" s="2">
        <v>1.0</v>
      </c>
      <c r="C10" s="2">
        <v>942.8</v>
      </c>
      <c r="D10" s="2">
        <v>919.0</v>
      </c>
      <c r="E10" s="2">
        <v>-28.0</v>
      </c>
      <c r="F10" s="2">
        <v>96.87</v>
      </c>
      <c r="G10" s="2">
        <v>0.192</v>
      </c>
      <c r="H10" s="2" t="s">
        <v>59</v>
      </c>
    </row>
    <row r="11">
      <c r="A11" s="2" t="s">
        <v>23</v>
      </c>
      <c r="B11" s="2">
        <v>1.0</v>
      </c>
      <c r="C11" s="2">
        <v>1023.9</v>
      </c>
      <c r="D11" s="2">
        <v>1034.0</v>
      </c>
      <c r="E11" s="2">
        <v>-35.1</v>
      </c>
      <c r="F11" s="2">
        <v>91.61</v>
      </c>
      <c r="G11" s="2">
        <v>0.473</v>
      </c>
      <c r="H11" s="2" t="s">
        <v>60</v>
      </c>
    </row>
    <row r="12">
      <c r="A12" s="2" t="s">
        <v>25</v>
      </c>
      <c r="B12" s="2">
        <v>1.0</v>
      </c>
      <c r="C12" s="2">
        <v>1105.4</v>
      </c>
      <c r="D12" s="2">
        <v>1137.9</v>
      </c>
      <c r="E12" s="2">
        <v>-39.7</v>
      </c>
      <c r="F12" s="2">
        <v>95.73</v>
      </c>
      <c r="G12" s="2">
        <v>0.238</v>
      </c>
      <c r="H12" s="2" t="s">
        <v>59</v>
      </c>
    </row>
    <row r="13">
      <c r="A13" s="2" t="s">
        <v>26</v>
      </c>
      <c r="B13" s="2">
        <v>1.0</v>
      </c>
      <c r="C13" s="2">
        <v>1224.8</v>
      </c>
      <c r="D13" s="2">
        <v>1222.5</v>
      </c>
      <c r="E13" s="2">
        <v>-27.8</v>
      </c>
      <c r="F13" s="2">
        <v>83.8</v>
      </c>
      <c r="G13" s="2">
        <v>0.069</v>
      </c>
      <c r="H13" s="2" t="s">
        <v>59</v>
      </c>
    </row>
    <row r="14">
      <c r="A14" s="2" t="s">
        <v>27</v>
      </c>
      <c r="B14" s="2">
        <v>1.0</v>
      </c>
      <c r="C14" s="2">
        <v>1322.2</v>
      </c>
      <c r="D14" s="2">
        <v>1323.3</v>
      </c>
      <c r="E14" s="2">
        <v>-18.6</v>
      </c>
      <c r="F14" s="2">
        <v>93.74</v>
      </c>
      <c r="G14" s="2">
        <v>0.454</v>
      </c>
      <c r="H14" s="2" t="s">
        <v>60</v>
      </c>
    </row>
    <row r="15">
      <c r="A15" s="2" t="s">
        <v>28</v>
      </c>
      <c r="B15" s="2">
        <v>1.0</v>
      </c>
      <c r="C15" s="2">
        <v>1431.7</v>
      </c>
      <c r="D15" s="2">
        <v>1411.2</v>
      </c>
      <c r="E15" s="2">
        <v>-20.6</v>
      </c>
      <c r="F15" s="2">
        <v>98.98</v>
      </c>
      <c r="G15" s="2">
        <v>0.446</v>
      </c>
      <c r="H15" s="2" t="s">
        <v>59</v>
      </c>
    </row>
    <row r="16">
      <c r="A16" s="2" t="s">
        <v>29</v>
      </c>
      <c r="B16" s="2">
        <v>1.0</v>
      </c>
      <c r="C16" s="2">
        <v>1536.6</v>
      </c>
      <c r="D16" s="2">
        <v>1517.7</v>
      </c>
      <c r="E16" s="2">
        <v>-31.9</v>
      </c>
      <c r="F16" s="2">
        <v>98.0</v>
      </c>
      <c r="G16" s="2">
        <v>0.268</v>
      </c>
      <c r="H16" s="2" t="s">
        <v>59</v>
      </c>
    </row>
    <row r="17">
      <c r="A17" s="2" t="s">
        <v>30</v>
      </c>
      <c r="B17" s="2">
        <v>1.0</v>
      </c>
      <c r="C17" s="2">
        <v>1643.3</v>
      </c>
      <c r="D17" s="2">
        <v>1610.8</v>
      </c>
      <c r="E17" s="2">
        <v>-26.0</v>
      </c>
      <c r="F17" s="2">
        <v>91.09</v>
      </c>
      <c r="G17" s="2">
        <v>0.132</v>
      </c>
      <c r="H17" s="2" t="s">
        <v>59</v>
      </c>
    </row>
    <row r="18">
      <c r="A18" s="2" t="s">
        <v>31</v>
      </c>
      <c r="B18" s="2">
        <v>1.0</v>
      </c>
      <c r="C18" s="2">
        <v>1749.9</v>
      </c>
      <c r="D18" s="2">
        <v>1706.0</v>
      </c>
      <c r="E18" s="2">
        <v>-18.5</v>
      </c>
      <c r="F18" s="2">
        <v>83.48</v>
      </c>
      <c r="G18" s="2">
        <v>0.295</v>
      </c>
      <c r="H18" s="2" t="s">
        <v>59</v>
      </c>
    </row>
    <row r="19">
      <c r="A19" s="2" t="s">
        <v>32</v>
      </c>
      <c r="B19" s="2">
        <v>1.0</v>
      </c>
      <c r="C19" s="2">
        <v>1846.1</v>
      </c>
      <c r="D19" s="2">
        <v>1819.3</v>
      </c>
      <c r="E19" s="2">
        <v>-24.4</v>
      </c>
      <c r="F19" s="2">
        <v>84.2</v>
      </c>
      <c r="G19" s="2">
        <v>0.388</v>
      </c>
      <c r="H19" s="2" t="s">
        <v>59</v>
      </c>
    </row>
    <row r="20">
      <c r="A20" s="2" t="s">
        <v>33</v>
      </c>
      <c r="B20" s="2">
        <v>1.0</v>
      </c>
      <c r="C20" s="2">
        <v>1950.4</v>
      </c>
      <c r="D20" s="2">
        <v>1912.2</v>
      </c>
      <c r="E20" s="2">
        <v>-26.2</v>
      </c>
      <c r="F20" s="2">
        <v>93.51</v>
      </c>
      <c r="G20" s="2">
        <v>0.27</v>
      </c>
      <c r="H20" s="2" t="s">
        <v>59</v>
      </c>
    </row>
    <row r="21" ht="15.75" customHeight="1">
      <c r="A21" s="2" t="s">
        <v>34</v>
      </c>
      <c r="B21" s="2">
        <v>1.0</v>
      </c>
      <c r="C21" s="2">
        <v>2062.2</v>
      </c>
      <c r="D21" s="2">
        <v>2030.6</v>
      </c>
      <c r="E21" s="2">
        <v>-19.1</v>
      </c>
      <c r="F21" s="2">
        <v>93.18</v>
      </c>
      <c r="G21" s="2">
        <v>0.172</v>
      </c>
      <c r="H21" s="2" t="s">
        <v>59</v>
      </c>
    </row>
    <row r="22" ht="15.75" customHeight="1">
      <c r="A22" s="2" t="s">
        <v>35</v>
      </c>
      <c r="B22" s="2">
        <v>2.0</v>
      </c>
      <c r="C22" s="2">
        <v>2168.7</v>
      </c>
      <c r="D22" s="2">
        <v>2135.4</v>
      </c>
      <c r="E22" s="2">
        <v>-31.3</v>
      </c>
      <c r="F22" s="2">
        <v>99.04</v>
      </c>
      <c r="G22" s="2">
        <v>0.151</v>
      </c>
      <c r="H22" s="2" t="s">
        <v>59</v>
      </c>
    </row>
    <row r="23" ht="15.75" customHeight="1">
      <c r="A23" s="2" t="s">
        <v>36</v>
      </c>
      <c r="B23" s="2">
        <v>2.0</v>
      </c>
      <c r="C23" s="2">
        <v>2261.1</v>
      </c>
      <c r="D23" s="2">
        <v>2247.6</v>
      </c>
      <c r="E23" s="2">
        <v>-41.9</v>
      </c>
      <c r="F23" s="2">
        <v>80.92</v>
      </c>
      <c r="G23" s="2">
        <v>0.473</v>
      </c>
      <c r="H23" s="2" t="s">
        <v>60</v>
      </c>
    </row>
    <row r="24" ht="15.75" customHeight="1">
      <c r="A24" s="2" t="s">
        <v>37</v>
      </c>
      <c r="B24" s="2">
        <v>2.0</v>
      </c>
      <c r="C24" s="2">
        <v>2365.6</v>
      </c>
      <c r="D24" s="2">
        <v>2358.4</v>
      </c>
      <c r="E24" s="2">
        <v>-43.2</v>
      </c>
      <c r="F24" s="2">
        <v>97.72</v>
      </c>
      <c r="G24" s="2">
        <v>0.298</v>
      </c>
      <c r="H24" s="2" t="s">
        <v>59</v>
      </c>
    </row>
    <row r="25" ht="15.75" customHeight="1">
      <c r="A25" s="2" t="s">
        <v>38</v>
      </c>
      <c r="B25" s="2">
        <v>2.0</v>
      </c>
      <c r="C25" s="2">
        <v>2474.3</v>
      </c>
      <c r="D25" s="2">
        <v>2453.7</v>
      </c>
      <c r="E25" s="2">
        <v>-46.2</v>
      </c>
      <c r="F25" s="2">
        <v>82.95</v>
      </c>
      <c r="G25" s="2">
        <v>0.346</v>
      </c>
      <c r="H25" s="2" t="s">
        <v>59</v>
      </c>
    </row>
    <row r="26" ht="15.75" customHeight="1">
      <c r="A26" s="2" t="s">
        <v>39</v>
      </c>
      <c r="B26" s="2">
        <v>2.0</v>
      </c>
      <c r="C26" s="2">
        <v>2590.0</v>
      </c>
      <c r="D26" s="2">
        <v>2568.1</v>
      </c>
      <c r="E26" s="2">
        <v>-34.6</v>
      </c>
      <c r="F26" s="2">
        <v>95.57</v>
      </c>
      <c r="G26" s="2">
        <v>0.144</v>
      </c>
      <c r="H26" s="2" t="s">
        <v>59</v>
      </c>
    </row>
    <row r="27" ht="15.75" customHeight="1">
      <c r="A27" s="2" t="s">
        <v>40</v>
      </c>
      <c r="B27" s="2">
        <v>2.0</v>
      </c>
      <c r="C27" s="2">
        <v>2702.2</v>
      </c>
      <c r="D27" s="2">
        <v>2676.0</v>
      </c>
      <c r="E27" s="2">
        <v>-35.7</v>
      </c>
      <c r="F27" s="2">
        <v>91.15</v>
      </c>
      <c r="G27" s="2">
        <v>0.445</v>
      </c>
      <c r="H27" s="2" t="s">
        <v>59</v>
      </c>
    </row>
    <row r="28" ht="15.75" customHeight="1">
      <c r="A28" s="2" t="s">
        <v>41</v>
      </c>
      <c r="B28" s="2">
        <v>2.0</v>
      </c>
      <c r="C28" s="2">
        <v>2787.0</v>
      </c>
      <c r="D28" s="2">
        <v>2761.3</v>
      </c>
      <c r="E28" s="2">
        <v>-36.8</v>
      </c>
      <c r="F28" s="2">
        <v>90.62</v>
      </c>
      <c r="G28" s="2">
        <v>0.29</v>
      </c>
      <c r="H28" s="2" t="s">
        <v>59</v>
      </c>
    </row>
    <row r="29" ht="15.75" customHeight="1">
      <c r="A29" s="2" t="s">
        <v>43</v>
      </c>
      <c r="B29" s="2">
        <v>2.0</v>
      </c>
      <c r="C29" s="2">
        <v>2879.7</v>
      </c>
      <c r="D29" s="2">
        <v>2871.5</v>
      </c>
      <c r="E29" s="2">
        <v>-38.5</v>
      </c>
      <c r="F29" s="2">
        <v>96.3</v>
      </c>
      <c r="G29" s="2">
        <v>0.434</v>
      </c>
      <c r="H29" s="2" t="s">
        <v>59</v>
      </c>
    </row>
    <row r="30" ht="15.75" customHeight="1">
      <c r="A30" s="2" t="s">
        <v>44</v>
      </c>
      <c r="B30" s="2">
        <v>2.0</v>
      </c>
      <c r="C30" s="2">
        <v>2976.8</v>
      </c>
      <c r="D30" s="2">
        <v>2987.8</v>
      </c>
      <c r="E30" s="2">
        <v>-40.1</v>
      </c>
      <c r="F30" s="2">
        <v>83.18</v>
      </c>
      <c r="G30" s="2">
        <v>0.42</v>
      </c>
      <c r="H30" s="2" t="s">
        <v>59</v>
      </c>
    </row>
    <row r="31" ht="15.75" customHeight="1">
      <c r="A31" s="2" t="s">
        <v>45</v>
      </c>
      <c r="B31" s="2">
        <v>2.0</v>
      </c>
      <c r="C31" s="2">
        <v>3074.8</v>
      </c>
      <c r="D31" s="2">
        <v>3097.9</v>
      </c>
      <c r="E31" s="2">
        <v>-29.9</v>
      </c>
      <c r="F31" s="2">
        <v>85.55</v>
      </c>
      <c r="G31" s="2">
        <v>0.384</v>
      </c>
      <c r="H31" s="2" t="s">
        <v>59</v>
      </c>
    </row>
    <row r="32" ht="15.75" customHeight="1">
      <c r="A32" s="2" t="s">
        <v>46</v>
      </c>
      <c r="B32" s="2">
        <v>2.0</v>
      </c>
      <c r="C32" s="2">
        <v>3174.2</v>
      </c>
      <c r="D32" s="2">
        <v>3187.4</v>
      </c>
      <c r="E32" s="2">
        <v>-31.7</v>
      </c>
      <c r="F32" s="2">
        <v>94.27</v>
      </c>
      <c r="G32" s="2">
        <v>0.151</v>
      </c>
      <c r="H32" s="2" t="s">
        <v>59</v>
      </c>
    </row>
    <row r="33" ht="15.75" customHeight="1">
      <c r="A33" s="2" t="s">
        <v>47</v>
      </c>
      <c r="B33" s="2">
        <v>2.0</v>
      </c>
      <c r="C33" s="2">
        <v>3267.6</v>
      </c>
      <c r="D33" s="2">
        <v>3303.2</v>
      </c>
      <c r="E33" s="2">
        <v>-44.3</v>
      </c>
      <c r="F33" s="2">
        <v>83.02</v>
      </c>
      <c r="G33" s="2">
        <v>0.215</v>
      </c>
      <c r="H33" s="2" t="s">
        <v>59</v>
      </c>
    </row>
    <row r="34" ht="15.75" customHeight="1">
      <c r="A34" s="2" t="s">
        <v>48</v>
      </c>
      <c r="B34" s="2">
        <v>2.0</v>
      </c>
      <c r="C34" s="2">
        <v>3353.7</v>
      </c>
      <c r="D34" s="2">
        <v>3391.7</v>
      </c>
      <c r="E34" s="2">
        <v>-46.9</v>
      </c>
      <c r="F34" s="2">
        <v>86.62</v>
      </c>
      <c r="G34" s="2">
        <v>0.25</v>
      </c>
      <c r="H34" s="2" t="s">
        <v>59</v>
      </c>
    </row>
    <row r="35" ht="15.75" customHeight="1">
      <c r="A35" s="2" t="s">
        <v>49</v>
      </c>
      <c r="B35" s="2">
        <v>2.0</v>
      </c>
      <c r="C35" s="2">
        <v>3436.2</v>
      </c>
      <c r="D35" s="2">
        <v>3505.0</v>
      </c>
      <c r="E35" s="2">
        <v>-50.2</v>
      </c>
      <c r="F35" s="2">
        <v>95.4</v>
      </c>
      <c r="G35" s="2">
        <v>0.457</v>
      </c>
      <c r="H35" s="2" t="s">
        <v>60</v>
      </c>
    </row>
    <row r="36" ht="15.75" customHeight="1">
      <c r="A36" s="2" t="s">
        <v>50</v>
      </c>
      <c r="B36" s="2">
        <v>2.0</v>
      </c>
      <c r="C36" s="2">
        <v>3517.0</v>
      </c>
      <c r="D36" s="2">
        <v>3620.3</v>
      </c>
      <c r="E36" s="2">
        <v>-47.9</v>
      </c>
      <c r="F36" s="2">
        <v>89.54</v>
      </c>
      <c r="G36" s="2">
        <v>0.455</v>
      </c>
      <c r="H36" s="2" t="s">
        <v>60</v>
      </c>
    </row>
    <row r="37" ht="15.75" customHeight="1">
      <c r="A37" s="2" t="s">
        <v>51</v>
      </c>
      <c r="B37" s="2">
        <v>2.0</v>
      </c>
      <c r="C37" s="2">
        <v>3608.9</v>
      </c>
      <c r="D37" s="2">
        <v>3715.9</v>
      </c>
      <c r="E37" s="2">
        <v>-36.1</v>
      </c>
      <c r="F37" s="2">
        <v>96.71</v>
      </c>
      <c r="G37" s="2">
        <v>0.281</v>
      </c>
      <c r="H37" s="2" t="s">
        <v>59</v>
      </c>
    </row>
    <row r="38" ht="15.75" customHeight="1">
      <c r="A38" s="2" t="s">
        <v>52</v>
      </c>
      <c r="B38" s="2">
        <v>2.0</v>
      </c>
      <c r="C38" s="2">
        <v>3718.3</v>
      </c>
      <c r="D38" s="2">
        <v>3827.8</v>
      </c>
      <c r="E38" s="2">
        <v>-24.2</v>
      </c>
      <c r="F38" s="2">
        <v>89.76</v>
      </c>
      <c r="G38" s="2">
        <v>0.167</v>
      </c>
      <c r="H38" s="2" t="s">
        <v>59</v>
      </c>
    </row>
    <row r="39" ht="15.75" customHeight="1">
      <c r="A39" s="2" t="s">
        <v>53</v>
      </c>
      <c r="B39" s="2">
        <v>2.0</v>
      </c>
      <c r="C39" s="2">
        <v>3817.8</v>
      </c>
      <c r="D39" s="2">
        <v>3923.4</v>
      </c>
      <c r="E39" s="2">
        <v>-19.1</v>
      </c>
      <c r="F39" s="2">
        <v>95.96</v>
      </c>
      <c r="G39" s="2">
        <v>0.361</v>
      </c>
      <c r="H39" s="2" t="s">
        <v>59</v>
      </c>
    </row>
    <row r="40" ht="15.75" customHeight="1">
      <c r="A40" s="2" t="s">
        <v>54</v>
      </c>
      <c r="B40" s="2">
        <v>2.0</v>
      </c>
      <c r="C40" s="2">
        <v>3931.4</v>
      </c>
      <c r="D40" s="2">
        <v>4040.2</v>
      </c>
      <c r="E40" s="2">
        <v>-4.7</v>
      </c>
      <c r="F40" s="2">
        <v>90.68</v>
      </c>
      <c r="G40" s="2">
        <v>0.44</v>
      </c>
      <c r="H40" s="2" t="s">
        <v>59</v>
      </c>
    </row>
    <row r="41" ht="15.75" customHeight="1">
      <c r="A41" s="2" t="s">
        <v>55</v>
      </c>
      <c r="B41" s="2">
        <v>2.0</v>
      </c>
      <c r="C41" s="2">
        <v>4035.1</v>
      </c>
      <c r="D41" s="2">
        <v>4146.7</v>
      </c>
      <c r="E41" s="2">
        <v>-17.2</v>
      </c>
      <c r="F41" s="2">
        <v>88.57</v>
      </c>
      <c r="G41" s="2">
        <v>0.423</v>
      </c>
      <c r="H41" s="2" t="s">
        <v>59</v>
      </c>
    </row>
    <row r="42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14"/>
    <col customWidth="1" min="2" max="2" width="3.57"/>
    <col customWidth="1" min="3" max="3" width="10.0"/>
    <col customWidth="1" min="4" max="4" width="15.86"/>
    <col customWidth="1" min="5" max="5" width="15.29"/>
    <col customWidth="1" min="6" max="6" width="15.0"/>
    <col customWidth="1" min="7" max="7" width="20.0"/>
    <col customWidth="1" min="8" max="8" width="19.29"/>
    <col customWidth="1" min="9" max="9" width="8.71"/>
  </cols>
  <sheetData>
    <row r="1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</row>
    <row r="2">
      <c r="A2" s="2" t="s">
        <v>12</v>
      </c>
      <c r="B2" s="2">
        <v>1.0</v>
      </c>
      <c r="C2" s="2">
        <v>4.54</v>
      </c>
      <c r="D2" s="2">
        <v>0.308</v>
      </c>
      <c r="E2" s="2">
        <v>91.5</v>
      </c>
      <c r="F2" s="2">
        <v>0.145</v>
      </c>
      <c r="G2" s="2">
        <v>-71.56</v>
      </c>
      <c r="H2" s="2">
        <v>35.2</v>
      </c>
    </row>
    <row r="3">
      <c r="A3" s="2" t="s">
        <v>14</v>
      </c>
      <c r="B3" s="2">
        <v>1.0</v>
      </c>
      <c r="C3" s="2">
        <v>6.96</v>
      </c>
      <c r="D3" s="2">
        <v>0.861</v>
      </c>
      <c r="E3" s="2">
        <v>93.4</v>
      </c>
      <c r="F3" s="2">
        <v>0.328</v>
      </c>
      <c r="G3" s="2">
        <v>-68.24</v>
      </c>
      <c r="H3" s="2">
        <v>30.0</v>
      </c>
    </row>
    <row r="4">
      <c r="A4" s="2" t="s">
        <v>15</v>
      </c>
      <c r="B4" s="2">
        <v>1.0</v>
      </c>
      <c r="C4" s="2">
        <v>1.3</v>
      </c>
      <c r="D4" s="2">
        <v>0.862</v>
      </c>
      <c r="E4" s="2">
        <v>89.5</v>
      </c>
      <c r="F4" s="2">
        <v>0.435</v>
      </c>
      <c r="G4" s="2">
        <v>-56.07</v>
      </c>
      <c r="H4" s="2">
        <v>1.6</v>
      </c>
    </row>
    <row r="5">
      <c r="A5" s="2" t="s">
        <v>16</v>
      </c>
      <c r="B5" s="2">
        <v>1.0</v>
      </c>
      <c r="C5" s="2">
        <v>0.78</v>
      </c>
      <c r="D5" s="2">
        <v>0.298</v>
      </c>
      <c r="E5" s="2">
        <v>101.8</v>
      </c>
      <c r="F5" s="2">
        <v>0.597</v>
      </c>
      <c r="G5" s="2">
        <v>-74.04</v>
      </c>
      <c r="H5" s="2">
        <v>18.9</v>
      </c>
    </row>
    <row r="6">
      <c r="A6" s="2" t="s">
        <v>18</v>
      </c>
      <c r="B6" s="2">
        <v>1.0</v>
      </c>
      <c r="C6" s="2">
        <v>2.86</v>
      </c>
      <c r="D6" s="2">
        <v>0.858</v>
      </c>
      <c r="E6" s="2">
        <v>94.3</v>
      </c>
      <c r="F6" s="2">
        <v>0.723</v>
      </c>
      <c r="G6" s="2">
        <v>-70.78</v>
      </c>
      <c r="H6" s="2">
        <v>24.2</v>
      </c>
    </row>
    <row r="7">
      <c r="A7" s="2" t="s">
        <v>19</v>
      </c>
      <c r="B7" s="2">
        <v>1.0</v>
      </c>
      <c r="C7" s="2">
        <v>24.09</v>
      </c>
      <c r="D7" s="2">
        <v>0.675</v>
      </c>
      <c r="E7" s="2">
        <v>100.6</v>
      </c>
      <c r="F7" s="2">
        <v>0.839</v>
      </c>
      <c r="G7" s="2">
        <v>-72.22</v>
      </c>
      <c r="H7" s="2">
        <v>23.1</v>
      </c>
    </row>
    <row r="8">
      <c r="A8" s="2" t="s">
        <v>20</v>
      </c>
      <c r="B8" s="2">
        <v>1.0</v>
      </c>
      <c r="C8" s="2">
        <v>23.22</v>
      </c>
      <c r="D8" s="2">
        <v>0.561</v>
      </c>
      <c r="E8" s="2">
        <v>103.2</v>
      </c>
      <c r="F8" s="2">
        <v>0.977</v>
      </c>
      <c r="G8" s="2">
        <v>-56.46</v>
      </c>
      <c r="H8" s="2">
        <v>7.9</v>
      </c>
    </row>
    <row r="9">
      <c r="A9" s="2" t="s">
        <v>21</v>
      </c>
      <c r="B9" s="2">
        <v>1.0</v>
      </c>
      <c r="C9" s="2">
        <v>14.8</v>
      </c>
      <c r="D9" s="2">
        <v>0.764</v>
      </c>
      <c r="E9" s="2">
        <v>89.9</v>
      </c>
      <c r="F9" s="2">
        <v>1.147</v>
      </c>
      <c r="G9" s="2">
        <v>-72.46</v>
      </c>
      <c r="H9" s="2">
        <v>27.4</v>
      </c>
    </row>
    <row r="10">
      <c r="A10" s="2" t="s">
        <v>22</v>
      </c>
      <c r="B10" s="2">
        <v>1.0</v>
      </c>
      <c r="C10" s="2">
        <v>20.14</v>
      </c>
      <c r="D10" s="2">
        <v>0.737</v>
      </c>
      <c r="E10" s="2">
        <v>96.3</v>
      </c>
      <c r="F10" s="2">
        <v>1.251</v>
      </c>
      <c r="G10" s="2">
        <v>-66.68</v>
      </c>
      <c r="H10" s="2">
        <v>26.5</v>
      </c>
    </row>
    <row r="11">
      <c r="A11" s="2" t="s">
        <v>23</v>
      </c>
      <c r="B11" s="2">
        <v>1.0</v>
      </c>
      <c r="C11" s="2">
        <v>1.72</v>
      </c>
      <c r="D11" s="2">
        <v>0.618</v>
      </c>
      <c r="E11" s="2">
        <v>85.3</v>
      </c>
      <c r="F11" s="2">
        <v>1.393</v>
      </c>
      <c r="G11" s="2">
        <v>-67.74</v>
      </c>
      <c r="H11" s="2">
        <v>17.3</v>
      </c>
    </row>
    <row r="12">
      <c r="A12" s="2" t="s">
        <v>25</v>
      </c>
      <c r="B12" s="2">
        <v>1.0</v>
      </c>
      <c r="C12" s="2">
        <v>9.05</v>
      </c>
      <c r="D12" s="2">
        <v>0.813</v>
      </c>
      <c r="E12" s="2">
        <v>94.2</v>
      </c>
      <c r="F12" s="2">
        <v>1.508</v>
      </c>
      <c r="G12" s="2">
        <v>-75.6</v>
      </c>
      <c r="H12" s="2">
        <v>20.9</v>
      </c>
    </row>
    <row r="13">
      <c r="A13" s="2" t="s">
        <v>26</v>
      </c>
      <c r="B13" s="2">
        <v>1.0</v>
      </c>
      <c r="C13" s="2">
        <v>16.26</v>
      </c>
      <c r="D13" s="2">
        <v>0.593</v>
      </c>
      <c r="E13" s="2">
        <v>103.4</v>
      </c>
      <c r="F13" s="2">
        <v>1.685</v>
      </c>
      <c r="G13" s="2">
        <v>-68.38</v>
      </c>
      <c r="H13" s="2">
        <v>33.0</v>
      </c>
    </row>
    <row r="14">
      <c r="A14" s="2" t="s">
        <v>27</v>
      </c>
      <c r="B14" s="2">
        <v>1.0</v>
      </c>
      <c r="C14" s="2">
        <v>14.81</v>
      </c>
      <c r="D14" s="2">
        <v>0.358</v>
      </c>
      <c r="E14" s="2">
        <v>89.9</v>
      </c>
      <c r="F14" s="2">
        <v>1.878</v>
      </c>
      <c r="G14" s="2">
        <v>-73.03</v>
      </c>
      <c r="H14" s="2">
        <v>18.0</v>
      </c>
    </row>
    <row r="15">
      <c r="A15" s="2" t="s">
        <v>28</v>
      </c>
      <c r="B15" s="2">
        <v>1.0</v>
      </c>
      <c r="C15" s="2">
        <v>18.76</v>
      </c>
      <c r="D15" s="2">
        <v>0.556</v>
      </c>
      <c r="E15" s="2">
        <v>98.4</v>
      </c>
      <c r="F15" s="2">
        <v>2.012</v>
      </c>
      <c r="G15" s="2">
        <v>-67.64</v>
      </c>
      <c r="H15" s="2">
        <v>13.0</v>
      </c>
    </row>
    <row r="16">
      <c r="A16" s="2" t="s">
        <v>29</v>
      </c>
      <c r="B16" s="2">
        <v>1.0</v>
      </c>
      <c r="C16" s="2">
        <v>12.19</v>
      </c>
      <c r="D16" s="2">
        <v>0.384</v>
      </c>
      <c r="E16" s="2">
        <v>90.2</v>
      </c>
      <c r="F16" s="2">
        <v>2.14</v>
      </c>
      <c r="G16" s="2">
        <v>-65.1</v>
      </c>
      <c r="H16" s="2">
        <v>35.2</v>
      </c>
    </row>
    <row r="17">
      <c r="A17" s="2" t="s">
        <v>30</v>
      </c>
      <c r="B17" s="2">
        <v>1.0</v>
      </c>
      <c r="C17" s="2">
        <v>13.89</v>
      </c>
      <c r="D17" s="2">
        <v>0.513</v>
      </c>
      <c r="E17" s="2">
        <v>88.8</v>
      </c>
      <c r="F17" s="2">
        <v>2.264</v>
      </c>
      <c r="G17" s="2">
        <v>-69.84</v>
      </c>
      <c r="H17" s="2">
        <v>22.2</v>
      </c>
    </row>
    <row r="18">
      <c r="A18" s="2" t="s">
        <v>31</v>
      </c>
      <c r="B18" s="2">
        <v>1.0</v>
      </c>
      <c r="C18" s="2">
        <v>6.01</v>
      </c>
      <c r="D18" s="2">
        <v>0.481</v>
      </c>
      <c r="E18" s="2">
        <v>99.2</v>
      </c>
      <c r="F18" s="2">
        <v>2.409</v>
      </c>
      <c r="G18" s="2">
        <v>-79.57</v>
      </c>
      <c r="H18" s="2">
        <v>11.8</v>
      </c>
    </row>
    <row r="19">
      <c r="A19" s="2" t="s">
        <v>32</v>
      </c>
      <c r="B19" s="2">
        <v>1.0</v>
      </c>
      <c r="C19" s="2">
        <v>10.11</v>
      </c>
      <c r="D19" s="2">
        <v>0.295</v>
      </c>
      <c r="E19" s="2">
        <v>98.3</v>
      </c>
      <c r="F19" s="2">
        <v>2.546</v>
      </c>
      <c r="G19" s="2">
        <v>-66.16</v>
      </c>
      <c r="H19" s="2">
        <v>13.8</v>
      </c>
    </row>
    <row r="20">
      <c r="A20" s="2" t="s">
        <v>33</v>
      </c>
      <c r="B20" s="2">
        <v>1.0</v>
      </c>
      <c r="C20" s="2">
        <v>24.92</v>
      </c>
      <c r="D20" s="2">
        <v>0.54</v>
      </c>
      <c r="E20" s="2">
        <v>92.0</v>
      </c>
      <c r="F20" s="2">
        <v>2.691</v>
      </c>
      <c r="G20" s="2">
        <v>-72.33</v>
      </c>
      <c r="H20" s="2">
        <v>9.2</v>
      </c>
    </row>
    <row r="21" ht="15.75" customHeight="1">
      <c r="A21" s="2" t="s">
        <v>34</v>
      </c>
      <c r="B21" s="2">
        <v>1.0</v>
      </c>
      <c r="C21" s="2">
        <v>18.03</v>
      </c>
      <c r="D21" s="2">
        <v>0.352</v>
      </c>
      <c r="E21" s="2">
        <v>99.9</v>
      </c>
      <c r="F21" s="2">
        <v>2.886</v>
      </c>
      <c r="G21" s="2">
        <v>-62.75</v>
      </c>
      <c r="H21" s="2">
        <v>7.7</v>
      </c>
    </row>
    <row r="22" ht="15.75" customHeight="1">
      <c r="A22" s="2" t="s">
        <v>35</v>
      </c>
      <c r="B22" s="2">
        <v>2.0</v>
      </c>
      <c r="C22" s="2">
        <v>18.47</v>
      </c>
      <c r="D22" s="2">
        <v>0.321</v>
      </c>
      <c r="E22" s="2">
        <v>96.8</v>
      </c>
      <c r="F22" s="2">
        <v>3.062</v>
      </c>
      <c r="G22" s="2">
        <v>-65.08</v>
      </c>
      <c r="H22" s="2">
        <v>39.2</v>
      </c>
    </row>
    <row r="23" ht="15.75" customHeight="1">
      <c r="A23" s="2" t="s">
        <v>36</v>
      </c>
      <c r="B23" s="2">
        <v>2.0</v>
      </c>
      <c r="C23" s="2">
        <v>20.82</v>
      </c>
      <c r="D23" s="2">
        <v>0.337</v>
      </c>
      <c r="E23" s="2">
        <v>92.2</v>
      </c>
      <c r="F23" s="2">
        <v>3.192</v>
      </c>
      <c r="G23" s="2">
        <v>-62.3</v>
      </c>
      <c r="H23" s="2">
        <v>5.1</v>
      </c>
    </row>
    <row r="24" ht="15.75" customHeight="1">
      <c r="A24" s="2" t="s">
        <v>37</v>
      </c>
      <c r="B24" s="2">
        <v>2.0</v>
      </c>
      <c r="C24" s="2">
        <v>1.14</v>
      </c>
      <c r="D24" s="2">
        <v>0.144</v>
      </c>
      <c r="E24" s="2">
        <v>90.8</v>
      </c>
      <c r="F24" s="2">
        <v>3.386</v>
      </c>
      <c r="G24" s="2">
        <v>-64.05</v>
      </c>
      <c r="H24" s="2">
        <v>30.1</v>
      </c>
    </row>
    <row r="25" ht="15.75" customHeight="1">
      <c r="A25" s="2" t="s">
        <v>38</v>
      </c>
      <c r="B25" s="2">
        <v>2.0</v>
      </c>
      <c r="C25" s="2">
        <v>2.56</v>
      </c>
      <c r="D25" s="2">
        <v>0.11</v>
      </c>
      <c r="E25" s="2">
        <v>90.7</v>
      </c>
      <c r="F25" s="2">
        <v>3.534</v>
      </c>
      <c r="G25" s="2">
        <v>-71.48</v>
      </c>
      <c r="H25" s="2">
        <v>38.6</v>
      </c>
    </row>
    <row r="26" ht="15.75" customHeight="1">
      <c r="A26" s="2" t="s">
        <v>39</v>
      </c>
      <c r="B26" s="2">
        <v>2.0</v>
      </c>
      <c r="C26" s="2">
        <v>6.31</v>
      </c>
      <c r="D26" s="2">
        <v>0.789</v>
      </c>
      <c r="E26" s="2">
        <v>87.3</v>
      </c>
      <c r="F26" s="2">
        <v>3.641</v>
      </c>
      <c r="G26" s="2">
        <v>-67.71</v>
      </c>
      <c r="H26" s="2">
        <v>23.1</v>
      </c>
    </row>
    <row r="27" ht="15.75" customHeight="1">
      <c r="A27" s="2" t="s">
        <v>40</v>
      </c>
      <c r="B27" s="2">
        <v>2.0</v>
      </c>
      <c r="C27" s="2">
        <v>17.16</v>
      </c>
      <c r="D27" s="2">
        <v>0.221</v>
      </c>
      <c r="E27" s="2">
        <v>101.2</v>
      </c>
      <c r="F27" s="2">
        <v>3.836</v>
      </c>
      <c r="G27" s="2">
        <v>-77.87</v>
      </c>
      <c r="H27" s="2">
        <v>9.9</v>
      </c>
    </row>
    <row r="28" ht="15.75" customHeight="1">
      <c r="A28" s="2" t="s">
        <v>41</v>
      </c>
      <c r="B28" s="2">
        <v>2.0</v>
      </c>
      <c r="C28" s="2">
        <v>13.95</v>
      </c>
      <c r="D28" s="2">
        <v>0.433</v>
      </c>
      <c r="E28" s="2">
        <v>96.9</v>
      </c>
      <c r="F28" s="2">
        <v>3.998</v>
      </c>
      <c r="G28" s="2">
        <v>-60.61</v>
      </c>
      <c r="H28" s="2">
        <v>15.2</v>
      </c>
    </row>
    <row r="29" ht="15.75" customHeight="1">
      <c r="A29" s="2" t="s">
        <v>43</v>
      </c>
      <c r="B29" s="2">
        <v>2.0</v>
      </c>
      <c r="C29" s="2">
        <v>22.71</v>
      </c>
      <c r="D29" s="2">
        <v>0.338</v>
      </c>
      <c r="E29" s="2">
        <v>96.8</v>
      </c>
      <c r="F29" s="2">
        <v>4.141</v>
      </c>
      <c r="G29" s="2">
        <v>-65.78</v>
      </c>
      <c r="H29" s="2">
        <v>2.4</v>
      </c>
    </row>
    <row r="30" ht="15.75" customHeight="1">
      <c r="A30" s="2" t="s">
        <v>44</v>
      </c>
      <c r="B30" s="2">
        <v>2.0</v>
      </c>
      <c r="C30" s="2">
        <v>24.0</v>
      </c>
      <c r="D30" s="2">
        <v>0.179</v>
      </c>
      <c r="E30" s="2">
        <v>100.3</v>
      </c>
      <c r="F30" s="2">
        <v>4.304</v>
      </c>
      <c r="G30" s="2">
        <v>-73.38</v>
      </c>
      <c r="H30" s="2">
        <v>3.2</v>
      </c>
    </row>
    <row r="31" ht="15.75" customHeight="1">
      <c r="A31" s="2" t="s">
        <v>45</v>
      </c>
      <c r="B31" s="2">
        <v>2.0</v>
      </c>
      <c r="C31" s="2">
        <v>6.0</v>
      </c>
      <c r="D31" s="2">
        <v>0.542</v>
      </c>
      <c r="E31" s="2">
        <v>88.1</v>
      </c>
      <c r="F31" s="2">
        <v>4.445</v>
      </c>
      <c r="G31" s="2">
        <v>-62.77</v>
      </c>
      <c r="H31" s="2">
        <v>18.8</v>
      </c>
    </row>
    <row r="32" ht="15.75" customHeight="1">
      <c r="A32" s="2" t="s">
        <v>46</v>
      </c>
      <c r="B32" s="2">
        <v>2.0</v>
      </c>
      <c r="C32" s="2">
        <v>0.82</v>
      </c>
      <c r="D32" s="2">
        <v>0.33</v>
      </c>
      <c r="E32" s="2">
        <v>90.7</v>
      </c>
      <c r="F32" s="2">
        <v>4.631</v>
      </c>
      <c r="G32" s="2">
        <v>-78.22</v>
      </c>
      <c r="H32" s="2">
        <v>9.3</v>
      </c>
    </row>
    <row r="33" ht="15.75" customHeight="1">
      <c r="A33" s="2" t="s">
        <v>47</v>
      </c>
      <c r="B33" s="2">
        <v>2.0</v>
      </c>
      <c r="C33" s="2">
        <v>6.61</v>
      </c>
      <c r="D33" s="2">
        <v>0.733</v>
      </c>
      <c r="E33" s="2">
        <v>96.8</v>
      </c>
      <c r="F33" s="2">
        <v>4.811</v>
      </c>
      <c r="G33" s="2">
        <v>-75.05</v>
      </c>
      <c r="H33" s="2">
        <v>4.6</v>
      </c>
    </row>
    <row r="34" ht="15.75" customHeight="1">
      <c r="A34" s="2" t="s">
        <v>48</v>
      </c>
      <c r="B34" s="2">
        <v>2.0</v>
      </c>
      <c r="C34" s="2">
        <v>5.62</v>
      </c>
      <c r="D34" s="2">
        <v>0.219</v>
      </c>
      <c r="E34" s="2">
        <v>90.3</v>
      </c>
      <c r="F34" s="2">
        <v>4.925</v>
      </c>
      <c r="G34" s="2">
        <v>-78.51</v>
      </c>
      <c r="H34" s="2">
        <v>31.7</v>
      </c>
    </row>
    <row r="35" ht="15.75" customHeight="1">
      <c r="A35" s="2" t="s">
        <v>49</v>
      </c>
      <c r="B35" s="2">
        <v>2.0</v>
      </c>
      <c r="C35" s="2">
        <v>14.88</v>
      </c>
      <c r="D35" s="2">
        <v>0.759</v>
      </c>
      <c r="E35" s="2">
        <v>103.4</v>
      </c>
      <c r="F35" s="2">
        <v>5.069</v>
      </c>
      <c r="G35" s="2">
        <v>-68.28</v>
      </c>
      <c r="H35" s="2">
        <v>12.2</v>
      </c>
    </row>
    <row r="36" ht="15.75" customHeight="1">
      <c r="A36" s="2" t="s">
        <v>50</v>
      </c>
      <c r="B36" s="2">
        <v>2.0</v>
      </c>
      <c r="C36" s="2">
        <v>10.06</v>
      </c>
      <c r="D36" s="2">
        <v>0.318</v>
      </c>
      <c r="E36" s="2">
        <v>95.8</v>
      </c>
      <c r="F36" s="2">
        <v>5.213</v>
      </c>
      <c r="G36" s="2">
        <v>-65.05</v>
      </c>
      <c r="H36" s="2">
        <v>35.6</v>
      </c>
    </row>
    <row r="37" ht="15.75" customHeight="1">
      <c r="A37" s="2" t="s">
        <v>51</v>
      </c>
      <c r="B37" s="2">
        <v>2.0</v>
      </c>
      <c r="C37" s="2">
        <v>18.36</v>
      </c>
      <c r="D37" s="2">
        <v>0.583</v>
      </c>
      <c r="E37" s="2">
        <v>85.5</v>
      </c>
      <c r="F37" s="2">
        <v>5.336</v>
      </c>
      <c r="G37" s="2">
        <v>-63.14</v>
      </c>
      <c r="H37" s="2">
        <v>34.4</v>
      </c>
    </row>
    <row r="38" ht="15.75" customHeight="1">
      <c r="A38" s="2" t="s">
        <v>52</v>
      </c>
      <c r="B38" s="2">
        <v>2.0</v>
      </c>
      <c r="C38" s="2">
        <v>14.68</v>
      </c>
      <c r="D38" s="2">
        <v>0.117</v>
      </c>
      <c r="E38" s="2">
        <v>100.3</v>
      </c>
      <c r="F38" s="2">
        <v>5.518</v>
      </c>
      <c r="G38" s="2">
        <v>-65.59</v>
      </c>
      <c r="H38" s="2">
        <v>30.5</v>
      </c>
    </row>
    <row r="39" ht="15.75" customHeight="1">
      <c r="A39" s="2" t="s">
        <v>53</v>
      </c>
      <c r="B39" s="2">
        <v>2.0</v>
      </c>
      <c r="C39" s="2">
        <v>4.38</v>
      </c>
      <c r="D39" s="2">
        <v>0.515</v>
      </c>
      <c r="E39" s="2">
        <v>93.8</v>
      </c>
      <c r="F39" s="2">
        <v>5.646</v>
      </c>
      <c r="G39" s="2">
        <v>-55.08</v>
      </c>
      <c r="H39" s="2">
        <v>17.4</v>
      </c>
    </row>
    <row r="40" ht="15.75" customHeight="1">
      <c r="A40" s="2" t="s">
        <v>54</v>
      </c>
      <c r="B40" s="2">
        <v>2.0</v>
      </c>
      <c r="C40" s="2">
        <v>20.36</v>
      </c>
      <c r="D40" s="2">
        <v>0.875</v>
      </c>
      <c r="E40" s="2">
        <v>94.4</v>
      </c>
      <c r="F40" s="2">
        <v>5.787</v>
      </c>
      <c r="G40" s="2">
        <v>-71.97</v>
      </c>
      <c r="H40" s="2">
        <v>4.2</v>
      </c>
    </row>
    <row r="41" ht="15.75" customHeight="1">
      <c r="A41" s="2" t="s">
        <v>55</v>
      </c>
      <c r="B41" s="2">
        <v>2.0</v>
      </c>
      <c r="C41" s="2">
        <v>4.02</v>
      </c>
      <c r="D41" s="2">
        <v>0.429</v>
      </c>
      <c r="E41" s="2">
        <v>94.9</v>
      </c>
      <c r="F41" s="2">
        <v>5.953</v>
      </c>
      <c r="G41" s="2">
        <v>-69.99</v>
      </c>
      <c r="H41" s="2">
        <v>30.4</v>
      </c>
    </row>
    <row r="42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57"/>
    <col customWidth="1" min="2" max="2" width="15.14"/>
    <col customWidth="1" min="3" max="3" width="11.57"/>
    <col customWidth="1" min="4" max="4" width="10.71"/>
    <col customWidth="1" min="5" max="5" width="19.86"/>
    <col customWidth="1" min="6" max="6" width="14.71"/>
    <col customWidth="1" min="7" max="7" width="21.0"/>
    <col customWidth="1" min="8" max="8" width="25.43"/>
  </cols>
  <sheetData>
    <row r="1">
      <c r="A1" s="1" t="s">
        <v>1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>
      <c r="A2" s="2">
        <v>1.0</v>
      </c>
      <c r="B2" s="2">
        <f>MAX(Radar_Traces!F2:F21)-MIN(Radar_Traces!F2:F21)</f>
        <v>1841.6</v>
      </c>
      <c r="C2" s="2">
        <f>COUNTIF(Radar_Traces!L2:L21,"NOMINAL")</f>
        <v>16</v>
      </c>
      <c r="D2" s="2">
        <f>COUNTIF(Radar_Traces!L2:L21,"CLUTTER")+COUNTIF(Radar_Traces!L2:L21,"NOISE_FLOOR")+COUNTIF(Radar_Traces!L2:L21,"INVALID")</f>
        <v>4</v>
      </c>
      <c r="E2" s="2">
        <f>AVERAGEIF(Radar_Traces!L2:L21,"NOMINAL",Radar_Traces!J2:J21)</f>
        <v>7754.343608</v>
      </c>
      <c r="F2" s="2">
        <f>COUNTIFS(Radar_Traces!L2:L21,"NOMINAL",Radar_Traces!J2:J21,"&lt;5000",Terrain_and_Health!C2:C21,"&lt;20",Terrain_and_Health!D2:D21,"&lt;0.7")</f>
        <v>4</v>
      </c>
      <c r="G2" s="2">
        <f>AVERAGE(Terrain_and_Health!H2:H21)</f>
        <v>19.845</v>
      </c>
      <c r="H2" s="2">
        <f t="shared" ref="H2:H3" si="1">2+0.2*G2</f>
        <v>5.969</v>
      </c>
    </row>
    <row r="3">
      <c r="A3" s="2">
        <v>2.0</v>
      </c>
      <c r="B3" s="2">
        <f>MAX(Radar_Traces!F22:F41)-MIN(Radar_Traces!F22:F41)</f>
        <v>1804.8</v>
      </c>
      <c r="C3" s="2">
        <f>COUNTIF(Radar_Traces!L22:L41,"NOMINAL")</f>
        <v>16</v>
      </c>
      <c r="D3" s="2">
        <f>COUNTIF(Radar_Traces!L22:L41,"CLUTTER")+COUNTIF(Radar_Traces!L22:L41,"NOISE_FLOOR")+COUNTIF(Radar_Traces!L22:L41,"INVALID")</f>
        <v>4</v>
      </c>
      <c r="E3" s="2">
        <f>AVERAGEIF(Radar_Traces!L22:L41,"NOMINAL",Radar_Traces!J22:J41)</f>
        <v>9750.038404</v>
      </c>
      <c r="F3" s="2">
        <f>COUNTIFS(Radar_Traces!L22:L41,"NOMINAL",Radar_Traces!J22:J41,"&lt;5000",Terrain_and_Health!C22:C41,"&lt;20",Terrain_and_Health!D22:D41,"&lt;0.7")</f>
        <v>1</v>
      </c>
      <c r="G3" s="2">
        <f>AVERAGE(Terrain_and_Health!H22:H41)</f>
        <v>19.795</v>
      </c>
      <c r="H3" s="2">
        <f t="shared" si="1"/>
        <v>5.959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8.57"/>
    <col customWidth="1" min="3" max="3" width="51.43"/>
    <col customWidth="1" min="4" max="4" width="8.71"/>
  </cols>
  <sheetData>
    <row r="1">
      <c r="A1" s="1" t="s">
        <v>74</v>
      </c>
      <c r="B1" s="1" t="s">
        <v>75</v>
      </c>
      <c r="C1" s="1" t="s">
        <v>76</v>
      </c>
    </row>
    <row r="2">
      <c r="A2" s="2" t="s">
        <v>0</v>
      </c>
      <c r="B2" s="2" t="s">
        <v>77</v>
      </c>
      <c r="C2" s="2" t="s">
        <v>78</v>
      </c>
    </row>
    <row r="3">
      <c r="A3" s="2" t="s">
        <v>1</v>
      </c>
      <c r="B3" s="2" t="s">
        <v>79</v>
      </c>
      <c r="C3" s="2" t="s">
        <v>80</v>
      </c>
    </row>
    <row r="4">
      <c r="A4" s="2" t="s">
        <v>2</v>
      </c>
      <c r="B4" s="2" t="s">
        <v>81</v>
      </c>
      <c r="C4" s="2" t="s">
        <v>82</v>
      </c>
    </row>
    <row r="5">
      <c r="A5" s="2" t="s">
        <v>3</v>
      </c>
      <c r="B5" s="2" t="s">
        <v>83</v>
      </c>
      <c r="C5" s="2" t="s">
        <v>84</v>
      </c>
    </row>
    <row r="6">
      <c r="A6" s="2" t="s">
        <v>4</v>
      </c>
      <c r="B6" s="2" t="s">
        <v>83</v>
      </c>
      <c r="C6" s="2" t="s">
        <v>85</v>
      </c>
    </row>
    <row r="7">
      <c r="A7" s="2" t="s">
        <v>5</v>
      </c>
      <c r="B7" s="2" t="s">
        <v>83</v>
      </c>
      <c r="C7" s="2" t="s">
        <v>86</v>
      </c>
    </row>
    <row r="8">
      <c r="A8" s="2" t="s">
        <v>6</v>
      </c>
      <c r="B8" s="2" t="s">
        <v>87</v>
      </c>
      <c r="C8" s="2" t="s">
        <v>88</v>
      </c>
    </row>
    <row r="9">
      <c r="A9" s="2" t="s">
        <v>7</v>
      </c>
      <c r="B9" s="2" t="s">
        <v>89</v>
      </c>
      <c r="C9" s="2" t="s">
        <v>90</v>
      </c>
    </row>
    <row r="10">
      <c r="A10" s="2" t="s">
        <v>8</v>
      </c>
      <c r="B10" s="2" t="s">
        <v>77</v>
      </c>
      <c r="C10" s="2" t="s">
        <v>91</v>
      </c>
    </row>
    <row r="11">
      <c r="A11" s="2" t="s">
        <v>9</v>
      </c>
      <c r="B11" s="2" t="s">
        <v>83</v>
      </c>
      <c r="C11" s="2" t="s">
        <v>92</v>
      </c>
    </row>
    <row r="12">
      <c r="A12" s="2" t="s">
        <v>10</v>
      </c>
      <c r="B12" s="2" t="s">
        <v>93</v>
      </c>
      <c r="C12" s="2" t="s">
        <v>94</v>
      </c>
    </row>
    <row r="13">
      <c r="A13" s="2" t="s">
        <v>11</v>
      </c>
      <c r="B13" s="2" t="s">
        <v>95</v>
      </c>
      <c r="C13" s="2" t="s">
        <v>96</v>
      </c>
    </row>
    <row r="14">
      <c r="A14" s="2" t="s">
        <v>56</v>
      </c>
      <c r="B14" s="2" t="s">
        <v>97</v>
      </c>
      <c r="C14" s="2" t="s">
        <v>98</v>
      </c>
    </row>
    <row r="15">
      <c r="A15" s="2" t="s">
        <v>57</v>
      </c>
      <c r="B15" s="2" t="s">
        <v>83</v>
      </c>
      <c r="C15" s="2" t="s">
        <v>99</v>
      </c>
    </row>
    <row r="16">
      <c r="A16" s="2" t="s">
        <v>58</v>
      </c>
      <c r="B16" s="2" t="s">
        <v>100</v>
      </c>
      <c r="C16" s="2" t="s">
        <v>101</v>
      </c>
    </row>
    <row r="17">
      <c r="A17" s="2" t="s">
        <v>61</v>
      </c>
      <c r="B17" s="2" t="s">
        <v>97</v>
      </c>
      <c r="C17" s="2" t="s">
        <v>102</v>
      </c>
    </row>
    <row r="18">
      <c r="A18" s="2" t="s">
        <v>62</v>
      </c>
      <c r="B18" s="2" t="s">
        <v>103</v>
      </c>
      <c r="C18" s="2" t="s">
        <v>104</v>
      </c>
    </row>
    <row r="19">
      <c r="A19" s="2" t="s">
        <v>63</v>
      </c>
      <c r="B19" s="2" t="s">
        <v>105</v>
      </c>
      <c r="C19" s="2" t="s">
        <v>106</v>
      </c>
    </row>
    <row r="20">
      <c r="A20" s="2" t="s">
        <v>64</v>
      </c>
      <c r="B20" s="2" t="s">
        <v>93</v>
      </c>
      <c r="C20" s="2" t="s">
        <v>107</v>
      </c>
    </row>
    <row r="21" ht="15.75" customHeight="1">
      <c r="A21" s="2" t="s">
        <v>65</v>
      </c>
      <c r="B21" s="2" t="s">
        <v>89</v>
      </c>
      <c r="C21" s="2" t="s">
        <v>108</v>
      </c>
    </row>
    <row r="22" ht="15.75" customHeight="1">
      <c r="A22" s="2" t="s">
        <v>66</v>
      </c>
      <c r="B22" s="2" t="s">
        <v>109</v>
      </c>
      <c r="C22" s="2" t="s">
        <v>110</v>
      </c>
    </row>
    <row r="23" ht="15.75" customHeight="1">
      <c r="A23" s="2" t="s">
        <v>67</v>
      </c>
      <c r="B23" s="2" t="s">
        <v>83</v>
      </c>
      <c r="C23" s="2" t="s">
        <v>111</v>
      </c>
    </row>
    <row r="24" ht="15.75" customHeight="1">
      <c r="A24" s="2" t="s">
        <v>68</v>
      </c>
      <c r="B24" s="2" t="s">
        <v>112</v>
      </c>
      <c r="C24" s="2" t="s">
        <v>113</v>
      </c>
    </row>
    <row r="25" ht="15.75" customHeight="1">
      <c r="A25" s="2" t="s">
        <v>69</v>
      </c>
      <c r="B25" s="2" t="s">
        <v>112</v>
      </c>
      <c r="C25" s="2" t="s">
        <v>114</v>
      </c>
    </row>
    <row r="26" ht="15.75" customHeight="1">
      <c r="A26" s="2" t="s">
        <v>70</v>
      </c>
      <c r="B26" s="2" t="s">
        <v>83</v>
      </c>
      <c r="C26" s="2" t="s">
        <v>115</v>
      </c>
    </row>
    <row r="27" ht="15.75" customHeight="1">
      <c r="A27" s="2" t="s">
        <v>71</v>
      </c>
      <c r="B27" s="2" t="s">
        <v>112</v>
      </c>
      <c r="C27" s="2" t="s">
        <v>116</v>
      </c>
    </row>
    <row r="28" ht="15.75" customHeight="1">
      <c r="A28" s="2" t="s">
        <v>72</v>
      </c>
      <c r="B28" s="2" t="s">
        <v>109</v>
      </c>
      <c r="C28" s="2" t="s">
        <v>117</v>
      </c>
    </row>
    <row r="29" ht="15.75" customHeight="1">
      <c r="A29" s="2" t="s">
        <v>73</v>
      </c>
      <c r="B29" s="2" t="s">
        <v>118</v>
      </c>
      <c r="C29" s="2" t="s">
        <v>119</v>
      </c>
    </row>
    <row r="3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112.71"/>
    <col customWidth="1" min="3" max="3" width="8.71"/>
  </cols>
  <sheetData>
    <row r="1">
      <c r="A1" s="1" t="s">
        <v>120</v>
      </c>
      <c r="B1" s="1" t="s">
        <v>121</v>
      </c>
    </row>
    <row r="2">
      <c r="A2" s="2" t="s">
        <v>122</v>
      </c>
      <c r="B2" s="2" t="s">
        <v>123</v>
      </c>
    </row>
    <row r="3">
      <c r="A3" s="2" t="s">
        <v>124</v>
      </c>
      <c r="B3" s="2" t="s">
        <v>125</v>
      </c>
    </row>
    <row r="4">
      <c r="A4" s="2" t="s">
        <v>126</v>
      </c>
      <c r="B4" s="2" t="s">
        <v>127</v>
      </c>
    </row>
    <row r="5">
      <c r="A5" s="2" t="s">
        <v>128</v>
      </c>
      <c r="B5" s="2" t="s">
        <v>129</v>
      </c>
    </row>
    <row r="6">
      <c r="A6" s="2" t="s">
        <v>130</v>
      </c>
      <c r="B6" s="2" t="s">
        <v>131</v>
      </c>
    </row>
    <row r="7">
      <c r="A7" s="2" t="s">
        <v>132</v>
      </c>
      <c r="B7" s="2" t="s">
        <v>133</v>
      </c>
    </row>
    <row r="8">
      <c r="A8" s="2" t="s">
        <v>134</v>
      </c>
      <c r="B8" s="2" t="s">
        <v>135</v>
      </c>
    </row>
    <row r="9">
      <c r="A9" s="2" t="s">
        <v>136</v>
      </c>
      <c r="B9" s="2" t="s">
        <v>137</v>
      </c>
    </row>
    <row r="10">
      <c r="A10" s="2" t="s">
        <v>138</v>
      </c>
      <c r="B10" s="2" t="s">
        <v>139</v>
      </c>
    </row>
    <row r="11">
      <c r="A11" s="2" t="s">
        <v>140</v>
      </c>
      <c r="B11" s="2" t="s">
        <v>141</v>
      </c>
    </row>
    <row r="12">
      <c r="A12" s="2" t="s">
        <v>142</v>
      </c>
      <c r="B12" s="2" t="s">
        <v>143</v>
      </c>
    </row>
  </sheetData>
  <printOptions/>
  <pageMargins bottom="1.0" footer="0.0" header="0.0" left="0.75" right="0.75" top="1.0"/>
  <pageSetup paperSize="9" orientation="portrait"/>
  <drawing r:id="rId1"/>
</worksheet>
</file>